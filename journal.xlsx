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8E447249-117B-4D6B-AB8D-CA9F662B9930}" xr6:coauthVersionLast="47" xr6:coauthVersionMax="47" xr10:uidLastSave="{00000000-0000-0000-0000-000000000000}"/>
  <bookViews>
    <workbookView xWindow="20370" yWindow="-120" windowWidth="29040" windowHeight="15720" firstSheet="12" activeTab="15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СпрСобытий" sheetId="20" r:id="rId17"/>
    <sheet name="17 Площадка с навесом" sheetId="44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базу'!$A$1:$L$271</definedName>
    <definedName name="ExternalData_1" localSheetId="9" hidden="1">'10 Въезд ангар'!$A$1:$L$694</definedName>
    <definedName name="ExternalData_1" localSheetId="10" hidden="1">'11 Навес пилмат'!$A$1:$L$347</definedName>
    <definedName name="ExternalData_1" localSheetId="11" hidden="1">'12 Площадка 3 кран'!$A$1:$L$294</definedName>
    <definedName name="ExternalData_1" localSheetId="12" hidden="1">'13 Склад хол'!$A$1:$L$232</definedName>
    <definedName name="ExternalData_1" localSheetId="13" hidden="1">'14 На гаражи'!$A$1:$L$73</definedName>
    <definedName name="ExternalData_1" localSheetId="14" hidden="1">'15 Вход столярка'!$A$1:$L$34</definedName>
    <definedName name="ExternalData_1" localSheetId="15" hidden="1">'16 Столярка'!$A$1:$L$85</definedName>
    <definedName name="ExternalData_1" localSheetId="17" hidden="1">'17 Площадка с навесом'!$A$1:$L$63</definedName>
    <definedName name="ExternalData_1" localSheetId="18" hidden="1">'19 Хронометраж'!$A$1:$L$404</definedName>
    <definedName name="ExternalData_1" localSheetId="1" hidden="1">'2 Поката пилорама'!$A$1:$L$298</definedName>
    <definedName name="ExternalData_1" localSheetId="2" hidden="1">'3 Парковка офиса'!$A$1:$L$202</definedName>
    <definedName name="ExternalData_1" localSheetId="3" hidden="1">'4 Крыльцо офиса'!$A$1:$L$286</definedName>
    <definedName name="ExternalData_1" localSheetId="4" hidden="1">'5 Крыльцо общага'!$A$1:$L$375</definedName>
    <definedName name="ExternalData_1" localSheetId="5" hidden="1">'6 Площадка 1 общага'!$A$1:$L$233</definedName>
    <definedName name="ExternalData_1" localSheetId="6" hidden="1">'7 Площадка 2 бетонщики'!$A$1:$L$360</definedName>
    <definedName name="ExternalData_1" localSheetId="7" hidden="1">'8 Ангар вход'!$A$1:$L$377</definedName>
    <definedName name="ExternalData_1" localSheetId="8" hidden="1">'9 Ангар рейсмус'!$A$1:$L$669</definedName>
    <definedName name="ExternalData_1" localSheetId="19" hidden="1">Загрузка!$A$1:$L$263</definedName>
    <definedName name="ExternalData_1" localSheetId="20" hidden="1">'Стороний транспорт'!$A$1:$L$171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<sst xmlns="http://schemas.openxmlformats.org/spreadsheetml/2006/main" count="64663" uniqueCount="16699">
  <si>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</si>
  <si>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</si>
  <si>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</si>
  <si>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</si>
  <si>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</si>
  <si>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</si>
  <si>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</si>
  <si>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</si>
  <si>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</si>
  <si>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</si>
  <si>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</si>
  <si>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</si>
  <si>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</si>
  <si>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</si>
  <si>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</si>
  <si>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</si>
  <si>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</si>
  <si>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</si>
  <si>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</si>
  <si>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</si>
  <si>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</si>
  <si>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</si>
  <si>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</si>
  <si>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</si>
  <si>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</si>
  <si>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</si>
  <si>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</si>
  <si>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</si>
  <si>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</si>
  <si>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</si>
  <si>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</si>
  <si>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</si>
  <si>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</si>
  <si>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</si>
  <si>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</si>
  <si>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</si>
  <si>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</si>
  <si>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</si>
  <si>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</si>
  <si>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</si>
  <si>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</si>
  <si>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</si>
  <si>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</si>
  <si>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</si>
  <si>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</si>
  <si>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</si>
  <si>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</si>
  <si>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</si>
  <si>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</si>
  <si>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</si>
  <si>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</si>
  <si>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</si>
  <si>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</si>
  <si>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</si>
  <si>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</si>
  <si>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</si>
  <si>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</si>
  <si>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</si>
  <si>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</si>
  <si>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</si>
  <si>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</si>
  <si>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</si>
  <si>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</si>
  <si>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</si>
  <si>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</si>
  <si>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</si>
  <si>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</si>
  <si>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</si>
  <si>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</si>
  <si>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</si>
  <si>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</si>
  <si>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</si>
  <si>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</si>
  <si>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</si>
  <si>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</si>
  <si>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</si>
  <si>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</si>
  <si>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</si>
  <si>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</si>
  <si>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</si>
  <si>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</si>
  <si>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</si>
  <si>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</si>
  <si>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</si>
  <si>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</si>
  <si>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</si>
  <si>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</si>
  <si>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</si>
  <si>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</si>
  <si>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</si>
  <si>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</si>
  <si>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</si>
  <si>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</si>
  <si>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</si>
  <si>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</si>
  <si>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</si>
  <si>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</si>
  <si>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</si>
  <si>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</si>
  <si>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</si>
  <si>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</si>
  <si>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</si>
  <si>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</si>
  <si>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</si>
  <si>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</si>
  <si>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</si>
  <si>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</si>
  <si>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</si>
  <si>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</si>
  <si>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</si>
  <si>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</si>
  <si>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</si>
  <si>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</si>
  <si>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</si>
  <si>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</si>
  <si>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</si>
  <si>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</si>
  <si>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</si>
  <si>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</si>
  <si>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</si>
  <si>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</si>
  <si>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</si>
  <si>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</si>
  <si>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</si>
  <si>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</si>
  <si>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</si>
  <si>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</si>
  <si>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</si>
  <si>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</si>
  <si>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</si>
  <si>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</si>
  <si>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</si>
  <si>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</si>
  <si>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</si>
  <si>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</si>
  <si>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</si>
  <si>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</si>
  <si>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</si>
  <si>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</si>
  <si>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</si>
  <si>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</si>
  <si>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</si>
  <si>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</si>
  <si>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</si>
  <si>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</si>
  <si>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</si>
  <si>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</si>
  <si>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</si>
  <si>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</si>
  <si>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</si>
  <si>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</si>
  <si>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</si>
  <si>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</si>
  <si>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</si>
  <si>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</si>
  <si>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</si>
  <si>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</si>
  <si>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</si>
  <si>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</si>
  <si>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</si>
  <si>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</si>
  <si>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</si>
  <si>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</si>
  <si>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</si>
  <si>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</si>
  <si>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</si>
  <si>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</si>
  <si>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</si>
  <si>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</si>
  <si>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</si>
  <si>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</si>
  <si>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</si>
  <si>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</si>
  <si>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</si>
  <si>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</si>
  <si>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</si>
  <si>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</si>
  <si>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</si>
  <si>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</si>
  <si>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</si>
  <si>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</si>
  <si>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</si>
  <si>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</si>
  <si>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</si>
  <si>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</si>
  <si>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</si>
  <si>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</si>
  <si>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</si>
  <si>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</si>
  <si>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</si>
  <si>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</si>
  <si>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</si>
  <si>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</si>
  <si>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</si>
  <si>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</si>
  <si>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</si>
  <si>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</si>
  <si>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</si>
  <si>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</si>
  <si>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</si>
  <si>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</si>
  <si>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</si>
  <si>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</si>
  <si>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</si>
  <si>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</si>
  <si>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</si>
  <si>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</si>
  <si>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</si>
  <si>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</si>
  <si>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</si>
  <si>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</si>
  <si>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</si>
  <si>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</si>
  <si>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</si>
  <si>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</si>
  <si>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</si>
  <si>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</si>
  <si>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</si>
  <si>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</si>
  <si>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</si>
  <si>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</si>
  <si>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</si>
  <si>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</si>
  <si>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</si>
  <si>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</si>
  <si>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</si>
  <si>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</si>
  <si>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</si>
  <si>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</si>
  <si>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</si>
  <si>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</si>
  <si>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</si>
  <si>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</si>
  <si>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</si>
  <si>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</si>
  <si>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</si>
  <si>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</si>
  <si>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</si>
  <si>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</si>
  <si>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</si>
  <si>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</si>
  <si>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</si>
  <si>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</si>
  <si>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</si>
  <si>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</si>
  <si>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</si>
  <si>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</si>
  <si>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</si>
  <si>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</si>
  <si>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</si>
  <si>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</si>
  <si>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</si>
  <si>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</si>
  <si>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</si>
  <si>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</si>
  <si>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</si>
  <si>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</si>
  <si>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</si>
  <si>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</si>
  <si>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</si>
  <si>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</si>
  <si>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</si>
  <si>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</si>
  <si>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</si>
  <si>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</si>
  <si>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</si>
  <si>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</si>
  <si>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</si>
  <si>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</si>
  <si>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</si>
  <si>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</si>
  <si>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</si>
  <si>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</si>
  <si>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</si>
  <si>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</si>
  <si>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</si>
  <si>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</si>
  <si>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</si>
  <si>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</si>
  <si>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</si>
  <si>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</si>
  <si>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</si>
  <si>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</si>
  <si>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</si>
  <si>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</si>
  <si>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</si>
  <si>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</si>
  <si>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</si>
  <si>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</si>
  <si>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</si>
  <si>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</si>
  <si>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</si>
  <si>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</si>
  <si>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</si>
  <si>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</si>
  <si>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</si>
  <si>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</si>
  <si>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</si>
  <si>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</si>
  <si>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</si>
  <si>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</si>
  <si>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</si>
  <si>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</si>
  <si>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</si>
  <si>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</si>
  <si>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</si>
  <si>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</si>
  <si>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</si>
  <si>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</si>
  <si>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</si>
  <si>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</si>
  <si>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</si>
  <si>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</si>
  <si>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</si>
  <si>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</si>
  <si>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</si>
  <si>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</si>
  <si>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</si>
  <si>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</si>
  <si>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</si>
  <si>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</si>
  <si>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</si>
  <si>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</si>
  <si>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</si>
  <si>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</si>
  <si>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</si>
  <si>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</si>
  <si>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</si>
  <si>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</si>
  <si>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</si>
  <si>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</si>
  <si>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</si>
  <si>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</si>
  <si>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</si>
  <si>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</si>
  <si>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</si>
  <si>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</si>
  <si>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</si>
  <si>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</si>
  <si>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</si>
  <si>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</si>
  <si>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</si>
  <si>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</si>
  <si>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</si>
  <si>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</si>
  <si>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</si>
  <si>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</si>
  <si>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</si>
  <si>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</si>
  <si>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</si>
  <si>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</si>
  <si>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</si>
  <si>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</si>
  <si>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</si>
  <si>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</si>
  <si>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</si>
  <si>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</si>
  <si>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</si>
  <si>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</si>
  <si>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</si>
  <si>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</si>
  <si>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</si>
  <si>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</si>
  <si>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</si>
  <si>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</si>
  <si>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</si>
  <si>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</si>
  <si>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</si>
  <si>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</si>
  <si>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</si>
  <si>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</si>
  <si>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</si>
  <si>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</si>
  <si>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</si>
  <si>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</si>
  <si>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</si>
  <si>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</si>
  <si>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</si>
  <si>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</si>
  <si>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</si>
  <si>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</si>
  <si>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</si>
  <si>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</si>
  <si>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</si>
  <si>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</si>
  <si>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</si>
  <si>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</si>
  <si>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</si>
  <si>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</si>
  <si>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</si>
  <si>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</si>
  <si>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</si>
  <si>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</si>
  <si>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</si>
  <si>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</si>
  <si>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</si>
  <si>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</si>
  <si>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</si>
  <si>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</si>
  <si>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</si>
  <si>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</si>
  <si>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</si>
  <si>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</si>
  <si>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</si>
  <si>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</si>
  <si>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</si>
  <si>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</si>
  <si>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</si>
  <si>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</si>
  <si>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</si>
  <si>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</si>
  <si>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</si>
  <si>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</si>
  <si>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</si>
  <si>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</si>
  <si>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</si>
  <si>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</si>
  <si>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</si>
  <si>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</si>
  <si>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</si>
  <si>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</si>
  <si>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</si>
  <si>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</si>
  <si>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</si>
  <si>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</si>
  <si>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</si>
  <si>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</si>
  <si>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</si>
  <si>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</si>
  <si>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</si>
  <si>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</si>
  <si>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</si>
  <si>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</si>
  <si>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</si>
  <si>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</si>
  <si>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</si>
  <si>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</si>
  <si>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</si>
  <si>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</si>
  <si>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</si>
  <si>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</si>
  <si>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</si>
  <si>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</si>
  <si>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</si>
  <si>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</si>
  <si>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</si>
  <si>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</si>
  <si>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</si>
  <si>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</si>
  <si>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</si>
  <si>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</si>
  <si>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</si>
  <si>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</si>
  <si>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</si>
  <si>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</si>
  <si>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</si>
  <si>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</si>
  <si>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</si>
  <si>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</si>
  <si>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</si>
  <si>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</si>
  <si>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</si>
  <si>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</si>
  <si>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</si>
  <si>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</si>
  <si>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</si>
  <si>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</si>
  <si>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</si>
  <si>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</si>
  <si>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</si>
  <si>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</si>
  <si>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</si>
  <si>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</si>
  <si>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</si>
  <si>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</si>
  <si>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</si>
  <si>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</si>
  <si>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</si>
  <si>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</si>
  <si>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</si>
  <si>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</si>
  <si>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</si>
  <si>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</si>
  <si>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</si>
  <si>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</si>
  <si>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</si>
  <si>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</si>
  <si>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</si>
  <si>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</si>
  <si>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</si>
  <si>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</si>
  <si>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</si>
  <si>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</si>
  <si>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</si>
  <si>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</si>
  <si>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</si>
  <si>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</si>
  <si>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</si>
  <si>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</si>
  <si>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</si>
  <si>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</si>
  <si>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</si>
  <si>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</si>
  <si>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</si>
  <si>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</si>
  <si>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</si>
  <si>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</si>
  <si>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</si>
  <si>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</si>
  <si>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</si>
  <si>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</si>
  <si>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</si>
  <si>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</si>
  <si>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</si>
  <si>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</si>
  <si>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</si>
  <si>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</si>
  <si>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</si>
  <si>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</si>
  <si>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</si>
  <si>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</si>
  <si>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</si>
  <si>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</si>
  <si>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</si>
  <si>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</si>
  <si>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</si>
  <si>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</si>
  <si>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</si>
  <si>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</si>
  <si>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</si>
  <si>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</si>
  <si>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</si>
  <si>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</si>
  <si>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</si>
  <si>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</si>
  <si>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</si>
  <si>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</si>
  <si>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</si>
  <si>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</si>
  <si>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</si>
  <si>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</si>
  <si>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</si>
  <si>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</si>
  <si>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</si>
  <si>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</si>
  <si>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</si>
  <si>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</si>
  <si>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</si>
  <si>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</si>
  <si>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</si>
  <si>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</si>
  <si>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</si>
  <si>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</si>
  <si>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</si>
  <si>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</si>
  <si>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</si>
  <si>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</si>
  <si>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</si>
  <si>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</si>
  <si>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</si>
  <si>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</si>
  <si>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</si>
  <si>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</si>
  <si>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</si>
  <si>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</si>
  <si>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</si>
  <si>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</si>
  <si>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</si>
  <si>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</si>
  <si>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</si>
  <si>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</si>
  <si>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</si>
  <si>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</si>
  <si>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</si>
  <si>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</si>
  <si>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</si>
  <si>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</si>
  <si>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</si>
  <si>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</si>
  <si>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</si>
  <si>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</si>
  <si>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</si>
  <si>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</si>
  <si>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</si>
  <si>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</si>
  <si>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</si>
  <si>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</si>
  <si>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</si>
  <si>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</si>
  <si>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</si>
  <si>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</si>
  <si>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</si>
  <si>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</si>
  <si>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</si>
  <si>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</si>
  <si>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</si>
  <si>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</si>
  <si>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</si>
  <si>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</si>
  <si>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</si>
  <si>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</si>
  <si>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</si>
  <si>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</si>
  <si>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</si>
  <si>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</si>
  <si>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</si>
  <si>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</si>
  <si>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</si>
  <si>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</si>
  <si>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</si>
  <si>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</si>
  <si>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</si>
  <si>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</si>
  <si>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</si>
  <si>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</si>
  <si>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</si>
  <si>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</si>
  <si>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</si>
  <si>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</si>
  <si>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</si>
  <si>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</si>
  <si>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</si>
  <si>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</si>
  <si>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</si>
  <si>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</si>
  <si>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</si>
  <si>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</si>
  <si>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</si>
  <si>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</si>
  <si>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</si>
  <si>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</si>
  <si>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</si>
  <si>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</si>
  <si>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</si>
  <si>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</si>
  <si>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</si>
  <si>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</si>
  <si>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</si>
  <si>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</si>
  <si>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</si>
  <si>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</si>
  <si>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</si>
  <si>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</si>
  <si>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</si>
  <si>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</si>
  <si>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</si>
  <si>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</si>
  <si>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</si>
  <si>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</si>
  <si>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</si>
  <si>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</si>
  <si>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</si>
  <si>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</si>
  <si>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</si>
  <si>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</si>
  <si>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</si>
  <si>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</si>
  <si>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</si>
  <si>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</si>
  <si>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</si>
  <si>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</si>
  <si>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</si>
  <si>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</si>
  <si>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</si>
  <si>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</si>
  <si>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</si>
  <si>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</si>
  <si>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</si>
  <si>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</si>
  <si>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</si>
  <si>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</si>
  <si>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</si>
  <si>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</si>
  <si>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</si>
  <si>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</si>
  <si>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</si>
  <si>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</si>
  <si>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</si>
  <si>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</si>
  <si>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</si>
  <si>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</si>
  <si>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</si>
  <si>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</si>
  <si>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</si>
  <si>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</si>
  <si>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</si>
  <si>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</si>
  <si>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</si>
  <si>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</si>
  <si>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</si>
  <si>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</si>
  <si>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</si>
  <si>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</si>
  <si>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</si>
  <si>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</si>
  <si>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</si>
  <si>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</si>
  <si>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</si>
  <si>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</si>
  <si>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</si>
  <si>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</si>
  <si>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</si>
  <si>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</si>
  <si>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</si>
  <si>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</si>
  <si>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</si>
  <si>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</si>
  <si>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</si>
  <si>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</si>
  <si>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</si>
  <si>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</si>
  <si>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</si>
  <si>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</si>
  <si>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</si>
  <si>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</si>
  <si>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</si>
  <si>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</si>
  <si>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</si>
  <si>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</si>
  <si>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</si>
  <si>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</si>
  <si>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</si>
  <si>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</si>
  <si>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</si>
  <si>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</si>
  <si>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</si>
  <si>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</si>
  <si>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</si>
  <si>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</si>
  <si>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</si>
  <si>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</si>
  <si>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</si>
  <si>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</si>
  <si>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</si>
  <si>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</si>
  <si>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</si>
  <si>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</si>
  <si>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</si>
  <si>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</si>
  <si>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</si>
  <si>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</si>
  <si>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</si>
  <si>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</si>
  <si>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</si>
  <si>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</si>
  <si>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</si>
  <si>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</si>
  <si>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</si>
  <si>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</si>
  <si>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</si>
  <si>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</si>
  <si>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</si>
  <si>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</si>
  <si>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</si>
  <si>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</si>
  <si>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</si>
  <si>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</si>
  <si>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</si>
  <si>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</si>
  <si>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</si>
  <si>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</si>
  <si>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</si>
  <si>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</si>
  <si>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</si>
  <si>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</si>
  <si>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</si>
  <si>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</si>
  <si>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</si>
  <si>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</si>
  <si>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</si>
  <si>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</si>
  <si>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</si>
  <si>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</si>
  <si>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</si>
  <si>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</si>
  <si>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</si>
  <si>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</si>
  <si>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</si>
  <si>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</si>
  <si>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</si>
  <si>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</si>
  <si>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</si>
  <si>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</si>
  <si>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</si>
  <si>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</si>
  <si>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</si>
  <si>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</si>
  <si>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</si>
  <si>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</si>
  <si>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</si>
  <si>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</si>
  <si>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</si>
  <si>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</si>
  <si>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</si>
  <si>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</si>
  <si>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</si>
  <si>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</si>
  <si>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</si>
  <si>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</si>
  <si>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</si>
  <si>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</si>
  <si>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</si>
  <si>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</si>
  <si>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</si>
  <si>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</si>
  <si>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</si>
  <si>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</si>
  <si>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</si>
  <si>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</si>
  <si>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</si>
  <si>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</si>
  <si>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</si>
  <si>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</si>
  <si>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</si>
  <si>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</si>
  <si>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</si>
  <si>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</si>
  <si>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</si>
  <si>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</si>
  <si>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</si>
  <si>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</si>
  <si>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</si>
  <si>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</si>
  <si>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</si>
  <si>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</si>
  <si>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</si>
  <si>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</si>
  <si>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</si>
  <si>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</si>
  <si>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</si>
  <si>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</si>
  <si>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</si>
  <si>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</si>
  <si>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</si>
  <si>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</si>
  <si>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</si>
  <si>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</si>
  <si>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</si>
  <si>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</si>
  <si>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</si>
  <si>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</si>
  <si>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</si>
  <si>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</si>
  <si>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</si>
  <si>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</si>
  <si>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</si>
  <si>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</si>
  <si>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</si>
  <si>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</si>
  <si>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</si>
  <si>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</si>
  <si>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</si>
  <si>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</si>
  <si>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</si>
  <si>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</si>
  <si>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</si>
  <si>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</si>
  <si>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</si>
  <si>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</si>
  <si>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</si>
  <si>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</si>
  <si>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</si>
  <si>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</si>
  <si>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</si>
  <si>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</si>
  <si>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</si>
  <si>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</si>
  <si>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</si>
  <si>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</si>
  <si>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</si>
  <si>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</si>
  <si>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</si>
  <si>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</si>
  <si>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</si>
  <si>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</si>
  <si>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</si>
  <si>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</si>
  <si>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</si>
  <si>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</si>
  <si>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</si>
  <si>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</si>
  <si>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</si>
  <si>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</si>
  <si>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</si>
  <si>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</si>
  <si>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</si>
  <si>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</si>
  <si>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</si>
  <si>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</si>
  <si>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</si>
  <si>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</si>
  <si>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</si>
  <si>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</si>
  <si>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</si>
  <si>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</si>
  <si>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</si>
  <si>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</si>
  <si>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</si>
  <si>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</si>
  <si>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</si>
  <si>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</si>
  <si>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</si>
  <si>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</si>
  <si>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</si>
  <si>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</si>
  <si>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</si>
  <si>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</si>
  <si>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</si>
  <si>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</si>
  <si>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</si>
  <si>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</si>
  <si>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</si>
  <si>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</si>
  <si>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</si>
  <si>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</si>
  <si>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</si>
  <si>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</si>
  <si>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</si>
  <si>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</si>
  <si>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</si>
  <si>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</si>
  <si>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</si>
  <si>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</si>
  <si>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</si>
  <si>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</si>
  <si>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</si>
  <si>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</si>
  <si>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</si>
  <si>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</si>
  <si>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</si>
  <si>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</si>
  <si>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</si>
  <si>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</si>
  <si>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</si>
  <si>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</si>
  <si>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</si>
  <si>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</si>
  <si>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</si>
  <si>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</si>
  <si>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</si>
  <si>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</si>
  <si>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</si>
  <si>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</si>
  <si>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</si>
  <si>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</si>
  <si>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</si>
  <si>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</si>
  <si>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</si>
  <si>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</si>
  <si>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</si>
  <si>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</si>
  <si>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</si>
  <si>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</si>
  <si>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</si>
  <si>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</si>
  <si>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</si>
  <si>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</si>
  <si>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</si>
  <si>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</si>
  <si>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</si>
  <si>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</si>
  <si>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</si>
  <si>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</si>
  <si>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</si>
  <si>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</si>
  <si>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</si>
  <si>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</si>
  <si>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</si>
  <si>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</si>
  <si>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</si>
  <si>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</si>
  <si>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</si>
  <si>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</si>
  <si>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</si>
  <si>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</si>
  <si>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</si>
  <si>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</si>
  <si>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</si>
  <si>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</si>
  <si>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</si>
  <si>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</si>
  <si>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</si>
  <si>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</si>
  <si>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</si>
  <si>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</si>
  <si>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</si>
  <si>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</si>
  <si>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</si>
  <si>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</si>
  <si>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</si>
  <si>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</si>
  <si>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</si>
  <si>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</si>
  <si>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</si>
  <si>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</si>
  <si>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</si>
  <si>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</si>
  <si>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</si>
  <si>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</si>
  <si>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</si>
  <si>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</si>
  <si>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</si>
  <si>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</si>
  <si>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</si>
  <si>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</si>
  <si>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</si>
  <si>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</si>
  <si>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</si>
  <si>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</si>
  <si>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</si>
  <si>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</si>
  <si>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</si>
  <si>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</si>
  <si>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</si>
  <si>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</si>
  <si>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</si>
  <si>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</si>
  <si>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</si>
  <si>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</si>
  <si>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</si>
  <si>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</si>
  <si>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</si>
  <si>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</si>
  <si>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</si>
  <si>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</si>
  <si>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</si>
  <si>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</si>
  <si>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</si>
  <si>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</si>
  <si>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</si>
  <si>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</si>
  <si>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</si>
  <si>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</si>
  <si>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</si>
  <si>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</si>
  <si>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</si>
  <si>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</si>
  <si>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</si>
  <si>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</si>
  <si>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</si>
  <si>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</si>
  <si>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</si>
  <si>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</si>
  <si>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</si>
  <si>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</si>
  <si>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</si>
  <si>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</si>
  <si>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</si>
  <si>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</si>
  <si>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</si>
  <si>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</si>
  <si>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</si>
  <si>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</si>
  <si>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</si>
  <si>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</si>
  <si>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</si>
  <si>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</si>
  <si>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</si>
  <si>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</si>
  <si>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</si>
  <si>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</si>
  <si>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</si>
  <si>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</si>
  <si>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</si>
  <si>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</si>
  <si>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</si>
  <si>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</si>
  <si>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</si>
  <si>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</si>
  <si>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</si>
  <si>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</si>
  <si>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</si>
  <si>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</si>
  <si>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</si>
  <si>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</si>
  <si>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</si>
  <si>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</si>
  <si>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</si>
  <si>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</si>
  <si>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</si>
  <si>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</si>
  <si>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</si>
  <si>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</si>
  <si>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</si>
  <si>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</si>
  <si>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</si>
  <si>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</si>
  <si>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</si>
  <si>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</si>
  <si>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</si>
  <si>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</si>
  <si>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</si>
  <si>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</si>
  <si>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</si>
  <si>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</si>
  <si>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</si>
  <si>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</si>
  <si>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</si>
  <si>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</si>
  <si>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</si>
  <si>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</si>
  <si>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</si>
  <si>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</si>
  <si>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</si>
  <si>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</si>
  <si>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</si>
  <si>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</si>
  <si>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</si>
  <si>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</si>
  <si>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</si>
  <si>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</si>
  <si>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</si>
  <si>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</si>
  <si>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</si>
  <si>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</si>
  <si>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</si>
  <si>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</si>
  <si>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</si>
  <si>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</si>
  <si>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</si>
  <si>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</si>
  <si>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</si>
  <si>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</si>
  <si>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</si>
  <si>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</si>
  <si>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</si>
  <si>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</si>
  <si>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</si>
  <si>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</si>
  <si>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</si>
  <si>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</si>
  <si>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</si>
  <si>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</si>
  <si>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</si>
  <si>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</si>
  <si>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</si>
  <si>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</si>
  <si>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</si>
  <si>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</si>
  <si>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</si>
  <si>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</si>
  <si>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</si>
  <si>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</si>
  <si>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</si>
  <si>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</si>
  <si>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</si>
  <si>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</si>
  <si>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</si>
  <si>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</si>
  <si>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</si>
  <si>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</si>
  <si>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</si>
  <si>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</si>
  <si>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</si>
  <si>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</si>
  <si>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</si>
  <si>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</si>
  <si>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</si>
  <si>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</si>
  <si>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</si>
  <si>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</si>
  <si>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</si>
  <si>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</si>
  <si>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</si>
  <si>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</si>
  <si>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</si>
  <si>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</si>
  <si>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</si>
  <si>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</si>
  <si>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</si>
  <si>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</si>
  <si>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</si>
  <si>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</si>
  <si>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</si>
  <si>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</si>
  <si>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</si>
  <si>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</si>
  <si>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</si>
  <si>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</si>
  <si>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</si>
  <si>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</si>
  <si>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</si>
  <si>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</si>
  <si>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</si>
  <si>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</si>
  <si>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</si>
  <si>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</si>
  <si>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</si>
  <si>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</si>
  <si>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</si>
  <si>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</si>
  <si>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</si>
  <si>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</si>
  <si>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</si>
  <si>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</si>
  <si>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</si>
  <si>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</si>
  <si>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</si>
  <si>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</si>
  <si>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</si>
  <si>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</si>
  <si>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</si>
  <si>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</si>
  <si>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</si>
  <si>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</si>
  <si>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</si>
  <si>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</si>
  <si>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</si>
  <si>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</si>
  <si>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</si>
  <si>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</si>
  <si>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</si>
  <si>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</si>
  <si>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</si>
  <si>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</si>
  <si>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</si>
  <si>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</si>
  <si>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</si>
  <si>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</si>
  <si>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</si>
  <si>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</si>
  <si>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</si>
  <si>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</si>
  <si>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</si>
  <si>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</si>
  <si>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</si>
  <si>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</si>
  <si>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</si>
  <si>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</si>
  <si>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</si>
  <si>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</si>
  <si>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</si>
  <si>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</si>
  <si>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</si>
  <si>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</si>
  <si>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</si>
  <si>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</si>
  <si>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</si>
  <si>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</si>
  <si>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</si>
  <si>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</si>
  <si>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</si>
  <si>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</si>
  <si>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</si>
  <si>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</si>
  <si>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</si>
  <si>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</si>
  <si>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</si>
  <si>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</si>
  <si>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</si>
  <si>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</si>
  <si>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</si>
  <si>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</si>
  <si>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</si>
  <si>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</si>
  <si>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</si>
  <si>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</si>
  <si>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</si>
  <si>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</si>
  <si>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</si>
  <si>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</si>
  <si>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</si>
  <si>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</si>
  <si>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</si>
  <si>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</si>
  <si>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</si>
  <si>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</si>
  <si>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</si>
  <si>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</si>
  <si>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</si>
  <si>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</si>
  <si>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</si>
  <si>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</si>
  <si>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</si>
  <si>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</si>
  <si>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</si>
  <si>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</si>
  <si>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</si>
  <si>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</si>
  <si>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</si>
  <si>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</si>
  <si>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</si>
  <si>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</si>
  <si>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</si>
  <si>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</si>
  <si>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</si>
  <si>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</si>
  <si>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</si>
  <si>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</si>
  <si>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</si>
  <si>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</si>
  <si>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</si>
  <si>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</si>
  <si>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</si>
  <si>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</si>
  <si>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</si>
  <si>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</si>
  <si>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</si>
  <si>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</si>
  <si>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</si>
  <si>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</si>
  <si>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</si>
  <si>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</si>
  <si>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</si>
  <si>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</si>
  <si>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</si>
  <si>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</si>
  <si>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</si>
  <si>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</si>
  <si>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</si>
  <si>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</si>
  <si>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</si>
  <si>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</si>
  <si>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</si>
  <si>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</si>
  <si>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</si>
  <si>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</si>
  <si>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</si>
  <si>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</si>
  <si>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</si>
  <si>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</si>
  <si>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</si>
  <si>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</si>
  <si>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</si>
  <si>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</si>
  <si>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</si>
  <si>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</si>
  <si>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</si>
  <si>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</si>
  <si>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</si>
  <si>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</si>
  <si>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</si>
  <si>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</si>
  <si>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</si>
  <si>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</si>
  <si>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</si>
  <si>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</si>
  <si>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</si>
  <si>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</si>
  <si>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</si>
  <si>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</si>
  <si>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</si>
  <si>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</si>
  <si>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</si>
  <si>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</si>
  <si>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</si>
  <si>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</si>
  <si>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</si>
  <si>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</si>
  <si>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</si>
  <si>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</si>
  <si>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</si>
  <si>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</si>
  <si>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</si>
  <si>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</si>
  <si>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</si>
  <si>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</si>
  <si>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</si>
  <si>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</si>
  <si>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</si>
  <si>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</si>
  <si>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</si>
  <si>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</si>
  <si>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</si>
  <si>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</si>
  <si>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</si>
  <si>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</si>
  <si>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</si>
  <si>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</si>
  <si>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</si>
  <si>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</si>
  <si>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</si>
  <si>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</si>
  <si>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</si>
  <si>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</si>
  <si>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</si>
  <si>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</si>
  <si>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</si>
  <si>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</si>
  <si>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</si>
  <si>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</si>
  <si>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</si>
  <si>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</si>
  <si>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</si>
  <si>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</si>
  <si>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</si>
  <si>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</si>
  <si>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</si>
  <si>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</si>
  <si>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</si>
  <si>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</si>
  <si>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</si>
  <si>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</si>
  <si>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</si>
  <si>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</si>
  <si>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</si>
  <si>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</si>
  <si>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</si>
  <si>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</si>
  <si>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</si>
  <si>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</si>
  <si>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</si>
  <si>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</si>
  <si>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</si>
  <si>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</si>
  <si>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</si>
  <si>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</si>
  <si>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</si>
  <si>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</si>
  <si>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</si>
  <si>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</si>
  <si>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</si>
  <si>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</si>
  <si>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</si>
  <si>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</si>
  <si>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</si>
  <si>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</si>
  <si>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</si>
  <si>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</si>
  <si>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</si>
  <si>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</si>
  <si>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</si>
  <si>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</si>
  <si>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</si>
  <si>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</si>
  <si>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</si>
  <si>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</si>
  <si>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</si>
  <si>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</si>
  <si>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</si>
  <si>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</si>
  <si>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</si>
  <si>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</si>
  <si>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</si>
  <si>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</si>
  <si>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</si>
  <si>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</si>
  <si>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</si>
  <si>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</si>
  <si>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</si>
  <si>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</si>
  <si>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</si>
  <si>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</si>
  <si>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</si>
  <si>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</si>
  <si>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</si>
  <si>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</si>
  <si>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</si>
  <si>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</si>
  <si>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</si>
  <si>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</si>
  <si>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</si>
  <si>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</si>
  <si>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</si>
  <si>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</si>
  <si>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</si>
  <si>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</si>
  <si>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</si>
  <si>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</si>
  <si>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</si>
  <si>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</si>
  <si>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</si>
  <si>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</si>
  <si>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</si>
  <si>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</si>
  <si>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</si>
  <si>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</si>
  <si>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</si>
  <si>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</si>
  <si>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</si>
  <si>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</si>
  <si>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</si>
  <si>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</si>
  <si>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</si>
  <si>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</si>
  <si>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</si>
  <si>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</si>
  <si>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</si>
  <si>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</si>
  <si>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</si>
  <si>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</si>
  <si>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</si>
  <si>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</si>
  <si>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</si>
  <si>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</si>
  <si>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</si>
  <si>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</si>
  <si>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</si>
  <si>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</si>
  <si>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</si>
  <si>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</si>
  <si>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</si>
  <si>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</si>
  <si>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</si>
  <si>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</si>
  <si>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</si>
  <si>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</si>
  <si>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</si>
  <si>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</si>
  <si>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</si>
  <si>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</si>
  <si>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</si>
  <si>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</si>
  <si>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</si>
  <si>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</si>
  <si>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</si>
  <si>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</si>
  <si>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</si>
  <si>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</si>
  <si>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</si>
  <si>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</si>
  <si>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</si>
  <si>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</si>
  <si>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</si>
  <si>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</si>
  <si>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</si>
  <si>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</si>
  <si>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</si>
  <si>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</si>
  <si>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</si>
  <si>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</si>
  <si>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</si>
  <si>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</si>
  <si>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</si>
  <si>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</si>
  <si>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</si>
  <si>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</si>
  <si>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</si>
  <si>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</si>
  <si>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</si>
  <si>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</si>
  <si>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</si>
  <si>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</si>
  <si>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</si>
  <si>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</si>
  <si>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</si>
  <si>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</si>
  <si>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</si>
  <si>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</si>
  <si>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</si>
  <si>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</si>
  <si>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</si>
  <si>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</si>
  <si>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</si>
  <si>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</si>
  <si>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</si>
  <si>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</si>
  <si>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</si>
  <si>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</si>
  <si>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</si>
  <si>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</si>
  <si>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</si>
  <si>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</si>
  <si>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</si>
  <si>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</si>
  <si>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</si>
  <si>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</si>
  <si>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</si>
  <si>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</si>
  <si>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</si>
  <si>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</si>
  <si>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</si>
  <si>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</si>
  <si>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</si>
  <si>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</si>
  <si>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</si>
  <si>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</si>
  <si>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</si>
  <si>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</si>
  <si>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</si>
  <si>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</si>
  <si>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</si>
  <si>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</si>
  <si>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</si>
  <si>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</si>
  <si>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</si>
  <si>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</si>
  <si>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</si>
  <si>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</si>
  <si>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</si>
  <si>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</si>
  <si>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</si>
  <si>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</si>
  <si>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</si>
  <si>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</si>
  <si>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</si>
  <si>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</si>
  <si>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</si>
  <si>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</si>
  <si>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</si>
  <si>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</si>
  <si>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</si>
  <si>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</si>
  <si>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</si>
  <si>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</si>
  <si>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</si>
  <si>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</si>
  <si>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</si>
  <si>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</si>
  <si>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</si>
  <si>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</si>
  <si>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</si>
  <si>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</si>
  <si>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</si>
  <si>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</si>
  <si>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</si>
  <si>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</si>
  <si>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</si>
  <si>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</si>
  <si>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</si>
  <si>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</si>
  <si>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</si>
  <si>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</si>
  <si>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</si>
  <si>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</si>
  <si>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</si>
  <si>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</si>
  <si>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</si>
  <si>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</si>
  <si>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</si>
  <si>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</si>
  <si>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</si>
  <si>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</si>
  <si>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</si>
  <si>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</si>
  <si>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</si>
  <si>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</si>
  <si>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</si>
  <si>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</si>
  <si>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</si>
  <si>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</si>
  <si>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</si>
  <si>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</si>
  <si>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</si>
  <si>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</si>
  <si>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</si>
  <si>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</si>
  <si>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</si>
  <si>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</si>
  <si>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</si>
  <si>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</si>
  <si>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</si>
  <si>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</si>
  <si>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</si>
  <si>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</si>
  <si>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</si>
  <si>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</si>
  <si>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</si>
  <si>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</si>
  <si>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</si>
  <si>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</si>
  <si>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</si>
  <si>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</si>
  <si>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</si>
  <si>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</si>
  <si>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</si>
  <si>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</si>
  <si>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</si>
  <si>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</si>
  <si>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</si>
  <si>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</si>
  <si>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</si>
  <si>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</si>
  <si>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</si>
  <si>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</si>
  <si>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</si>
  <si>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</si>
  <si>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</si>
  <si>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</si>
  <si>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</si>
  <si>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</si>
  <si>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</si>
  <si>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</si>
  <si>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</si>
  <si>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</si>
  <si>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</si>
  <si>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</si>
  <si>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</si>
  <si>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</si>
  <si>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</si>
  <si>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</si>
  <si>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</si>
  <si>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</si>
  <si>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</si>
  <si>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</si>
  <si>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</si>
  <si>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</si>
  <si>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</si>
  <si>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</si>
  <si>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</si>
  <si>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</si>
  <si>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</si>
  <si>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</si>
  <si>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</si>
  <si>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</si>
  <si>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</si>
  <si>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</si>
  <si>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</si>
  <si>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</si>
  <si>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</si>
  <si>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</si>
  <si>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</si>
  <si>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</si>
  <si>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</si>
  <si>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</si>
  <si>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</si>
  <si>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</si>
  <si>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</si>
  <si>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</si>
  <si>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</si>
  <si>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</si>
  <si>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</si>
  <si>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</si>
  <si>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</si>
  <si>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</si>
  <si>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</si>
  <si>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</si>
  <si>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</si>
  <si>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</si>
  <si>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</si>
  <si>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</si>
  <si>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</si>
  <si>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</si>
  <si>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</si>
  <si>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</si>
  <si>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</si>
  <si>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</si>
  <si>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</si>
  <si>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</si>
  <si>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</si>
  <si>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</si>
  <si>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</si>
  <si>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</si>
  <si>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</si>
  <si>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</si>
  <si>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</si>
  <si>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</si>
  <si>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</si>
  <si>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</si>
  <si>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</si>
  <si>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</si>
  <si>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</si>
  <si>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</si>
  <si>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</si>
  <si>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</si>
  <si>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</si>
  <si>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</si>
  <si>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</si>
  <si>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</si>
  <si>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</si>
  <si>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</si>
  <si>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</si>
  <si>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</si>
  <si>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</si>
  <si>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</si>
  <si>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</si>
  <si>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</si>
  <si>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</si>
  <si>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</si>
  <si>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</si>
  <si>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</si>
  <si>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</si>
  <si>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</si>
  <si>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</si>
  <si>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</si>
  <si>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</si>
  <si>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</si>
  <si>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</si>
  <si>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</si>
  <si>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</si>
  <si>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</si>
  <si>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</si>
  <si>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</si>
  <si>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</si>
  <si>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</si>
  <si>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</si>
  <si>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</si>
  <si>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</si>
  <si>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</si>
  <si>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</si>
  <si>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</si>
  <si>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</si>
  <si>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</si>
  <si>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</si>
  <si>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</si>
  <si>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</si>
  <si>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</si>
  <si>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</si>
  <si>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</si>
  <si>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</si>
  <si>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</si>
  <si>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</si>
  <si>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</si>
  <si>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</si>
  <si>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</si>
  <si>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</si>
  <si>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</si>
  <si>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</si>
  <si>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</si>
  <si>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</si>
  <si>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</si>
  <si>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</si>
  <si>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</si>
  <si>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</si>
  <si>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</si>
  <si>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</si>
  <si>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</si>
  <si>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</si>
  <si>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</si>
  <si>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</si>
  <si>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</si>
  <si>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</si>
  <si>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</si>
  <si>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</si>
  <si>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</si>
  <si>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</si>
  <si>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</si>
  <si>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</si>
  <si>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</si>
  <si>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</si>
  <si>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</si>
  <si>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</si>
  <si>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</si>
  <si>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</si>
  <si>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</si>
  <si>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</si>
  <si>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</si>
  <si>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</si>
  <si>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</si>
  <si>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</si>
  <si>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</si>
  <si>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</si>
  <si>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</si>
  <si>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</si>
  <si>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</si>
  <si>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</si>
  <si>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</si>
  <si>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</si>
  <si>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</si>
  <si>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</si>
  <si>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</si>
  <si>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</si>
  <si>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</si>
  <si>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</si>
  <si>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</si>
  <si>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</si>
  <si>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</si>
  <si>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</si>
  <si>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</si>
  <si>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</si>
  <si>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</si>
  <si>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</si>
  <si>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</si>
  <si>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</si>
  <si>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</si>
  <si>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</si>
  <si>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</si>
  <si>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</si>
  <si>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</si>
  <si>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</si>
  <si>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</si>
  <si>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</si>
  <si>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</si>
  <si>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</si>
  <si>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</si>
  <si>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</si>
  <si>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</si>
  <si>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</si>
  <si>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</si>
  <si>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</si>
  <si>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</si>
  <si>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</si>
  <si>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</si>
  <si>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</si>
  <si>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</si>
  <si>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</si>
  <si>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</si>
  <si>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</si>
  <si>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</si>
  <si>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</si>
  <si>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</si>
  <si>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</si>
  <si>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</si>
  <si>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</si>
  <si>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</si>
  <si>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</si>
  <si>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</si>
  <si>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</si>
  <si>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</si>
  <si>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</si>
  <si>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</si>
  <si>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</si>
  <si>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</si>
  <si>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</si>
  <si>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</si>
  <si>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</si>
  <si>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</si>
  <si>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</si>
  <si>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</si>
  <si>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</si>
  <si>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</si>
  <si>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</si>
  <si>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</si>
  <si>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</si>
  <si>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</si>
  <si>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</si>
  <si>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</si>
  <si>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</si>
  <si>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</si>
  <si>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</si>
  <si>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</si>
  <si>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</si>
  <si>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</si>
  <si>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</si>
  <si>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</si>
  <si>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</si>
  <si>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</si>
  <si>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</si>
  <si>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</si>
  <si>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</si>
  <si>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</si>
  <si>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</si>
  <si>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</si>
  <si>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</si>
  <si>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</si>
  <si>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</si>
  <si>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</si>
  <si>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</si>
  <si>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</si>
  <si>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</si>
  <si>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</si>
  <si>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</si>
  <si>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</si>
  <si>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</si>
  <si>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</si>
  <si>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</si>
  <si>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</si>
  <si>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</si>
  <si>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</si>
  <si>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</si>
  <si>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</si>
  <si>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</si>
  <si>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</si>
  <si>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</si>
  <si>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</si>
  <si>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</si>
  <si>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</si>
  <si>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</si>
  <si>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</si>
  <si>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</si>
  <si>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</si>
  <si>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</si>
  <si>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</si>
  <si>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</si>
  <si>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</si>
  <si>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</si>
  <si>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</si>
  <si>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</si>
  <si>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</si>
  <si>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</si>
  <si>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</si>
  <si>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</si>
  <si>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</si>
  <si>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</si>
  <si>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</si>
  <si>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</si>
  <si>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</si>
  <si>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</si>
  <si>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</si>
  <si>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</si>
  <si>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</si>
  <si>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</si>
  <si>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</si>
  <si>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</si>
  <si>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</si>
  <si>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</si>
  <si>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</si>
  <si>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</si>
  <si>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</si>
  <si>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</si>
  <si>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</si>
  <si>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</si>
  <si>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</si>
  <si>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</si>
  <si>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</si>
  <si>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</si>
  <si>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</si>
  <si>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</si>
  <si>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</si>
  <si>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</si>
  <si>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</si>
  <si>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</si>
  <si>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</si>
  <si>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</si>
  <si>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</si>
  <si>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</si>
  <si>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</si>
  <si>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</si>
  <si>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</si>
  <si>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</si>
  <si>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</si>
  <si>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</si>
  <si>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</si>
  <si>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</si>
  <si>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</si>
  <si>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</si>
  <si>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</si>
  <si>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</si>
  <si>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</si>
  <si>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</si>
  <si>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</si>
  <si>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</si>
  <si>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</si>
  <si>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</si>
  <si>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</si>
  <si>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</si>
  <si>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</si>
  <si>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</si>
  <si>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</si>
  <si>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</si>
  <si>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</si>
  <si>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</si>
  <si>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</si>
  <si>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</si>
  <si>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</si>
  <si>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</si>
  <si>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</si>
  <si>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</si>
  <si>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</si>
  <si>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</si>
  <si>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</si>
  <si>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</si>
  <si>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</si>
  <si>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</si>
  <si>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</si>
  <si>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</si>
  <si>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</si>
  <si>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</si>
  <si>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</si>
  <si>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</si>
  <si>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</si>
  <si>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</si>
  <si>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</si>
  <si>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</si>
  <si>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</si>
  <si>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</si>
  <si>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</si>
  <si>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</si>
  <si>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</si>
  <si>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</si>
  <si>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</si>
  <si>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</si>
  <si>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</si>
  <si>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</si>
  <si>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</si>
  <si>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</si>
  <si>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</si>
  <si>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</si>
  <si>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</si>
  <si>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</si>
  <si>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</si>
  <si>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</si>
  <si>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</si>
  <si>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</si>
  <si>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</si>
  <si>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</si>
  <si>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</si>
  <si>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</si>
  <si>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</si>
  <si>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</si>
  <si>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</si>
  <si>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</si>
  <si>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</si>
  <si>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</si>
  <si>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</si>
  <si>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</si>
  <si>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</si>
  <si>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</si>
  <si>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</si>
  <si>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</si>
  <si>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</si>
  <si>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</si>
  <si>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</si>
  <si>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</si>
  <si>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</si>
  <si>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</si>
  <si>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</si>
  <si>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</si>
  <si>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</si>
  <si>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</si>
  <si>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</si>
  <si>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</si>
  <si>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</si>
  <si>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</si>
  <si>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</si>
  <si>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</si>
  <si>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</si>
  <si>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</si>
  <si>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</si>
  <si>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</si>
  <si>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</si>
  <si>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</si>
  <si>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</si>
  <si>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</si>
  <si>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</si>
  <si>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</si>
  <si>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</si>
  <si>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</si>
  <si>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</si>
  <si>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</si>
  <si>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</si>
  <si>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</si>
  <si>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</si>
  <si>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</si>
  <si>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</si>
  <si>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</si>
  <si>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</si>
  <si>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</si>
  <si>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</si>
  <si>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</si>
  <si>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</si>
  <si>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</si>
  <si>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</si>
  <si>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</si>
  <si>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</si>
  <si>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</si>
  <si>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</si>
  <si>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</si>
  <si>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</si>
  <si>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</si>
  <si>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</si>
  <si>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</si>
  <si>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</si>
  <si>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</si>
  <si>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</si>
  <si>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</si>
  <si>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</si>
  <si>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</si>
  <si>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</si>
  <si>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</si>
  <si>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</si>
  <si>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</si>
  <si>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</si>
  <si>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</si>
  <si>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</si>
  <si>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</si>
  <si>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</si>
  <si>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</si>
  <si>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</si>
  <si>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</si>
  <si>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</si>
  <si>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</si>
  <si>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</si>
  <si>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</si>
  <si>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</si>
  <si>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</si>
  <si>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</si>
  <si>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</si>
  <si>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</si>
  <si>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</si>
  <si>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</si>
  <si>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</si>
  <si>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</si>
  <si>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</si>
  <si>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</si>
  <si>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</si>
  <si>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</si>
  <si>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</si>
  <si>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</si>
  <si>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</si>
  <si>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</si>
  <si>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</si>
  <si>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</si>
  <si>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</si>
  <si>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</si>
  <si>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</si>
  <si>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</si>
  <si>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</si>
  <si>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</si>
  <si>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</si>
  <si>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</si>
  <si>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</si>
  <si>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</si>
  <si>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</si>
  <si>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</si>
  <si>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</si>
  <si>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</si>
  <si>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</si>
  <si>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</si>
  <si>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</si>
  <si>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</si>
  <si>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</si>
  <si>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</si>
  <si>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</si>
  <si>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</si>
  <si>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</si>
  <si>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</si>
  <si>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</si>
  <si>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</si>
  <si>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</si>
  <si>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</si>
  <si>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</si>
  <si>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</si>
  <si>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</si>
  <si>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</si>
  <si>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</si>
  <si>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</si>
  <si>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</si>
  <si>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</si>
  <si>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</si>
  <si>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</si>
  <si>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</si>
  <si>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</si>
  <si>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</si>
  <si>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</si>
  <si>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</si>
  <si>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</si>
  <si>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</si>
  <si>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</si>
  <si>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</si>
  <si>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</si>
  <si>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</si>
  <si>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</si>
  <si>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</si>
  <si>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</si>
  <si>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</si>
  <si>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</si>
  <si>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</si>
  <si>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</si>
  <si>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</si>
  <si>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</si>
  <si>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</si>
  <si>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</si>
  <si>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</si>
  <si>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</si>
  <si>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</si>
  <si>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</si>
  <si>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</si>
  <si>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</si>
  <si>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</si>
  <si>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</si>
  <si>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</si>
  <si>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</si>
  <si>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</si>
  <si>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</si>
  <si>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</si>
  <si>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</si>
  <si>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</si>
  <si>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</si>
  <si>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</si>
  <si>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</si>
  <si>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</si>
  <si>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</si>
  <si>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</si>
  <si>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</si>
  <si>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</si>
  <si>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</si>
  <si>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</si>
  <si>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</si>
  <si>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</si>
  <si>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</si>
  <si>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</si>
  <si>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</si>
  <si>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</si>
  <si>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</si>
  <si>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</si>
  <si>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</si>
  <si>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</si>
  <si>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</si>
  <si>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</si>
  <si>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</si>
  <si>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</si>
  <si>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</si>
  <si>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</si>
  <si>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</si>
  <si>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</si>
  <si>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</si>
  <si>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</si>
  <si>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</si>
  <si>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</si>
  <si>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</si>
  <si>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</si>
  <si>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</si>
  <si>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</si>
  <si>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</si>
  <si>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</si>
  <si>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</si>
  <si>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</si>
  <si>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</si>
  <si>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</si>
  <si>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</si>
  <si>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</si>
  <si>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</si>
  <si>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</si>
  <si>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</si>
  <si>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</si>
  <si>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</si>
  <si>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</si>
  <si>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</si>
  <si>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</si>
  <si>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</si>
  <si>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</si>
  <si>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</si>
  <si>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</si>
  <si>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</si>
  <si>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</si>
  <si>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</si>
  <si>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</si>
  <si>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</si>
  <si>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</si>
  <si>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</si>
  <si>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</si>
  <si>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</si>
  <si>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</si>
  <si>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</si>
  <si>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</si>
  <si>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</si>
  <si>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</si>
  <si>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</si>
  <si>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</si>
  <si>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</si>
  <si>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</si>
  <si>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</si>
  <si>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</si>
  <si>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</si>
  <si>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</si>
  <si>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</si>
  <si>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</si>
  <si>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</si>
  <si>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</si>
  <si>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</si>
  <si>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</si>
  <si>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</si>
  <si>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</si>
  <si>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</si>
  <si>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</si>
  <si>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</si>
  <si>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</si>
  <si>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</si>
  <si>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</si>
  <si>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</si>
  <si>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</si>
  <si>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</si>
  <si>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</si>
  <si>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</si>
  <si>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</si>
  <si>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</si>
  <si>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</si>
  <si>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</si>
  <si>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</si>
  <si>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</si>
  <si>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</si>
  <si>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</si>
  <si>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</si>
  <si>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</si>
  <si>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</si>
  <si>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</si>
  <si>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</si>
  <si>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</si>
  <si>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</si>
  <si>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</si>
  <si>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</si>
  <si>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</si>
  <si>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</si>
  <si>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</si>
  <si>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</si>
  <si>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</si>
  <si>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</si>
  <si>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</si>
  <si>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</si>
  <si>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</si>
  <si>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</si>
  <si>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</si>
  <si>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</si>
  <si>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</si>
  <si>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</si>
  <si>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</si>
  <si>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</si>
  <si>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</si>
  <si>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</si>
  <si>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</si>
  <si>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</si>
  <si>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</si>
  <si>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</si>
  <si>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</si>
  <si>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</si>
  <si>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</si>
  <si>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</si>
  <si>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</si>
  <si>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</si>
  <si>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</si>
  <si>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</si>
  <si>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</si>
  <si>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</si>
  <si>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</si>
  <si>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</si>
  <si>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</si>
  <si>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</si>
  <si>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</si>
  <si>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</si>
  <si>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</si>
  <si>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</si>
  <si>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</si>
  <si>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</si>
  <si>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</si>
  <si>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</si>
  <si>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</si>
  <si>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</si>
  <si>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</si>
  <si>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</si>
  <si>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</si>
  <si>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</si>
  <si>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</si>
  <si>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</si>
  <si>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</si>
  <si>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</si>
  <si>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</si>
  <si>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</si>
  <si>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</si>
  <si>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</si>
  <si>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</si>
  <si>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</si>
  <si>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</si>
  <si>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</si>
  <si>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</si>
  <si>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</si>
  <si>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</si>
  <si>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</si>
  <si>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</si>
  <si>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</si>
  <si>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</si>
  <si>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</si>
  <si>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</si>
  <si>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</si>
  <si>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</si>
  <si>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</si>
  <si>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</si>
  <si>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</si>
  <si>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</si>
  <si>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</si>
  <si>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</si>
  <si>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</si>
  <si>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</si>
  <si>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</si>
  <si>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</si>
  <si>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</si>
  <si>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</si>
  <si>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</si>
  <si>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</si>
  <si>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</si>
  <si>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</si>
  <si>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</si>
  <si>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</si>
  <si>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</si>
  <si>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</si>
  <si>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</si>
  <si>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</si>
  <si>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</si>
  <si>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</si>
  <si>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</si>
  <si>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</si>
  <si>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</si>
  <si>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</si>
  <si>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</si>
  <si>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</si>
  <si>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</si>
  <si>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</si>
  <si>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</si>
  <si>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</si>
  <si>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</si>
  <si>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</si>
  <si>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</si>
  <si>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</si>
  <si>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</si>
  <si>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</si>
  <si>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</si>
  <si>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</si>
  <si>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</si>
  <si>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</si>
  <si>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</si>
  <si>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</si>
  <si>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</si>
  <si>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</si>
  <si>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</si>
  <si>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</si>
  <si>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</si>
  <si>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</si>
  <si>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</si>
  <si>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</si>
  <si>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</si>
  <si>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</si>
  <si>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</si>
  <si>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</si>
  <si>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</si>
  <si>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</si>
  <si>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</si>
  <si>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</si>
  <si>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</si>
  <si>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</si>
  <si>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</si>
  <si>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</si>
  <si>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</si>
  <si>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</si>
  <si>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</si>
  <si>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</si>
  <si>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</si>
  <si>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</si>
  <si>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</si>
  <si>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</si>
  <si>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</si>
  <si>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</si>
  <si>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</si>
  <si>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</si>
  <si>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</si>
  <si>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</si>
  <si>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</si>
  <si>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</si>
  <si>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</si>
  <si>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</si>
  <si>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</si>
  <si>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</si>
  <si>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</si>
  <si>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</si>
  <si>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</si>
  <si>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</si>
  <si>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</si>
  <si>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</si>
  <si>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</si>
  <si>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</si>
  <si>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</si>
  <si>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</si>
  <si>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</si>
  <si>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</si>
  <si>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</si>
  <si>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</si>
  <si>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</si>
  <si>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</si>
  <si>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</si>
  <si>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</si>
  <si>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</si>
  <si>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</si>
  <si>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</si>
  <si>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</si>
  <si>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</si>
  <si>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</si>
  <si>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</si>
  <si>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</si>
  <si>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</si>
  <si>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</si>
  <si>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</si>
  <si>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</si>
  <si>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</si>
  <si>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</si>
  <si>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</si>
  <si>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</si>
  <si>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</si>
  <si>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</si>
  <si>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</si>
  <si>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</si>
  <si>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</si>
  <si>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</si>
  <si>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</si>
  <si>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</si>
  <si>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</si>
  <si>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</si>
  <si>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</si>
  <si>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</si>
  <si>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</si>
  <si>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</si>
  <si>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</si>
  <si>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</si>
  <si>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</si>
  <si>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</si>
  <si>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</si>
  <si>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</si>
  <si>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</si>
  <si>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</si>
  <si>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</si>
  <si>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</si>
  <si>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</si>
  <si>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</si>
  <si>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</si>
  <si>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</si>
  <si>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</si>
  <si>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</si>
  <si>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</si>
  <si>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</si>
  <si>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</si>
  <si>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</si>
  <si>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</si>
  <si>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</si>
  <si>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</si>
  <si>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</si>
  <si>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</si>
  <si>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</si>
  <si>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</si>
  <si>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</si>
  <si>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</si>
  <si>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</si>
  <si>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</si>
  <si>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</si>
  <si>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</si>
  <si>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</si>
  <si>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</si>
  <si>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</si>
  <si>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</si>
  <si>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</si>
  <si>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</si>
  <si>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</si>
  <si>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</si>
  <si>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</si>
  <si>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</si>
  <si>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</si>
  <si>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</si>
  <si>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</si>
  <si>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</si>
  <si>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</si>
  <si>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</si>
  <si>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</si>
  <si>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</si>
  <si>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</si>
  <si>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</si>
  <si>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</si>
  <si>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</si>
  <si>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</si>
  <si>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</si>
  <si>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</si>
  <si>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</si>
  <si>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</si>
  <si>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</si>
  <si>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</si>
  <si>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</si>
  <si>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</si>
  <si>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</si>
  <si>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</si>
  <si>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</si>
  <si>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</si>
  <si>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</si>
  <si>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</si>
  <si>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</si>
  <si>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</si>
  <si>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</si>
  <si>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</si>
  <si>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</si>
  <si>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</si>
  <si>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</si>
  <si>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</si>
  <si>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</si>
  <si>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</si>
  <si>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</si>
  <si>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</si>
  <si>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</si>
  <si>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</si>
  <si>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</si>
  <si>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</si>
  <si>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</si>
  <si>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</si>
  <si>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</si>
  <si>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</si>
  <si>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</si>
  <si>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</si>
  <si>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</si>
  <si>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</si>
  <si>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</si>
  <si>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</si>
  <si>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</si>
  <si>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</si>
  <si>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</si>
  <si>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</si>
  <si>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</si>
  <si>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</si>
  <si>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</si>
  <si>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</si>
  <si>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</si>
  <si>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</si>
  <si>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</si>
  <si>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</si>
  <si>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</si>
  <si>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</si>
  <si>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</si>
  <si>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</si>
  <si>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</si>
  <si>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</si>
  <si>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</si>
  <si>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</si>
  <si>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</si>
  <si>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</si>
  <si>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</si>
  <si>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</si>
  <si>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</si>
  <si>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</si>
  <si>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</si>
  <si>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</si>
  <si>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</si>
  <si>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</si>
  <si>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</si>
  <si>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</si>
  <si>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</si>
  <si>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</si>
  <si>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</si>
  <si>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</si>
  <si>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</si>
  <si>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</si>
  <si>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</si>
  <si>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</si>
  <si>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</si>
  <si>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</si>
  <si>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</si>
  <si>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</si>
  <si>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</si>
  <si>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</si>
  <si>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</si>
  <si>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</si>
  <si>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</si>
  <si>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</si>
  <si>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</si>
  <si>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</si>
  <si>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</si>
  <si>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</si>
  <si>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</si>
  <si>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</si>
  <si>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</si>
  <si>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</si>
  <si>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</si>
  <si>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</si>
  <si>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</si>
  <si>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</si>
  <si>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</si>
  <si>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</si>
  <si>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</si>
  <si>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</si>
  <si>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</si>
  <si>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</si>
  <si>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</si>
  <si>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</si>
  <si>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</si>
  <si>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</si>
  <si>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</si>
  <si>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</si>
  <si>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</si>
  <si>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</si>
  <si>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</si>
  <si>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</si>
  <si>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</si>
  <si>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</si>
  <si>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</si>
  <si>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</si>
  <si>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</si>
  <si>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</si>
  <si>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</si>
  <si>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</si>
  <si>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</si>
  <si>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</si>
  <si>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</si>
  <si>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</si>
  <si>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</si>
  <si>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</si>
  <si>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</si>
  <si>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</si>
  <si>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</si>
  <si>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</si>
  <si>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</si>
  <si>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</si>
  <si>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</si>
  <si>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</si>
  <si>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</si>
  <si>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</si>
  <si>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</si>
  <si>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</si>
  <si>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</si>
  <si>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</si>
  <si>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</si>
  <si>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</si>
  <si>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</si>
  <si>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</si>
  <si>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</si>
  <si>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</si>
  <si>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</si>
  <si>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</si>
  <si>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</si>
  <si>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</si>
  <si>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</si>
  <si>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</si>
  <si>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</si>
  <si>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</si>
  <si>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</si>
  <si>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</si>
  <si>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</si>
  <si>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</si>
  <si>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</si>
  <si>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</si>
  <si>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</si>
  <si>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</si>
  <si>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</si>
  <si>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</si>
  <si>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</si>
  <si>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</si>
  <si>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</si>
  <si>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</si>
  <si>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</si>
  <si>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</si>
  <si>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</si>
  <si>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</si>
  <si>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</si>
  <si>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</si>
  <si>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</si>
  <si>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</si>
  <si>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</si>
  <si>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</si>
  <si>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</si>
  <si>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</si>
  <si>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</si>
  <si>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</si>
  <si>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</si>
  <si>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</si>
  <si>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</si>
  <si>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</si>
  <si>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</si>
  <si>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</si>
  <si>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</si>
  <si>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</si>
  <si>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</si>
  <si>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</si>
  <si>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</si>
  <si>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</si>
  <si>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</si>
  <si>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</si>
  <si>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</si>
  <si>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</si>
  <si>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</si>
  <si>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</si>
  <si>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</si>
  <si>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</si>
  <si>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</si>
  <si>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</si>
  <si>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</si>
  <si>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</si>
  <si>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</si>
  <si>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</si>
  <si>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</si>
  <si>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</si>
  <si>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</si>
  <si>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</si>
  <si>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</si>
  <si>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</si>
  <si>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</si>
  <si>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</si>
  <si>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</si>
  <si>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</si>
  <si>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</si>
  <si>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</si>
  <si>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</si>
  <si>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</si>
  <si>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</si>
  <si>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</si>
  <si>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</si>
  <si>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</si>
  <si>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</si>
  <si>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</si>
  <si>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</si>
  <si>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</si>
  <si>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</si>
  <si>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</si>
  <si>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</si>
  <si>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</si>
  <si>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</si>
  <si>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</si>
  <si>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</si>
  <si>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</si>
  <si>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</si>
  <si>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</si>
  <si>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</si>
  <si>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</si>
  <si>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</si>
  <si>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</si>
  <si>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</si>
  <si>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</si>
  <si>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</si>
  <si>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</si>
  <si>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</si>
  <si>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</si>
  <si>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</si>
  <si>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</si>
  <si>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</si>
  <si>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</si>
  <si>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</si>
  <si>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</si>
  <si>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</si>
  <si>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</si>
  <si>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</si>
  <si>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</si>
  <si>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</si>
  <si>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</si>
  <si>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</si>
  <si>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</si>
  <si>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</si>
  <si>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</si>
  <si>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</si>
  <si>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</si>
  <si>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</si>
  <si>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</si>
  <si>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</si>
  <si>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</si>
  <si>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</si>
  <si>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</si>
  <si>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</si>
  <si>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</si>
  <si>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</si>
  <si>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</si>
  <si>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</si>
  <si>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</si>
  <si>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</si>
  <si>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</si>
  <si>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</si>
  <si>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</si>
  <si>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</si>
  <si>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</si>
  <si>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</si>
  <si>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</si>
  <si>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</si>
  <si>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</si>
  <si>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</si>
  <si>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</si>
  <si>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</si>
  <si>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</si>
  <si>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</si>
  <si>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</si>
  <si>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</si>
  <si>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</si>
  <si>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</si>
  <si>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</si>
  <si>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</si>
  <si>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</si>
  <si>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</si>
  <si>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</si>
  <si>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</si>
  <si>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</si>
  <si>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</si>
  <si>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</si>
  <si>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</si>
  <si>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</si>
  <si>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</si>
  <si>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</si>
  <si>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</si>
  <si>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</si>
  <si>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</si>
  <si>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</si>
  <si>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</si>
  <si>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</si>
  <si>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</si>
  <si>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</si>
  <si>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</si>
  <si>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</si>
  <si>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</si>
  <si>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</si>
  <si>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</si>
  <si>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</si>
  <si>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</si>
  <si>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</si>
  <si>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</si>
  <si>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</si>
  <si>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</si>
  <si>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</si>
  <si>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</si>
  <si>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</si>
  <si>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</si>
  <si>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</si>
  <si>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</si>
  <si>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</si>
  <si>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</si>
  <si>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</si>
  <si>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</si>
  <si>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</si>
  <si>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</si>
  <si>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</si>
  <si>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</si>
  <si>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</si>
  <si>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</si>
  <si>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</si>
  <si>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</si>
  <si>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</si>
  <si>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</si>
  <si>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</si>
  <si>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</si>
  <si>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</si>
  <si>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</si>
  <si>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</si>
  <si>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</si>
  <si>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</si>
  <si>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</si>
  <si>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</si>
  <si>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</si>
  <si>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</si>
  <si>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</si>
  <si>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</si>
  <si>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</si>
  <si>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</si>
  <si>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</si>
  <si>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</si>
  <si>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</si>
  <si>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</si>
  <si>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</si>
  <si>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</si>
  <si>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</si>
  <si>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</si>
  <si>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</si>
  <si>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</si>
  <si>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</si>
  <si>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</si>
  <si>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</si>
  <si>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</si>
  <si>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</si>
  <si>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</si>
  <si>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</si>
  <si>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</si>
  <si>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</si>
  <si>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</si>
  <si>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</si>
  <si>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</si>
  <si>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</si>
  <si>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</si>
  <si>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</si>
  <si>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</si>
  <si>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</si>
  <si>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</si>
  <si>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</si>
  <si>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</si>
  <si>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</si>
  <si>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</si>
  <si>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</si>
  <si>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</si>
  <si>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</si>
  <si>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</si>
  <si>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</si>
  <si>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</si>
  <si>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</si>
  <si>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</si>
  <si>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</si>
  <si>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</si>
  <si>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</si>
  <si>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</si>
  <si>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</si>
  <si>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</si>
  <si>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</si>
  <si>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</si>
  <si>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</si>
  <si>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</si>
  <si>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</si>
  <si>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</si>
  <si>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</si>
  <si>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</si>
  <si>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</si>
  <si>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</si>
  <si>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</si>
  <si>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</si>
  <si>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</si>
  <si>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</si>
  <si>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</si>
  <si>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</si>
  <si>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</si>
  <si>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</si>
  <si>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</si>
  <si>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</si>
  <si>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</si>
  <si>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</si>
  <si>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</si>
  <si>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</si>
  <si>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</si>
  <si>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</si>
  <si>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</si>
  <si>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</si>
  <si>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</si>
  <si>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</si>
  <si>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</si>
  <si>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</si>
  <si>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</si>
  <si>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</si>
  <si>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</si>
  <si>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</si>
  <si>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</si>
  <si>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</si>
  <si>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</si>
  <si>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</si>
  <si>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</si>
  <si>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</si>
  <si>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</si>
  <si>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</si>
  <si>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</si>
  <si>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</si>
  <si>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</si>
  <si>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</si>
  <si>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</si>
  <si>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</si>
  <si>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</si>
  <si>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</si>
  <si>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</si>
  <si>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</si>
  <si>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</si>
  <si>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</si>
  <si>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</si>
  <si>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</si>
  <si>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</si>
  <si>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</si>
  <si>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</si>
  <si>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</si>
  <si>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</si>
  <si>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</si>
  <si>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</si>
  <si>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</si>
  <si>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</si>
  <si>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</si>
  <si>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</si>
  <si>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</si>
  <si>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</si>
  <si>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</si>
  <si>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</si>
  <si>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</si>
  <si>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</si>
  <si>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</si>
  <si>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</si>
  <si>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</si>
  <si>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</si>
  <si>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</si>
  <si>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</si>
  <si>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</si>
  <si>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</si>
  <si>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</si>
  <si>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</si>
  <si>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</si>
  <si>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</si>
  <si>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</si>
  <si>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</si>
  <si>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</si>
  <si>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</si>
  <si>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</si>
  <si>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</si>
  <si>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</si>
  <si>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</si>
  <si>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</si>
  <si>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</si>
  <si>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</si>
  <si>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</si>
  <si>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</si>
  <si>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</si>
  <si>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</si>
  <si>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</si>
  <si>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</si>
  <si>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</si>
  <si>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</si>
  <si>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</si>
  <si>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</si>
  <si>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</si>
  <si>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</si>
  <si>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</si>
  <si>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</si>
  <si>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</si>
  <si>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</si>
  <si>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</si>
  <si>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</si>
  <si>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</si>
  <si>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</si>
  <si>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</si>
  <si>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</si>
  <si>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</si>
  <si>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</si>
  <si>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</si>
  <si>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</si>
  <si>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</si>
  <si>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</si>
  <si>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</si>
  <si>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</si>
  <si>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</si>
  <si>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</si>
  <si>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</si>
  <si>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</si>
  <si>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</si>
  <si>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</si>
  <si>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</si>
  <si>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</si>
  <si>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</si>
  <si>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</si>
  <si>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</si>
  <si>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</si>
  <si>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</si>
  <si>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</si>
  <si>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</si>
  <si>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</si>
  <si>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</si>
  <si>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</si>
  <si>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</si>
  <si>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</si>
  <si>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</si>
  <si>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</si>
  <si>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</si>
  <si>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</si>
  <si>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</si>
  <si>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</si>
  <si>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</si>
  <si>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</si>
  <si>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</si>
  <si>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</si>
  <si>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</si>
  <si>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</si>
  <si>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</si>
  <si>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</si>
  <si>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</si>
  <si>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</si>
  <si>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</si>
  <si>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</si>
  <si>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</si>
  <si>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</si>
  <si>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</si>
  <si>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</si>
  <si>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</si>
  <si>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</si>
  <si>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</si>
  <si>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</si>
  <si>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</si>
  <si>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</si>
  <si>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</si>
  <si>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</si>
  <si>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</si>
  <si>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</si>
  <si>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</si>
  <si>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</si>
  <si>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</si>
  <si>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</si>
  <si>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</si>
  <si>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</si>
  <si>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</si>
  <si>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</si>
  <si>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</si>
  <si>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</si>
  <si>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</si>
  <si>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</si>
  <si>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</si>
  <si>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</si>
  <si>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</si>
  <si>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</si>
  <si>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</si>
  <si>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</si>
  <si>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</si>
  <si>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</si>
  <si>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</si>
  <si>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</si>
  <si>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</si>
  <si>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</si>
  <si>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</si>
  <si>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</si>
  <si>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</si>
  <si>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</si>
  <si>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</si>
  <si>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</si>
  <si>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</si>
  <si>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</si>
  <si>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</si>
  <si>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</si>
  <si>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</si>
  <si>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</si>
  <si>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</si>
  <si>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</si>
  <si>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</si>
  <si>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</si>
  <si>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</si>
  <si>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</si>
  <si>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</si>
  <si>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</si>
  <si>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</si>
  <si>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</si>
  <si>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</si>
  <si>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</si>
  <si>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</si>
  <si>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</si>
  <si>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</si>
  <si>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</si>
  <si>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</si>
  <si>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</si>
  <si>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</si>
  <si>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</si>
  <si>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</si>
  <si>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</si>
  <si>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</si>
  <si>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</si>
  <si>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</si>
  <si>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</si>
  <si>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</si>
  <si>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</si>
  <si>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</si>
  <si>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</si>
  <si>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</si>
  <si>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</si>
  <si>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</si>
  <si>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</si>
  <si>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</si>
  <si>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</si>
  <si>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</si>
  <si>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</si>
  <si>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</si>
  <si>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</si>
  <si>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</si>
  <si>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</si>
  <si>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</si>
  <si>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</si>
  <si>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</si>
  <si>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</si>
  <si>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</si>
  <si>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</si>
  <si>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</si>
  <si>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</si>
  <si>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</si>
  <si>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</si>
  <si>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</si>
  <si>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</si>
  <si>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</si>
  <si>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</si>
  <si>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</si>
  <si>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</si>
  <si>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</si>
  <si>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</si>
  <si>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</si>
  <si>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</si>
  <si>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</si>
  <si>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</si>
  <si>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</si>
  <si>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</si>
  <si>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</si>
  <si>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</si>
  <si>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</si>
  <si>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</si>
  <si>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</si>
  <si>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</si>
  <si>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</si>
  <si>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</si>
  <si>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</si>
  <si>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</si>
  <si>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</si>
  <si>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</si>
  <si>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</si>
  <si>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</si>
  <si>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</si>
  <si>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</si>
  <si>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</si>
  <si>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</si>
  <si>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</si>
  <si>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</si>
  <si>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</si>
  <si>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</si>
  <si>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</si>
  <si>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</si>
  <si>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</si>
  <si>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</si>
  <si>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</si>
  <si>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</si>
  <si>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</si>
  <si>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</si>
  <si>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</si>
  <si>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</si>
  <si>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</si>
  <si>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</si>
  <si>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</si>
  <si>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</si>
  <si>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</si>
  <si>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</si>
  <si>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</si>
  <si>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</si>
  <si>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</si>
  <si>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</si>
  <si>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</si>
  <si>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</si>
  <si>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</si>
  <si>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</si>
  <si>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</si>
  <si>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</si>
  <si>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</si>
  <si>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</si>
  <si>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</si>
  <si>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</si>
  <si>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</si>
  <si>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</si>
  <si>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</si>
  <si>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</si>
  <si>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</si>
  <si>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</si>
  <si>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</si>
  <si>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</si>
  <si>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</si>
  <si>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</si>
  <si>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</si>
  <si>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</si>
  <si>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</si>
  <si>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</si>
  <si>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</si>
  <si>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</si>
  <si>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</si>
  <si>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</si>
  <si>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</si>
  <si>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</si>
  <si>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</si>
  <si>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</si>
  <si>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</si>
  <si>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</si>
  <si>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</si>
  <si>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</si>
  <si>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</si>
  <si>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</si>
  <si>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</si>
  <si>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</si>
  <si>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</si>
  <si>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</si>
  <si>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</si>
  <si>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</si>
  <si>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</si>
  <si>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</si>
  <si>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</si>
  <si>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</si>
  <si>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</si>
  <si>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</si>
  <si>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</si>
  <si>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</si>
  <si>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</si>
  <si>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</si>
  <si>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</si>
  <si>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</si>
  <si>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</si>
  <si>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</si>
  <si>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</si>
  <si>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</si>
  <si>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</si>
  <si>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</si>
  <si>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</si>
  <si>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</si>
  <si>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</si>
  <si>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</si>
  <si>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</si>
  <si>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</si>
  <si>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</si>
  <si>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</si>
  <si>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</si>
  <si>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</si>
  <si>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</si>
  <si>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</si>
  <si>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</si>
  <si>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</si>
  <si>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</si>
  <si>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</si>
  <si>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</si>
  <si>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</si>
  <si>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</si>
  <si>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</si>
  <si>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</si>
  <si>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</si>
  <si>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</si>
  <si>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</si>
  <si>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</si>
  <si>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</si>
  <si>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</si>
  <si>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</si>
  <si>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</si>
  <si>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</si>
  <si>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</si>
  <si>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</si>
  <si>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</si>
  <si>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</si>
  <si>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</si>
  <si>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</si>
  <si>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</si>
  <si>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</si>
  <si>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</si>
  <si>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</si>
  <si>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</si>
  <si>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</si>
  <si>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</si>
  <si>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</si>
  <si>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</si>
  <si>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</si>
  <si>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</si>
  <si>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</si>
  <si>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</si>
  <si>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</si>
  <si>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</si>
  <si>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</si>
  <si>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</si>
  <si>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</si>
  <si>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</si>
  <si>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</si>
  <si>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</si>
  <si>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</si>
  <si>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</si>
  <si>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</si>
  <si>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</si>
  <si>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</si>
  <si>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</si>
  <si>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</si>
  <si>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</si>
  <si>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</si>
  <si>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</si>
  <si>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</si>
  <si>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</si>
  <si>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</si>
  <si>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</si>
  <si>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</si>
  <si>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</si>
  <si>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</si>
  <si>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</si>
  <si>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</si>
  <si>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</si>
  <si>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</si>
  <si>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</si>
  <si>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</si>
  <si>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</si>
  <si>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</si>
  <si>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</si>
  <si>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</si>
  <si>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</si>
  <si>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</si>
  <si>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</si>
  <si>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</si>
  <si>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</si>
  <si>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</si>
  <si>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</si>
  <si>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</si>
  <si>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</si>
  <si>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</si>
  <si>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</si>
  <si>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</si>
  <si>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</si>
  <si>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</si>
  <si>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</si>
  <si>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</si>
  <si>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</si>
  <si>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</si>
  <si>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</si>
  <si>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</si>
  <si>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</si>
  <si>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</si>
  <si>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</si>
  <si>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</si>
  <si>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</si>
  <si>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</si>
  <si>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</si>
  <si>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</si>
  <si>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</si>
  <si>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</si>
  <si>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</si>
  <si>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</si>
  <si>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</si>
  <si>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</si>
  <si>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</si>
  <si>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</si>
  <si>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</si>
  <si>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</si>
  <si>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</si>
  <si>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</si>
  <si>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</si>
  <si>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</si>
  <si>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</si>
  <si>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</si>
  <si>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</si>
  <si>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</si>
  <si>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</si>
  <si>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</si>
  <si>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</si>
  <si>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</si>
  <si>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</si>
  <si>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</si>
  <si>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</si>
  <si>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</si>
  <si>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</si>
  <si>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</si>
  <si>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</si>
  <si>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</si>
  <si>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</si>
  <si>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</si>
  <si>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</si>
  <si>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</si>
  <si>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</si>
  <si>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</si>
  <si>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</si>
  <si>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</si>
  <si>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</si>
  <si>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</si>
  <si>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</si>
  <si>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</si>
  <si>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</si>
  <si>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</si>
  <si>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</si>
  <si>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</si>
  <si>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</si>
  <si>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</si>
  <si>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</si>
  <si>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</si>
  <si>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</si>
  <si>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</si>
  <si>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</si>
  <si>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</si>
  <si>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</si>
  <si>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</si>
  <si>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</si>
  <si>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</si>
  <si>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</si>
  <si>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</si>
  <si>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</si>
  <si>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</si>
  <si>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</si>
  <si>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</si>
  <si>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</si>
  <si>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</si>
  <si>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</si>
  <si>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</si>
  <si>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</si>
  <si>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</si>
  <si>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</si>
  <si>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</si>
  <si>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</si>
  <si>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</si>
  <si>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</si>
  <si>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</si>
  <si>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</si>
  <si>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</si>
  <si>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</si>
  <si>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</si>
  <si>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</si>
  <si>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</si>
  <si>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</si>
  <si>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</si>
  <si>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</si>
  <si>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</si>
  <si>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</si>
  <si>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</si>
  <si>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</si>
  <si>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</si>
  <si>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</si>
  <si>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</si>
  <si>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</si>
  <si>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</si>
  <si>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</si>
  <si>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</si>
  <si>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</si>
  <si>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</si>
  <si>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</si>
  <si>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</si>
  <si>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</si>
  <si>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</si>
  <si>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</si>
  <si>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</si>
  <si>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</si>
  <si>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</si>
  <si>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</si>
  <si>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</si>
  <si>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</si>
  <si>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</si>
  <si>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</si>
  <si>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</si>
  <si>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</si>
  <si>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</si>
  <si>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</si>
  <si>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</si>
  <si>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</si>
  <si>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</si>
  <si>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</si>
  <si>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</si>
  <si>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</si>
  <si>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</si>
  <si>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</si>
  <si>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</si>
  <si>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</si>
  <si>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</si>
  <si>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</si>
  <si>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</si>
  <si>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</si>
  <si>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</si>
  <si>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</si>
  <si>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</si>
  <si>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</si>
  <si>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</si>
  <si>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</si>
  <si>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</si>
  <si>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</si>
  <si>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</si>
  <si>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</si>
  <si>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</si>
  <si>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</si>
  <si>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</si>
  <si>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</si>
  <si>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</si>
  <si>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</si>
  <si>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</si>
  <si>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</si>
  <si>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</si>
  <si>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</si>
  <si>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</si>
  <si>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</si>
  <si>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</si>
  <si>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</si>
  <si>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</si>
  <si>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</si>
  <si>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</si>
  <si>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</si>
  <si>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</si>
  <si>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</si>
  <si>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</si>
  <si>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</si>
  <si>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</si>
  <si>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</si>
  <si>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</si>
  <si>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</si>
  <si>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</si>
  <si>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</si>
  <si>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</si>
  <si>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</si>
  <si>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</si>
  <si>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</si>
  <si>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</si>
  <si>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</si>
  <si>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</si>
  <si>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</si>
  <si>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</si>
  <si>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</si>
  <si>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</si>
  <si>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</si>
  <si>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</si>
  <si>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</si>
  <si>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</si>
  <si>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</si>
  <si>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</si>
  <si>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</si>
  <si>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</si>
  <si>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</si>
  <si>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</si>
  <si>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</si>
  <si>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</si>
  <si>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</si>
  <si>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</si>
  <si>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</si>
  <si>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</si>
  <si>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</si>
  <si>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</si>
  <si>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</si>
  <si>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</si>
  <si>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</si>
  <si>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</si>
  <si>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</si>
  <si>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</si>
  <si>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</si>
  <si>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</si>
  <si>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</si>
  <si>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</si>
  <si>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</si>
  <si>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</si>
  <si>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</si>
  <si>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</si>
  <si>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</si>
  <si>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</si>
  <si>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</si>
  <si>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</si>
  <si>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</si>
  <si>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</si>
  <si>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</si>
  <si>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</si>
  <si>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</si>
  <si>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</si>
  <si>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</si>
  <si>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</si>
  <si>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</si>
  <si>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</si>
  <si>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</si>
  <si>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</si>
  <si>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</si>
  <si>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</si>
  <si>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</si>
  <si>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</si>
  <si>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</si>
  <si>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</si>
  <si>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</si>
  <si>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</si>
  <si>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</si>
  <si>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</si>
  <si>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</si>
  <si>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</si>
  <si>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</si>
  <si>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</si>
  <si>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</si>
  <si>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</si>
  <si>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</si>
  <si>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</si>
  <si>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</si>
  <si>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</si>
  <si>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</si>
  <si>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</si>
  <si>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</si>
  <si>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</si>
  <si>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</si>
  <si>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</si>
  <si>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</si>
  <si>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</si>
  <si>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</si>
  <si>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</si>
  <si>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</si>
  <si>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</si>
  <si>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</si>
  <si>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</si>
  <si>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</si>
  <si>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</si>
  <si>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</si>
  <si>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</si>
  <si>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</si>
  <si>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</si>
  <si>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</si>
  <si>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</si>
  <si>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</si>
  <si>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</si>
  <si>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</si>
  <si>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</si>
  <si>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</si>
  <si>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</si>
  <si>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</si>
  <si>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</si>
  <si>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</si>
  <si>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</si>
  <si>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</si>
  <si>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</si>
  <si>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</si>
  <si>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</si>
  <si>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</si>
  <si>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</si>
  <si>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</si>
  <si>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</si>
  <si>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</si>
  <si>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</si>
  <si>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</si>
  <si>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</si>
  <si>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</si>
  <si>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</si>
  <si>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</si>
  <si>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</si>
  <si>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</si>
  <si>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</si>
  <si>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</si>
  <si>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</si>
  <si>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</si>
  <si>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</si>
  <si>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</si>
  <si>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</si>
  <si>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</si>
  <si>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</si>
  <si>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</si>
  <si>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</si>
  <si>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</si>
  <si>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</si>
  <si>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</si>
  <si>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</si>
  <si>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</si>
  <si>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</si>
  <si>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</si>
  <si>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</si>
  <si>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</si>
  <si>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</si>
  <si>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</si>
  <si>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</si>
  <si>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</si>
  <si>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</si>
  <si>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</si>
  <si>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</si>
  <si>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</si>
  <si>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</si>
  <si>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</si>
  <si>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</si>
  <si>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</si>
  <si>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</si>
  <si>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</si>
  <si>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</si>
  <si>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</si>
  <si>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</si>
  <si>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</si>
  <si>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</si>
  <si>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</si>
  <si>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</si>
  <si>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</si>
  <si>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</si>
  <si>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</si>
  <si>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</si>
  <si>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</si>
  <si>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</si>
  <si>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</si>
  <si>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</si>
  <si>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</si>
  <si>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</si>
  <si>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</si>
  <si>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</si>
  <si>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</si>
  <si>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</si>
  <si>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</si>
  <si>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</si>
  <si>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</si>
  <si>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</si>
  <si>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</si>
  <si>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</si>
  <si>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</si>
  <si>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</si>
  <si>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</si>
  <si>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</si>
  <si>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</si>
  <si>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</si>
  <si>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</si>
  <si>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</si>
  <si>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</si>
  <si>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</si>
  <si>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</si>
  <si>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</si>
  <si>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</si>
  <si>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</si>
  <si>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</si>
  <si>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</si>
  <si>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</si>
  <si>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</si>
  <si>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</si>
  <si>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</si>
  <si>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</si>
  <si>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</si>
  <si>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</si>
  <si>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</si>
  <si>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</si>
  <si>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</si>
  <si>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</si>
  <si>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</si>
  <si>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</si>
  <si>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</si>
  <si>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</si>
  <si>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</si>
  <si>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</si>
  <si>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</si>
  <si>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</si>
  <si>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</si>
  <si>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</si>
  <si>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</si>
  <si>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</si>
  <si>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</si>
  <si>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</si>
  <si>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</si>
  <si>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</si>
  <si>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</si>
  <si>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</si>
  <si>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</si>
  <si>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</si>
  <si>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</si>
  <si>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</si>
  <si>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</si>
  <si>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</si>
  <si>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</si>
  <si>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</si>
  <si>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</si>
  <si>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</si>
  <si>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</si>
  <si>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</si>
  <si>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</si>
  <si>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</si>
  <si>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</si>
  <si>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</si>
  <si>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</si>
  <si>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</si>
  <si>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</si>
  <si>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</si>
  <si>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</si>
  <si>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</si>
  <si>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</si>
  <si>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</si>
  <si>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</si>
  <si>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</si>
  <si>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</si>
  <si>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</si>
  <si>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</si>
  <si>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</si>
  <si>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</si>
  <si>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</si>
  <si>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</si>
  <si>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</si>
  <si>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</si>
  <si>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</si>
  <si>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</si>
  <si>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</si>
  <si>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</si>
  <si>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</si>
  <si>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</si>
  <si>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</si>
  <si>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</si>
  <si>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</si>
  <si>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</si>
  <si>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</si>
  <si>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</si>
  <si>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</si>
  <si>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</si>
  <si>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</si>
  <si>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</si>
  <si>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</si>
  <si>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</si>
  <si>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</si>
  <si>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</si>
  <si>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</si>
  <si>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</si>
  <si>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</si>
  <si>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</si>
  <si>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</si>
  <si>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</si>
  <si>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</si>
  <si>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</si>
  <si>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</si>
  <si>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</si>
  <si>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</si>
  <si>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</si>
  <si>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</si>
  <si>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</si>
  <si>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</si>
  <si>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</si>
  <si>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</si>
  <si>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</si>
  <si>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</si>
  <si>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</si>
  <si>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</si>
  <si>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</si>
  <si>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</si>
  <si>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</si>
  <si>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</si>
  <si>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</si>
  <si>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</si>
  <si>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</si>
  <si>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</si>
  <si>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</si>
  <si>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</si>
  <si>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</si>
  <si>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</si>
  <si>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</si>
  <si>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</si>
  <si>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</si>
  <si>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</si>
  <si>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</si>
  <si>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</si>
  <si>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</si>
  <si>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</si>
  <si>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</si>
  <si>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</si>
  <si>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</si>
  <si>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</si>
  <si>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</si>
  <si>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</si>
  <si>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</si>
  <si>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</si>
  <si>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</si>
  <si>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</si>
  <si>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</si>
  <si>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</si>
  <si>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</si>
  <si>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</si>
  <si>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</si>
  <si>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</si>
  <si>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</si>
  <si>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</si>
  <si>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</si>
  <si>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</si>
  <si>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</si>
  <si>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</si>
  <si>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</si>
  <si>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</si>
  <si>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</si>
  <si>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</si>
  <si>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</si>
  <si>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</si>
  <si>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</si>
  <si>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</si>
  <si>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</si>
  <si>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</si>
  <si>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</si>
  <si>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</si>
  <si>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</si>
  <si>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</si>
  <si>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</si>
  <si>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</si>
  <si>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</si>
  <si>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</si>
  <si>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</si>
  <si>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</si>
  <si>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</si>
  <si>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</si>
  <si>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</si>
  <si>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</si>
  <si>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</si>
  <si>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</si>
  <si>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</si>
  <si>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</si>
  <si>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</si>
  <si>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</si>
  <si>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</si>
  <si>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</si>
  <si>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</si>
  <si>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</si>
  <si>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</si>
  <si>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</si>
  <si>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</si>
  <si>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</si>
  <si>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</si>
  <si>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</si>
  <si>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</si>
  <si>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</si>
  <si>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</si>
  <si>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</si>
  <si>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</si>
  <si>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</si>
  <si>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</si>
  <si>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</si>
  <si>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</si>
  <si>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</si>
  <si>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</si>
  <si>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</si>
  <si>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</si>
  <si>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</si>
  <si>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</si>
  <si>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</si>
  <si>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</si>
  <si>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</si>
  <si>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</si>
  <si>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</si>
  <si>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</si>
  <si>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</si>
  <si>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</si>
  <si>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</si>
  <si>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</si>
  <si>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</si>
  <si>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</si>
  <si>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</si>
  <si>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</si>
  <si>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</si>
  <si>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</si>
  <si>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</si>
  <si>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</si>
  <si>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</si>
  <si>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</si>
  <si>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</si>
  <si>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</si>
  <si>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</si>
  <si>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</si>
  <si>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</si>
  <si>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</si>
  <si>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</si>
  <si>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</si>
  <si>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</si>
  <si>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</si>
  <si>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</si>
  <si>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</si>
  <si>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</si>
  <si>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</si>
  <si>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</si>
  <si>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</si>
  <si>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</si>
  <si>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</si>
  <si>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</si>
  <si>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</si>
  <si>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</si>
  <si>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</si>
  <si>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</si>
  <si>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</si>
  <si>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</si>
  <si>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</si>
  <si>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</si>
  <si>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</si>
  <si>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</si>
  <si>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</si>
  <si>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</si>
  <si>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</si>
  <si>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</si>
  <si>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</si>
  <si>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</si>
  <si>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</si>
  <si>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</si>
  <si>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</si>
  <si>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</si>
  <si>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</si>
  <si>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</si>
  <si>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</si>
  <si>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</si>
  <si>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</si>
  <si>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</si>
  <si>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</si>
  <si>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</si>
  <si>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</si>
  <si>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</si>
  <si>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</si>
  <si>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</si>
  <si>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</si>
  <si>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</si>
  <si>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</si>
  <si>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</si>
  <si>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</si>
  <si>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</si>
  <si>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</si>
  <si>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</si>
  <si>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</si>
  <si>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</si>
  <si>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</si>
  <si>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</si>
  <si>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</si>
  <si>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</si>
  <si>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</si>
  <si>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</si>
  <si>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</si>
  <si>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</si>
  <si>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</si>
  <si>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</si>
  <si>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</si>
  <si>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</si>
  <si>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</si>
  <si>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</si>
  <si>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</si>
  <si>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</si>
  <si>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</si>
  <si>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</si>
  <si>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</si>
  <si>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</si>
  <si>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</si>
  <si>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</si>
  <si>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</si>
  <si>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</si>
  <si>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</si>
  <si>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</si>
  <si>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</si>
  <si>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</si>
  <si>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</si>
  <si>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</si>
  <si>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</si>
  <si>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</si>
  <si>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</si>
  <si>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</si>
  <si>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</si>
  <si>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</si>
  <si>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</si>
  <si>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</si>
  <si>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</si>
  <si>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</si>
  <si>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</si>
  <si>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</si>
  <si>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</si>
  <si>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</si>
  <si>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</si>
  <si>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</si>
  <si>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</si>
  <si>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</si>
  <si>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</si>
  <si>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</si>
  <si>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</si>
  <si>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</si>
  <si>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</si>
  <si>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</si>
  <si>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</si>
  <si>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</si>
  <si>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</si>
  <si>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</si>
  <si>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</si>
  <si>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</si>
  <si>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</si>
  <si>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</si>
  <si>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</si>
  <si>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</si>
  <si>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</si>
  <si>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</si>
  <si>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</si>
  <si>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</si>
  <si>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</si>
  <si>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</si>
  <si>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</si>
  <si>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</si>
  <si>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</si>
  <si>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</si>
  <si>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</si>
  <si>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</si>
  <si>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</si>
  <si>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</si>
  <si>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</si>
  <si>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</si>
  <si>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</si>
  <si>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</si>
  <si>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</si>
  <si>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</si>
  <si>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</si>
  <si>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</si>
  <si>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</si>
  <si>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</si>
  <si>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</si>
  <si>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</si>
  <si>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</si>
  <si>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</si>
  <si>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</si>
  <si>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</si>
  <si>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</si>
  <si>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</si>
  <si>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</si>
  <si>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</si>
  <si>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</si>
  <si>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</si>
  <si>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</si>
  <si>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</si>
  <si>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</si>
  <si>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</si>
  <si>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</si>
  <si>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</si>
  <si>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</si>
  <si>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</si>
  <si>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</si>
  <si>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</si>
  <si>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</si>
  <si>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</si>
  <si>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</si>
  <si>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</si>
  <si>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</si>
  <si>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</si>
  <si>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</si>
  <si>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</si>
  <si>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</si>
  <si>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</si>
  <si>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</si>
  <si>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</si>
  <si>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</si>
  <si>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</si>
  <si>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</si>
  <si>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</si>
  <si>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</si>
  <si>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</si>
  <si>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</si>
  <si>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</si>
  <si>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</si>
  <si>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</si>
  <si>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</si>
  <si>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</si>
  <si>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</si>
  <si>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</si>
  <si>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</si>
  <si>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</si>
  <si>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</si>
  <si>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</si>
  <si>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</si>
  <si>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</si>
  <si>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</si>
  <si>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</si>
  <si>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</si>
  <si>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</si>
  <si>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</si>
  <si>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</si>
  <si>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</si>
  <si>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</si>
  <si>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</si>
  <si>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</si>
  <si>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</si>
  <si>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</si>
  <si>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</si>
  <si>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</si>
  <si>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</si>
  <si>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</si>
  <si>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</si>
  <si>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</si>
  <si>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</si>
  <si>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</si>
  <si>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</si>
  <si>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</si>
  <si>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</si>
  <si>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</si>
  <si>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</si>
  <si>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</si>
  <si>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</si>
  <si>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</si>
  <si>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</si>
  <si>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</si>
  <si>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</si>
  <si>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</si>
  <si>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</si>
  <si>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</si>
  <si>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</si>
  <si>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</si>
  <si>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</si>
  <si>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</si>
  <si>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</si>
  <si>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</si>
  <si>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</si>
  <si>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</si>
  <si>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</si>
  <si>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</si>
  <si>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</si>
  <si>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</si>
  <si>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</si>
  <si>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</si>
  <si>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</si>
  <si>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</si>
  <si>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</si>
  <si>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</si>
  <si>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</si>
  <si>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</si>
  <si>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</si>
  <si>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</si>
  <si>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</si>
  <si>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</si>
  <si>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</si>
  <si>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</si>
  <si>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</si>
  <si>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</si>
  <si>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</si>
  <si>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</si>
  <si>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</si>
  <si>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</si>
  <si>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</si>
  <si>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</si>
  <si>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</si>
  <si>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</si>
  <si>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</si>
  <si>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</si>
  <si>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</si>
  <si>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</si>
  <si>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</si>
  <si>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</si>
  <si>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</si>
  <si>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</si>
  <si>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</si>
  <si>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</si>
  <si>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</si>
  <si>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</si>
  <si>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</si>
  <si>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</si>
  <si>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</si>
  <si>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</si>
  <si>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</si>
  <si>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</si>
  <si>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</si>
  <si>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</si>
  <si>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</si>
  <si>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</si>
  <si>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</si>
  <si>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</si>
  <si>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</si>
  <si>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</si>
  <si>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</si>
  <si>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</si>
  <si>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</si>
  <si>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</si>
  <si>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</si>
  <si>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</si>
  <si>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</si>
  <si>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</si>
  <si>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</si>
  <si>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</si>
  <si>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</si>
  <si>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</si>
  <si>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</si>
  <si>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</si>
  <si>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</si>
  <si>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</si>
  <si>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</si>
  <si>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</si>
  <si>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</si>
  <si>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</si>
  <si>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</si>
  <si>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</si>
  <si>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</si>
  <si>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</si>
  <si>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</si>
  <si>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</si>
  <si>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</si>
  <si>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</si>
  <si>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</si>
  <si>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</si>
  <si>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</si>
  <si>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</si>
  <si>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</si>
  <si>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</si>
  <si>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</si>
  <si>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</si>
  <si>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</si>
  <si>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</si>
  <si>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</si>
  <si>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</si>
  <si>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</si>
  <si>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</si>
  <si>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</si>
  <si>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</si>
  <si>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</si>
  <si>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</si>
  <si>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</si>
  <si>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</si>
  <si>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</si>
  <si>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</si>
  <si>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</si>
  <si>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</si>
  <si>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</si>
  <si>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</si>
  <si>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</si>
  <si>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</si>
  <si>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</si>
  <si>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</si>
  <si>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</si>
  <si>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</si>
  <si>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</si>
  <si>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</si>
  <si>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</si>
  <si>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</si>
  <si>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</si>
  <si>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</si>
  <si>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</si>
  <si>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</si>
  <si>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</si>
  <si>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</si>
  <si>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</si>
  <si>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</si>
  <si>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</si>
  <si>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</si>
  <si>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</si>
  <si>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</si>
  <si>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</si>
  <si>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</si>
  <si>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</si>
  <si>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</si>
  <si>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</si>
  <si>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</si>
  <si>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</si>
  <si>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</si>
  <si>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</si>
  <si>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</si>
  <si>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</si>
  <si>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</si>
  <si>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</si>
  <si>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</si>
  <si>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</si>
  <si>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</si>
  <si>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</si>
  <si>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</si>
  <si>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</si>
  <si>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</si>
  <si>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</si>
  <si>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</si>
  <si>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</si>
  <si>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</si>
  <si>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</si>
  <si>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</si>
  <si>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</si>
  <si>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</si>
  <si>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</si>
  <si>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</si>
  <si>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</si>
  <si>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</si>
  <si>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</si>
  <si>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</si>
  <si>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</si>
  <si>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</si>
  <si>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</si>
  <si>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</si>
  <si>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</si>
  <si>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</si>
  <si>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</si>
  <si>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</si>
  <si>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</si>
  <si>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</si>
  <si>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</si>
  <si>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</si>
  <si>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</si>
  <si>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</si>
  <si>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</si>
  <si>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</si>
  <si>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</si>
  <si>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</si>
  <si>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</si>
  <si>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</si>
  <si>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</si>
  <si>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</si>
  <si>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</si>
  <si>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</si>
  <si>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</si>
  <si>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</si>
  <si>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</si>
  <si>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</si>
  <si>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</si>
  <si>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</si>
  <si>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</si>
  <si>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</si>
  <si>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</si>
  <si>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</si>
  <si>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</si>
  <si>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</si>
  <si>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</si>
  <si>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</si>
  <si>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</si>
  <si>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</si>
  <si>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</si>
  <si>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</si>
  <si>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</si>
  <si>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</si>
  <si>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</si>
  <si>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</si>
  <si>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</si>
  <si>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</si>
  <si>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</si>
  <si>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</si>
  <si>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</si>
  <si>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</si>
  <si>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</si>
  <si>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</si>
  <si>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</si>
  <si>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</si>
  <si>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</si>
  <si>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</si>
  <si>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</si>
  <si>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</si>
  <si>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</si>
  <si>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</si>
  <si>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</si>
  <si>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</si>
  <si>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</si>
  <si>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</si>
  <si>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</si>
  <si>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</si>
  <si>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</si>
  <si>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</si>
  <si>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</si>
  <si>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</si>
  <si>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</si>
  <si>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</si>
  <si>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</si>
  <si>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</si>
  <si>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</si>
  <si>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</si>
  <si>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</si>
  <si>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</si>
  <si>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</si>
  <si>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</si>
  <si>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</si>
  <si>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</si>
  <si>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</si>
  <si>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</si>
  <si>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</si>
  <si>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</si>
  <si>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</si>
  <si>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</si>
  <si>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</si>
  <si>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</si>
  <si>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</si>
  <si>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</si>
  <si>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</si>
  <si>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</si>
  <si>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</si>
  <si>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</si>
  <si>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</si>
  <si>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</si>
  <si>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</si>
  <si>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</si>
  <si>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</si>
  <si>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</si>
  <si>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</si>
  <si>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</si>
  <si>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</si>
  <si>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</si>
  <si>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</si>
  <si>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</si>
  <si>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</si>
  <si>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</si>
  <si>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</si>
  <si>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</si>
  <si>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</si>
  <si>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</si>
  <si>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</si>
  <si>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</si>
  <si>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</si>
  <si>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</si>
  <si>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</si>
  <si>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</si>
  <si>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</si>
  <si>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</si>
  <si>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</si>
  <si>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</si>
  <si>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</si>
  <si>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</si>
  <si>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</si>
  <si>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</si>
  <si>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</si>
  <si>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</si>
  <si>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</si>
  <si>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</si>
  <si>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</si>
  <si>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</si>
  <si>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</si>
  <si>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</si>
  <si>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</si>
  <si>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</si>
  <si>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</si>
  <si>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</si>
  <si>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</si>
  <si>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</si>
  <si>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</si>
  <si>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</si>
  <si>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</si>
  <si>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</si>
  <si>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</si>
  <si>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</si>
  <si>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</si>
  <si>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</si>
  <si>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</si>
  <si>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</si>
  <si>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</si>
  <si>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</si>
  <si>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</si>
  <si>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</si>
  <si>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</si>
  <si>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</si>
  <si>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</si>
  <si>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</si>
  <si>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</si>
  <si>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</si>
  <si>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</si>
  <si>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</si>
  <si>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</si>
  <si>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</si>
  <si>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</si>
  <si>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</si>
  <si>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</si>
  <si>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</si>
  <si>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</si>
  <si>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</si>
  <si>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</si>
  <si>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</si>
  <si>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</si>
  <si>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</si>
  <si>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</si>
  <si>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</si>
  <si>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</si>
  <si>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</si>
  <si>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</si>
  <si>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</si>
  <si>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</si>
  <si>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</si>
  <si>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</si>
  <si>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</si>
  <si>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</si>
  <si>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</si>
  <si>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</si>
  <si>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</si>
  <si>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</si>
  <si>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</si>
  <si>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</si>
  <si>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</si>
  <si>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</si>
  <si>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</si>
  <si>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</si>
  <si>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</si>
  <si>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</si>
  <si>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</si>
  <si>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</si>
  <si>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</si>
  <si>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</si>
  <si>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</si>
  <si>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</si>
  <si>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</si>
  <si>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</si>
  <si>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</si>
  <si>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</si>
  <si>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</si>
  <si>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</si>
  <si>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</si>
  <si>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</si>
  <si>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</si>
  <si>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</si>
  <si>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</si>
  <si>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</si>
  <si>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</si>
  <si>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</si>
  <si>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</si>
  <si>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</si>
  <si>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</si>
  <si>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</si>
  <si>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</si>
  <si>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</si>
  <si>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</si>
  <si>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</si>
  <si>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</si>
  <si>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</si>
  <si>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</si>
  <si>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</si>
  <si>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</si>
  <si>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</si>
  <si>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</si>
  <si>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</si>
  <si>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</si>
  <si>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</si>
  <si>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</si>
  <si>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</si>
  <si>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</si>
  <si>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</si>
  <si>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</si>
  <si>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</si>
  <si>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</si>
  <si>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</si>
  <si>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</si>
  <si>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</si>
  <si>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</si>
  <si>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</si>
  <si>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</si>
  <si>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</si>
  <si>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</si>
  <si>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</si>
  <si>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</si>
  <si>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</si>
  <si>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</si>
  <si>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</si>
  <si>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</si>
  <si>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</si>
  <si>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</si>
  <si>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</si>
  <si>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</si>
  <si>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</si>
  <si>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</si>
  <si>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</si>
  <si>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</si>
  <si>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</si>
  <si>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</si>
  <si>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</si>
  <si>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</si>
  <si>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</si>
  <si>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</si>
  <si>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</si>
  <si>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</si>
  <si>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</si>
  <si>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</si>
  <si>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</si>
  <si>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</si>
  <si>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</si>
  <si>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</si>
  <si>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</si>
  <si>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</si>
  <si>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</si>
  <si>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</si>
  <si>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</si>
  <si>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</si>
  <si>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</si>
  <si>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</si>
  <si>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</si>
  <si>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</si>
  <si>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</si>
  <si>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</si>
  <si>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</si>
  <si>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</si>
  <si>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</si>
  <si>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</si>
  <si>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</si>
  <si>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</si>
  <si>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</si>
  <si>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</si>
  <si>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</si>
  <si>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</si>
  <si>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</si>
  <si>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</si>
  <si>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</si>
  <si>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</si>
  <si>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</si>
  <si>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</si>
  <si>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</si>
  <si>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</si>
  <si>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</si>
  <si>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</si>
  <si>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</si>
  <si>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</si>
  <si>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</si>
  <si>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</si>
  <si>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</si>
  <si>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</si>
  <si>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</si>
  <si>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</si>
  <si>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</si>
  <si>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</si>
  <si>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</si>
  <si>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</si>
  <si>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</si>
  <si>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</si>
  <si>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</si>
  <si>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</si>
  <si>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</si>
  <si>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</si>
  <si>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</si>
  <si>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</si>
  <si>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</si>
  <si>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</si>
  <si>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</si>
  <si>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</si>
  <si>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</si>
  <si>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</si>
  <si>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</si>
  <si>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</si>
  <si>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</si>
  <si>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</si>
  <si>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</si>
  <si>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</si>
  <si>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</si>
  <si>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</si>
  <si>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</si>
  <si>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</si>
  <si>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</si>
  <si>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</si>
  <si>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</si>
  <si>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</si>
  <si>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</si>
  <si>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</si>
  <si>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</si>
  <si>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</si>
  <si>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</si>
  <si>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</si>
  <si>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</si>
  <si>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</si>
  <si>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</si>
  <si>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</si>
  <si>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</si>
  <si>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</si>
  <si>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</si>
  <si>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</si>
  <si>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</si>
  <si>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</si>
  <si>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</si>
  <si>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</si>
  <si>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</si>
  <si>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</si>
  <si>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</si>
  <si>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</si>
  <si>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</si>
  <si>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</si>
  <si>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</si>
  <si>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</si>
  <si>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</si>
  <si>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</si>
  <si>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</si>
  <si>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</si>
  <si>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</si>
  <si>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</si>
  <si>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</si>
  <si>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</si>
  <si>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</si>
  <si>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</si>
  <si>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</si>
  <si>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</si>
  <si>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</si>
  <si>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</si>
  <si>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</si>
  <si>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</si>
  <si>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</si>
  <si>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</si>
  <si>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</si>
  <si>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</si>
  <si>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</si>
  <si>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</si>
  <si>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</si>
  <si>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</si>
  <si>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</si>
  <si>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</si>
  <si>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</si>
  <si>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</si>
  <si>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</si>
  <si>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</si>
  <si>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</si>
  <si>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</si>
  <si>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</si>
  <si>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</si>
  <si>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</si>
  <si>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</si>
  <si>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</si>
  <si>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</si>
  <si>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</si>
  <si>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</si>
  <si>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</si>
  <si>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</si>
  <si>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</si>
  <si>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</si>
  <si>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</si>
  <si>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</si>
  <si>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</si>
  <si>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</si>
  <si>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</si>
  <si>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</si>
  <si>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</si>
  <si>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</si>
  <si>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</si>
  <si>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</si>
  <si>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</si>
  <si>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</si>
  <si>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</si>
  <si>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</si>
  <si>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</si>
  <si>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</si>
  <si>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</si>
  <si>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</si>
  <si>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</si>
  <si>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</si>
  <si>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</si>
  <si>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</si>
  <si>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</si>
  <si>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</si>
  <si>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</si>
  <si>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</si>
  <si>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</si>
  <si>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</si>
  <si>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</si>
  <si>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</si>
  <si>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</si>
  <si>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</si>
  <si>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</si>
  <si>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</si>
  <si>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</si>
  <si>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</si>
  <si>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</si>
  <si>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</si>
  <si>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</si>
  <si>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</si>
  <si>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</si>
  <si>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</si>
  <si>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</si>
  <si>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</si>
  <si>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</si>
  <si>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</si>
  <si>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</si>
  <si>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</si>
  <si>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</si>
  <si>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</si>
  <si>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</si>
  <si>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</si>
  <si>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</si>
  <si>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</si>
  <si>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</si>
  <si>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</si>
  <si>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</si>
  <si>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</si>
  <si>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</si>
  <si>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</si>
  <si>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</si>
  <si>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</si>
  <si>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</si>
  <si>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</si>
  <si>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</si>
  <si>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</si>
  <si>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</si>
  <si>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</si>
  <si>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</si>
  <si>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</si>
  <si>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</si>
  <si>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</si>
  <si>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</si>
  <si>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</si>
  <si>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</si>
  <si>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</si>
  <si>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</si>
  <si>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</si>
  <si>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</si>
  <si>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</si>
  <si>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</si>
  <si>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</si>
  <si>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</si>
  <si>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</si>
  <si>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</si>
  <si>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</si>
  <si>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</si>
  <si>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</si>
  <si>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</si>
  <si>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</si>
  <si>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</si>
  <si>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</si>
  <si>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</si>
  <si>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</si>
  <si>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</si>
  <si>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</si>
  <si>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</si>
  <si>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</si>
  <si>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</si>
  <si>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</si>
  <si>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</si>
  <si>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</si>
  <si>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</si>
  <si>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</si>
  <si>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</si>
  <si>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</si>
  <si>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</si>
  <si>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</si>
  <si>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</si>
  <si>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</si>
  <si>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</si>
  <si>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</si>
  <si>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</si>
  <si>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</si>
  <si>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</si>
  <si>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</si>
  <si>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</si>
  <si>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</si>
  <si>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</si>
  <si>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</si>
  <si>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</si>
  <si>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</si>
  <si>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</si>
  <si>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</si>
  <si>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</si>
  <si>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</si>
  <si>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</si>
  <si>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</si>
  <si>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</si>
  <si>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</si>
  <si>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</si>
  <si>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</si>
  <si>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</si>
  <si>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</si>
  <si>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</si>
  <si>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</si>
  <si>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</si>
  <si>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</si>
  <si>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</si>
  <si>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</si>
  <si>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</si>
  <si>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</si>
  <si>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</si>
  <si>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</si>
  <si>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</si>
  <si>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</si>
  <si>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</si>
  <si>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</si>
  <si>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</si>
  <si>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</si>
  <si>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</si>
  <si>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</si>
  <si>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</si>
  <si>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</si>
  <si>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</si>
  <si>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</si>
  <si>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</si>
  <si>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</si>
  <si>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</si>
  <si>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</si>
  <si>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</si>
  <si>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</si>
  <si>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</si>
  <si>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</si>
  <si>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</si>
  <si>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</si>
  <si>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</si>
  <si>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</si>
  <si>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</si>
  <si>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</si>
  <si>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</si>
  <si>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</si>
  <si>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</si>
  <si>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</si>
  <si>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</si>
  <si>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</si>
  <si>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</si>
  <si>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</si>
  <si>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</si>
  <si>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</si>
  <si>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</si>
  <si>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</si>
  <si>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</si>
  <si>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</si>
  <si>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</si>
  <si>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</si>
  <si>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</si>
  <si>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</si>
  <si>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</si>
  <si>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</si>
  <si>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</si>
  <si>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</si>
  <si>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</si>
  <si>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</si>
  <si>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</si>
  <si>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</si>
  <si>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</si>
  <si>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</si>
  <si>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</si>
  <si>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</si>
  <si>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</si>
  <si>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</si>
  <si>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</si>
  <si>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</si>
  <si>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</si>
  <si>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</si>
  <si>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</si>
  <si>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</si>
  <si>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</si>
  <si>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</si>
  <si>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</si>
  <si>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</si>
  <si>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</si>
  <si>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</si>
  <si>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</si>
  <si>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</si>
  <si>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</si>
  <si>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</si>
  <si>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</si>
  <si>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</si>
  <si>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</si>
  <si>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</si>
  <si>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</si>
  <si>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</si>
  <si>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</si>
  <si>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</si>
  <si>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</si>
  <si>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</si>
  <si>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</si>
  <si>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</si>
  <si>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</si>
  <si>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</si>
  <si>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</si>
  <si>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</si>
  <si>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</si>
  <si>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</si>
  <si>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</si>
  <si>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</si>
  <si>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</si>
  <si>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</si>
  <si>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</si>
  <si>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</si>
  <si>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</si>
  <si>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</si>
  <si>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</si>
  <si>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</si>
  <si>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</si>
  <si>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</si>
  <si>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</si>
  <si>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</si>
  <si>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</si>
  <si>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</si>
  <si>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</si>
  <si>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</si>
  <si>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</si>
  <si>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</si>
  <si>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</si>
  <si>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</si>
  <si>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</si>
  <si>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</si>
  <si>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</si>
  <si>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</si>
  <si>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</si>
  <si>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</si>
  <si>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</si>
  <si>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</si>
  <si>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</si>
  <si>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</si>
  <si>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</si>
  <si>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</si>
  <si>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</si>
  <si>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</si>
  <si>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</si>
  <si>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</si>
  <si>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</si>
  <si>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</si>
  <si>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</si>
  <si>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</si>
  <si>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</si>
  <si>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</si>
  <si>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</si>
  <si>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</si>
  <si>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</si>
  <si>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</si>
  <si>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</si>
  <si>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</si>
  <si>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</si>
  <si>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</si>
  <si>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</si>
  <si>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</si>
  <si>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</si>
  <si>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</si>
  <si>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</si>
  <si>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</si>
  <si>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</si>
  <si>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</si>
  <si>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</si>
  <si>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</si>
  <si>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</si>
  <si>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</si>
  <si>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</si>
  <si>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</si>
  <si>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</si>
  <si>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</si>
  <si>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</si>
  <si>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</si>
  <si>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</si>
  <si>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</si>
  <si>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</si>
  <si>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</si>
  <si>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</si>
  <si>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</si>
  <si>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</si>
  <si>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</si>
  <si>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</si>
  <si>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</si>
  <si>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</si>
  <si>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</si>
  <si>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</si>
  <si>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</si>
  <si>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</si>
  <si>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</si>
  <si>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</si>
  <si>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</si>
  <si>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</si>
  <si>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</si>
  <si>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</si>
  <si>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</si>
  <si>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</si>
  <si>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</si>
  <si>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</si>
  <si>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</si>
  <si>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</si>
  <si>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</si>
  <si>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</si>
  <si>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</si>
  <si>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</si>
  <si>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</si>
  <si>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</si>
  <si>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</si>
  <si>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</si>
  <si>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</si>
  <si>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</si>
  <si>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</si>
  <si>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</si>
  <si>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</si>
  <si>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</si>
  <si>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</si>
  <si>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</si>
  <si>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</si>
  <si>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</si>
  <si>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</si>
  <si>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</si>
  <si>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</si>
  <si>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</si>
  <si>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</si>
  <si>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</si>
  <si>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</si>
  <si>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</si>
  <si>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</si>
  <si>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</si>
  <si>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</si>
  <si>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</si>
  <si>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</si>
  <si>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</si>
  <si>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</si>
  <si>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</si>
  <si>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</si>
  <si>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</si>
  <si>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</si>
  <si>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</si>
  <si>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</si>
  <si>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</si>
  <si>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</si>
  <si>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</si>
  <si>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</si>
  <si>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</si>
  <si>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</si>
  <si>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</si>
  <si>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</si>
  <si>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</si>
  <si>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</si>
  <si>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</si>
  <si>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</si>
  <si>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</si>
  <si>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</si>
  <si>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</si>
  <si>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</si>
  <si>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</si>
  <si>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</si>
  <si>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</si>
  <si>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</si>
  <si>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</si>
  <si>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</si>
  <si>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</si>
  <si>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</si>
  <si>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</si>
  <si>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</si>
  <si>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</si>
  <si>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</si>
  <si>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</si>
  <si>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</si>
  <si>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</si>
  <si>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</si>
  <si>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</si>
  <si>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</si>
  <si>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</si>
  <si>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</si>
  <si>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</si>
  <si>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</si>
  <si>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</si>
  <si>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</si>
  <si>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</si>
  <si>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</si>
  <si>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</si>
  <si>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</si>
  <si>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</si>
  <si>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</si>
  <si>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</si>
  <si>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</si>
  <si>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</si>
  <si>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</si>
  <si>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</si>
  <si>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</si>
  <si>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</si>
  <si>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</si>
  <si>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</si>
  <si>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</si>
  <si>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</si>
  <si>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</si>
  <si>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</si>
  <si>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</si>
  <si>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</si>
  <si>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</si>
  <si>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</si>
  <si>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</si>
  <si>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</si>
  <si>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</si>
  <si>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</si>
  <si>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</si>
  <si>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</si>
  <si>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</si>
  <si>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</si>
  <si>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</si>
  <si>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</si>
  <si>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</si>
  <si>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</si>
  <si>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</si>
  <si>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</si>
  <si>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</si>
  <si>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</si>
  <si>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</si>
  <si>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</si>
  <si>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</si>
  <si>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</si>
  <si>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</si>
  <si>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</si>
  <si>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</si>
  <si>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</si>
  <si>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</si>
  <si>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</si>
  <si>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</si>
  <si>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</si>
  <si>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</si>
  <si>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</si>
  <si>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</si>
  <si>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</si>
  <si>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</si>
  <si>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</si>
  <si>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</si>
  <si>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</si>
  <si>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</si>
  <si>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</si>
  <si>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</si>
  <si>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</si>
  <si>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</si>
  <si>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</si>
  <si>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</si>
  <si>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</si>
  <si>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</si>
  <si>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</si>
  <si>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</si>
  <si>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</si>
  <si>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</si>
  <si>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</si>
  <si>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</si>
  <si>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</si>
  <si>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</si>
  <si>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</si>
  <si>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</si>
  <si>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</si>
  <si>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</si>
  <si>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</si>
  <si>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</si>
  <si>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</si>
  <si>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</si>
  <si>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</si>
  <si>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</si>
  <si>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</si>
  <si>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</si>
  <si>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</si>
  <si>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</si>
  <si>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</si>
  <si>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</si>
  <si>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</si>
  <si>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</si>
  <si>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</si>
  <si>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</si>
  <si>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</si>
  <si>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</si>
  <si>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</si>
  <si>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</si>
  <si>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</si>
  <si>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</si>
  <si>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</si>
  <si>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</si>
  <si>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</si>
  <si>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</si>
  <si>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</si>
  <si>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</si>
  <si>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</si>
  <si>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</si>
  <si>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</si>
  <si>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</si>
  <si>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</si>
  <si>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</si>
  <si>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</si>
  <si>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</si>
  <si>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</si>
  <si>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</si>
  <si>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</si>
  <si>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</si>
  <si>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</si>
  <si>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</si>
  <si>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</si>
  <si>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</si>
  <si>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</si>
  <si>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</si>
  <si>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</si>
  <si>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</si>
  <si>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</si>
  <si>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</si>
  <si>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</si>
  <si>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</si>
  <si>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</si>
  <si>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</si>
  <si>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</si>
  <si>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</si>
  <si>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</si>
  <si>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</si>
  <si>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</si>
  <si>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</si>
  <si>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</si>
  <si>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</si>
  <si>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</si>
  <si>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</si>
  <si>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</si>
  <si>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</si>
  <si>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</si>
  <si>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</si>
  <si>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</si>
  <si>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</si>
  <si>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</si>
  <si>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</si>
  <si>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</si>
  <si>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</si>
  <si>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</si>
  <si>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</si>
  <si>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</si>
  <si>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</si>
  <si>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</si>
  <si>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</si>
  <si>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</si>
  <si>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</si>
  <si>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</si>
  <si>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</si>
  <si>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</si>
  <si>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</si>
  <si>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</si>
  <si>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</si>
  <si>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</si>
  <si>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</si>
  <si>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</si>
  <si>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</si>
  <si>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</si>
  <si>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</si>
  <si>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</si>
  <si>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</si>
  <si>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</si>
  <si>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</si>
  <si>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</si>
  <si>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</si>
  <si>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</si>
  <si>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</si>
  <si>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</si>
  <si>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</si>
  <si>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</si>
  <si>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</si>
  <si>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</si>
  <si>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</si>
  <si>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</si>
  <si>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</si>
  <si>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</si>
  <si>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</si>
  <si>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</si>
  <si>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</si>
  <si>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</si>
  <si>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</si>
  <si>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</si>
  <si>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</si>
  <si>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</si>
  <si>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</si>
  <si>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</si>
  <si>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</si>
  <si>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</si>
  <si>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</si>
  <si>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</si>
  <si>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</si>
  <si>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</si>
  <si>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</si>
  <si>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</si>
  <si>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</si>
  <si>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</si>
  <si>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</si>
  <si>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</si>
  <si>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</si>
  <si>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</si>
  <si>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</si>
  <si>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</si>
  <si>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</si>
  <si>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</si>
  <si>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</si>
  <si>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</si>
  <si>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</si>
  <si>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</si>
  <si>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</si>
  <si>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</si>
  <si>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</si>
  <si>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</si>
  <si>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</si>
  <si>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</si>
  <si>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</si>
  <si>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</si>
  <si>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</si>
  <si>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</si>
  <si>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</si>
  <si>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</si>
  <si>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</si>
  <si>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</si>
  <si>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</si>
  <si>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</si>
  <si>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</si>
  <si>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</si>
  <si>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</si>
  <si>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</si>
  <si>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</si>
  <si>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</si>
  <si>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</si>
  <si>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</si>
  <si>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</si>
  <si>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</si>
  <si>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</si>
  <si>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</si>
  <si>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</si>
  <si>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</si>
  <si>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</si>
  <si>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</si>
  <si>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</si>
  <si>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</si>
  <si>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</si>
  <si>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</si>
  <si>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</si>
  <si>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</si>
  <si>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</si>
  <si>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</si>
  <si>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</si>
  <si>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</si>
  <si>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</si>
  <si>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</si>
  <si>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</si>
  <si>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</si>
  <si>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</si>
  <si>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</si>
  <si>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</si>
  <si>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</si>
  <si>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</si>
  <si>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</si>
  <si>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</si>
  <si>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</si>
  <si>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</si>
  <si>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</si>
  <si>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</si>
  <si>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</si>
  <si>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</si>
  <si>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</si>
  <si>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</si>
  <si>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</si>
  <si>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</si>
  <si>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</si>
  <si>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</si>
  <si>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</si>
  <si>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</si>
  <si>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</si>
  <si>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</si>
  <si>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</si>
  <si>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</si>
  <si>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</si>
  <si>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</si>
  <si>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</si>
  <si>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</si>
  <si>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</si>
  <si>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</si>
  <si>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</si>
  <si>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</si>
  <si>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</si>
  <si>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</si>
  <si>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</si>
  <si>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</si>
  <si>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</si>
  <si>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</si>
  <si>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</si>
  <si>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</si>
  <si>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</si>
  <si>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</si>
  <si>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</si>
  <si>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</si>
  <si>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</si>
  <si>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</si>
  <si>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</si>
  <si>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</si>
  <si>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</si>
  <si>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</si>
  <si>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</si>
  <si>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</si>
  <si>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</si>
  <si>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</si>
  <si>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</si>
  <si>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</si>
  <si>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</si>
  <si>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</si>
  <si>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</si>
  <si>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</si>
  <si>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</si>
  <si>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</si>
  <si>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</si>
  <si>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</si>
  <si>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</si>
  <si>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</si>
  <si>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</si>
  <si>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</si>
  <si>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</si>
  <si>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</si>
  <si>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</si>
  <si>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</si>
  <si>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</si>
  <si>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</si>
  <si>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</si>
  <si>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</si>
  <si>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</si>
  <si>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</si>
  <si>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</si>
  <si>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</si>
  <si>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</si>
  <si>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</si>
  <si>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</si>
  <si>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</si>
  <si>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</si>
  <si>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</si>
  <si>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</si>
  <si>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</si>
  <si>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</si>
  <si>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</si>
  <si>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</si>
  <si>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</si>
  <si>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</si>
  <si>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</si>
  <si>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</si>
  <si>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</si>
  <si>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</si>
  <si>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</si>
  <si>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</si>
  <si>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</si>
  <si>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</si>
  <si>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</si>
  <si>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</si>
  <si>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</si>
  <si>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</si>
  <si>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</si>
  <si>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</si>
  <si>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</si>
  <si>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</si>
  <si>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</si>
  <si>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</si>
  <si>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</si>
  <si>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</si>
  <si>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</si>
  <si>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</si>
  <si>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</si>
  <si>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</si>
  <si>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</si>
  <si>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</si>
  <si>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</si>
  <si>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</si>
  <si>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</si>
  <si>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</si>
  <si>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</si>
  <si>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</si>
  <si>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</si>
  <si>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</si>
  <si>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</si>
  <si>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</si>
  <si>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</si>
  <si>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</si>
  <si>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</si>
  <si>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</si>
  <si>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</si>
  <si>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</si>
  <si>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</si>
  <si>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</si>
  <si>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</si>
  <si>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</si>
  <si>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</si>
  <si>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</si>
  <si>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</si>
  <si>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</si>
  <si>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</si>
  <si>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</si>
  <si>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</si>
  <si>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</si>
  <si>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</si>
  <si>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</si>
  <si>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</si>
  <si>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</si>
  <si>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</si>
  <si>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</si>
  <si>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</si>
  <si>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</si>
  <si>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</si>
  <si>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</si>
  <si>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</si>
  <si>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</si>
  <si>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</si>
  <si>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</si>
  <si>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</si>
  <si>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</si>
  <si>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</si>
  <si>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</si>
  <si>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</si>
  <si>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</si>
  <si>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</si>
  <si>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</si>
  <si>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</si>
  <si>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</si>
  <si>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</si>
  <si>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</si>
  <si>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</si>
  <si>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</si>
  <si>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</si>
  <si>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</si>
  <si>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</si>
  <si>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</si>
  <si>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</si>
  <si>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</si>
  <si>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</si>
  <si>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</si>
  <si>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</si>
  <si>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</si>
  <si>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</si>
  <si>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</si>
  <si>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</si>
  <si>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</si>
  <si>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</si>
  <si>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</si>
  <si>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</si>
  <si>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</si>
  <si>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</si>
  <si>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</si>
  <si>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</si>
  <si>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</si>
  <si>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</si>
  <si>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</si>
  <si>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</si>
  <si>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</si>
  <si>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</si>
  <si>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</si>
  <si>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</si>
  <si>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</si>
  <si>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</si>
  <si>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</si>
  <si>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</si>
  <si>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</si>
  <si>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</si>
  <si>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</si>
  <si>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</si>
  <si>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</si>
  <si>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</si>
  <si>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</si>
  <si>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</si>
  <si>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</si>
  <si>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</si>
  <si>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</si>
  <si>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</si>
  <si>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</si>
  <si>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</si>
  <si>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</si>
  <si>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</si>
  <si>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</si>
  <si>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</si>
  <si>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</si>
  <si>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</si>
  <si>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</si>
  <si>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</si>
  <si>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</si>
  <si>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</si>
  <si>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</si>
  <si>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</si>
  <si>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</si>
  <si>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</si>
  <si>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</si>
  <si>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</si>
  <si>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</si>
  <si>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</si>
  <si>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</si>
  <si>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</si>
  <si>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</si>
  <si>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</si>
  <si>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</si>
  <si>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</si>
  <si>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</si>
  <si>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</si>
  <si>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</si>
  <si>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</si>
  <si>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</si>
  <si>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</si>
  <si>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</si>
  <si>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</si>
  <si>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</si>
  <si>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</si>
  <si>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</si>
  <si>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</si>
  <si>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</si>
  <si>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</si>
  <si>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</si>
  <si>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</si>
  <si>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</si>
  <si>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</si>
  <si>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</si>
  <si>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</si>
  <si>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</si>
  <si>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</si>
  <si>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</si>
  <si>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</si>
  <si>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</si>
  <si>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</si>
  <si>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</si>
  <si>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</si>
  <si>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</si>
  <si>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</si>
  <si>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</si>
  <si>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</si>
  <si>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</si>
  <si>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</si>
  <si>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</si>
  <si>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</si>
  <si>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</si>
  <si>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</si>
  <si>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</si>
  <si>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</si>
  <si>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</si>
  <si>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</si>
  <si>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</si>
  <si>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</si>
  <si>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</si>
  <si>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</si>
  <si>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</si>
  <si>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</si>
  <si>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</si>
  <si>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</si>
  <si>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</si>
  <si>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</si>
  <si>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</si>
  <si>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</si>
  <si>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</si>
  <si>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</si>
  <si>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</si>
  <si>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</si>
  <si>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</si>
  <si>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</si>
  <si>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</si>
  <si>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</si>
  <si>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</si>
  <si>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</si>
  <si>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</si>
  <si>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</si>
  <si>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</si>
  <si>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</si>
  <si>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</si>
  <si>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</si>
  <si>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</si>
  <si>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</si>
  <si>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</si>
  <si>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</si>
  <si>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</si>
  <si>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</si>
  <si>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</si>
  <si>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</si>
  <si>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</si>
  <si>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</si>
  <si>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</si>
  <si>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</si>
  <si>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</si>
  <si>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</si>
  <si>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</si>
  <si>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</si>
  <si>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</si>
  <si>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</si>
  <si>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</si>
  <si>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</si>
  <si>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</si>
  <si>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</si>
  <si>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</si>
  <si>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</si>
  <si>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</si>
  <si>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</si>
  <si>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</si>
  <si>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</si>
  <si>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</si>
  <si>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</si>
  <si>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</si>
  <si>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</si>
  <si>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</si>
  <si>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</si>
  <si>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</si>
  <si>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</si>
  <si>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</si>
  <si>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</si>
  <si>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</si>
  <si>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</si>
  <si>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</si>
  <si>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</si>
  <si>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</si>
  <si>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</si>
  <si>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</si>
  <si>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</si>
  <si>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</si>
  <si>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</si>
  <si>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</si>
  <si>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</si>
  <si>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</si>
  <si>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</si>
  <si>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</si>
  <si>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</si>
  <si>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</si>
  <si>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</si>
  <si>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</si>
  <si>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</si>
  <si>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</si>
  <si>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</si>
  <si>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</si>
  <si>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</si>
  <si>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</si>
  <si>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</si>
  <si>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</si>
  <si>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</si>
  <si>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</si>
  <si>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</si>
  <si>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</si>
  <si>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</si>
  <si>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</si>
  <si>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</si>
  <si>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</si>
  <si>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</si>
  <si>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</si>
  <si>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</si>
  <si>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</si>
  <si>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</si>
  <si>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</si>
  <si>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</si>
  <si>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</si>
  <si>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</si>
  <si>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</si>
  <si>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</si>
  <si>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</si>
  <si>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</si>
  <si>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</si>
  <si>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</si>
  <si>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</si>
  <si>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</si>
  <si>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</si>
  <si>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</si>
  <si>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</si>
  <si>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</si>
  <si>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</si>
  <si>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</si>
  <si>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</si>
  <si>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</si>
  <si>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</si>
  <si>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</si>
  <si>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</si>
  <si>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</si>
  <si>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</si>
  <si>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</si>
  <si>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</si>
  <si>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</si>
  <si>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</si>
  <si>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</si>
  <si>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</si>
  <si>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</si>
  <si>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</si>
  <si>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</si>
  <si>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</si>
  <si>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</si>
  <si>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</si>
  <si>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</si>
  <si>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</si>
  <si>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</si>
  <si>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</si>
  <si>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</si>
  <si>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</si>
  <si>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</si>
  <si>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</si>
  <si>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</si>
  <si>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</si>
  <si>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</si>
  <si>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</si>
  <si>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</si>
  <si>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</si>
  <si>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</si>
  <si>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</si>
  <si>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</si>
  <si>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</si>
  <si>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</si>
  <si>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</si>
  <si>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</si>
  <si>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</si>
  <si>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</si>
  <si>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</si>
  <si>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</si>
  <si>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</si>
  <si>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</si>
  <si>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</si>
  <si>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</si>
  <si>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</si>
  <si>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</si>
  <si>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</si>
  <si>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</si>
  <si>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</si>
  <si>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</si>
  <si>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</si>
  <si>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</si>
  <si>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</si>
  <si>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</si>
  <si>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</si>
  <si>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</si>
  <si>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</si>
  <si>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</si>
  <si>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</si>
  <si>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</si>
  <si>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</si>
  <si>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</si>
  <si>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</si>
  <si>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</si>
  <si>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</si>
  <si>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</si>
  <si>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</si>
  <si>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</si>
  <si>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</si>
  <si>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</si>
  <si>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</si>
  <si>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</si>
  <si>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</si>
  <si>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</si>
  <si>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</si>
  <si>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</si>
  <si>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</si>
  <si>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</si>
  <si>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</si>
  <si>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</si>
  <si>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</si>
  <si>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</si>
  <si>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</si>
  <si>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</si>
  <si>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</si>
  <si>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</si>
  <si>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</si>
  <si>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</si>
  <si>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</si>
  <si>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</si>
  <si>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</si>
  <si>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</si>
  <si>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</si>
  <si>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</si>
  <si>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</si>
  <si>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</si>
  <si>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</si>
  <si>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</si>
  <si>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</si>
  <si>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</si>
  <si>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</si>
  <si>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</si>
  <si>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</si>
  <si>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</si>
  <si>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</si>
  <si>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</si>
  <si>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</si>
  <si>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</si>
  <si>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</si>
  <si>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</si>
  <si>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</si>
  <si>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</si>
  <si>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</si>
  <si>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</si>
  <si>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</si>
  <si>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</si>
  <si>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</si>
  <si>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</si>
  <si>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</si>
  <si>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</si>
  <si>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</si>
  <si>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</si>
  <si>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</si>
  <si>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</si>
  <si>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</si>
  <si>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</si>
  <si>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</si>
  <si>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</si>
  <si>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</si>
  <si>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</si>
  <si>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</si>
  <si>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</si>
  <si>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</si>
  <si>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</si>
  <si>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</si>
  <si>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</si>
  <si>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</si>
  <si>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</si>
  <si>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</si>
  <si>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</si>
  <si>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</si>
  <si>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</si>
  <si>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</si>
  <si>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</si>
  <si>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</si>
  <si>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</si>
  <si>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</si>
  <si>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</si>
  <si>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</si>
  <si>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</si>
  <si>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</si>
  <si>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</si>
  <si>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</si>
  <si>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</si>
  <si>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</si>
  <si>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</si>
  <si>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</si>
  <si>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</si>
  <si>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</si>
  <si>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</si>
  <si>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</si>
  <si>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</si>
  <si>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</si>
  <si>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</si>
  <si>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</si>
  <si>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</si>
  <si>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</si>
  <si>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</si>
  <si>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</si>
  <si>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</si>
  <si>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</si>
  <si>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</si>
  <si>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</si>
  <si>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</si>
  <si>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</si>
  <si>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</si>
  <si>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</si>
  <si>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</si>
  <si>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</si>
  <si>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</si>
  <si>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</si>
  <si>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</si>
  <si>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</si>
  <si>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</si>
  <si>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</si>
  <si>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</si>
  <si>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</si>
  <si>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</si>
  <si>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</si>
  <si>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</si>
  <si>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</si>
  <si>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</si>
  <si>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</si>
  <si>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</si>
  <si>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</si>
  <si>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</si>
  <si>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</si>
  <si>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</si>
  <si>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</si>
  <si>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</si>
  <si>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</si>
  <si>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</si>
  <si>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</si>
  <si>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</si>
  <si>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</si>
  <si>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</si>
  <si>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</si>
  <si>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</si>
  <si>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</si>
  <si>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</si>
  <si>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</si>
  <si>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</si>
  <si>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</si>
  <si>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</si>
  <si>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</si>
  <si>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</si>
  <si>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</si>
  <si>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</si>
  <si>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</si>
  <si>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</si>
  <si>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</si>
  <si>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</si>
  <si>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</si>
  <si>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</si>
  <si>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</si>
  <si>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</si>
  <si>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</si>
  <si>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</si>
  <si>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</si>
  <si>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</si>
  <si>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</si>
  <si>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</si>
  <si>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</si>
  <si>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</si>
  <si>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</si>
  <si>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</si>
  <si>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</si>
  <si>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</si>
  <si>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</si>
  <si>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</si>
  <si>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</si>
  <si>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</si>
  <si>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</si>
  <si>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</si>
  <si>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</si>
  <si>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</si>
  <si>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</si>
  <si>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</si>
  <si>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</si>
  <si>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</si>
  <si>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</si>
  <si>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</si>
  <si>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</si>
  <si>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</si>
  <si>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</si>
  <si>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</si>
  <si>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</si>
  <si>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</si>
  <si>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</si>
  <si>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</si>
  <si>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</si>
  <si>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</si>
  <si>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</si>
  <si>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</si>
  <si>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</si>
  <si>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</si>
  <si>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</si>
  <si>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</si>
  <si>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</si>
  <si>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</si>
  <si>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</si>
  <si>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</si>
  <si>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</si>
  <si>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</si>
  <si>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</si>
  <si>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</si>
  <si>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</si>
  <si>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</si>
  <si>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</si>
  <si>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</si>
  <si>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</si>
  <si>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</si>
  <si>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</si>
  <si>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</si>
  <si>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</si>
  <si>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</si>
  <si>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</si>
  <si>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</si>
  <si>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</si>
  <si>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</si>
  <si>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</si>
  <si>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</si>
  <si>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</si>
  <si>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</si>
  <si>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</si>
  <si>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</si>
  <si>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</si>
  <si>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</si>
  <si>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</si>
  <si>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</si>
  <si>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</si>
  <si>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</si>
  <si>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</si>
  <si>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</si>
  <si>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</si>
  <si>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</si>
  <si>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</si>
  <si>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</si>
  <si>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</si>
  <si>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</si>
  <si>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</si>
  <si>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</si>
  <si>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</si>
  <si>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</si>
  <si>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</si>
  <si>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</si>
  <si>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</si>
  <si>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</si>
  <si>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</si>
  <si>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</si>
  <si>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</si>
  <si>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</si>
  <si>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</si>
  <si>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</si>
  <si>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</si>
  <si>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</si>
  <si>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</si>
  <si>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</si>
  <si>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</si>
  <si>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</si>
  <si>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</si>
  <si>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</si>
  <si>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</si>
  <si>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</si>
  <si>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</si>
  <si>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</si>
  <si>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</si>
  <si>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</si>
  <si>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</si>
  <si>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</si>
  <si>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</si>
  <si>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</si>
  <si>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</si>
  <si>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</si>
  <si>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</si>
  <si>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</si>
  <si>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</si>
  <si>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</si>
  <si>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</si>
  <si>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</si>
  <si>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</si>
  <si>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</si>
  <si>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</si>
  <si>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</si>
  <si>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</si>
  <si>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</si>
  <si>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</si>
  <si>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</si>
  <si>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</si>
  <si>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</si>
  <si>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</si>
  <si>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</si>
  <si>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</si>
  <si>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</si>
  <si>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</si>
  <si>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</si>
  <si>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</si>
  <si>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</si>
  <si>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</si>
  <si>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</si>
  <si>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</si>
  <si>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</si>
  <si>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</si>
  <si>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</si>
  <si>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</si>
  <si>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</si>
  <si>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</si>
  <si>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</si>
  <si>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</si>
  <si>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</si>
  <si>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</si>
  <si>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</si>
  <si>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</si>
  <si>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</si>
  <si>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</si>
  <si>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</si>
  <si>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</si>
  <si>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</si>
  <si>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</si>
  <si>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</si>
  <si>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</si>
  <si>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</si>
  <si>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</si>
  <si>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</si>
  <si>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</si>
  <si>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</si>
  <si>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</si>
  <si>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</si>
  <si>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</si>
  <si>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</si>
  <si>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</si>
  <si>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</si>
  <si>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</si>
  <si>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</si>
  <si>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</si>
  <si>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</si>
  <si>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</si>
  <si>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</si>
  <si>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</si>
  <si>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</si>
  <si>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</si>
  <si>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</si>
  <si>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</si>
  <si>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</si>
  <si>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</si>
  <si>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</si>
  <si>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</si>
  <si>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</si>
  <si>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</si>
  <si>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</si>
  <si>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</si>
  <si>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</si>
  <si>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</si>
  <si>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</si>
  <si>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</si>
  <si>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</si>
  <si>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</si>
  <si>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</si>
  <si>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</si>
  <si>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</si>
  <si>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</si>
  <si>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</si>
  <si>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</si>
  <si>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</si>
  <si>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</si>
  <si>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</si>
  <si>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</si>
  <si>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</si>
  <si>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</si>
  <si>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</si>
  <si>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</si>
  <si>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</si>
  <si>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</si>
  <si>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</si>
  <si>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</si>
  <si>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</si>
  <si>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</si>
  <si>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</si>
  <si>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</si>
  <si>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</si>
  <si>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</si>
  <si>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</si>
  <si>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</si>
  <si>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</si>
  <si>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</si>
  <si>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</si>
  <si>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</si>
  <si>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</si>
  <si>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</si>
  <si>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</si>
  <si>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</si>
  <si>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</si>
  <si>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</si>
  <si>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</si>
  <si>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</si>
  <si>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</si>
  <si>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</si>
  <si>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</si>
  <si>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</si>
  <si>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</si>
  <si>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</si>
  <si>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</si>
  <si>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</si>
  <si>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</si>
  <si>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</si>
  <si>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</si>
  <si>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</si>
  <si>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</si>
  <si>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</si>
  <si>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</si>
  <si>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</si>
  <si>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</si>
  <si>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</si>
  <si>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</si>
  <si>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</si>
  <si>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</si>
  <si>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</si>
  <si>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</si>
  <si>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</si>
  <si>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</si>
  <si>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</si>
  <si>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</si>
  <si>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</si>
  <si>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</si>
  <si>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</si>
  <si>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</si>
  <si>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</si>
  <si>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</si>
  <si>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</si>
  <si>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</si>
  <si>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</si>
  <si>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</si>
  <si>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</si>
  <si>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</si>
  <si>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</si>
  <si>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</si>
  <si>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</si>
  <si>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</si>
  <si>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</si>
  <si>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</si>
  <si>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</si>
  <si>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</si>
  <si>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</si>
  <si>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</si>
  <si>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</si>
  <si>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</si>
  <si>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</si>
  <si>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</si>
  <si>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</si>
  <si>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</si>
  <si>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</si>
  <si>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</si>
  <si>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</si>
  <si>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</si>
  <si>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</si>
  <si>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</si>
  <si>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</si>
  <si>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</si>
  <si>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</si>
  <si>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</si>
  <si>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</si>
  <si>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</si>
  <si>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</si>
  <si>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</si>
  <si>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</si>
  <si>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</si>
  <si>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</si>
  <si>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</si>
  <si>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</si>
  <si>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</si>
  <si>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</si>
  <si>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</si>
  <si>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</si>
  <si>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</si>
  <si>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</si>
  <si>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</si>
  <si>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</si>
  <si>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</si>
  <si>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</si>
  <si>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</si>
  <si>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</si>
  <si>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</si>
  <si>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</si>
  <si>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</si>
  <si>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</si>
  <si>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</si>
  <si>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</si>
  <si>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</si>
  <si>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</si>
  <si>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</si>
  <si>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</si>
  <si>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</si>
  <si>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</si>
  <si>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</si>
  <si>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</si>
  <si>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</si>
  <si>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</si>
  <si>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</si>
  <si>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</si>
  <si>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</si>
  <si>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</si>
  <si>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</si>
  <si>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</si>
  <si>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</si>
  <si>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</si>
  <si>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</si>
  <si>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</si>
  <si>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</si>
  <si>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</si>
  <si>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</si>
  <si>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</si>
  <si>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</si>
  <si>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</si>
  <si>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</si>
  <si>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</si>
  <si>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</si>
  <si>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</si>
  <si>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</si>
  <si>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</si>
  <si>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</si>
  <si>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</si>
  <si>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</si>
  <si>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</si>
  <si>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</si>
  <si>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</si>
  <si>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</si>
  <si>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</si>
  <si>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</si>
  <si>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</si>
  <si>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</si>
  <si>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</si>
  <si>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</si>
  <si>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</si>
  <si>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</si>
  <si>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</si>
  <si>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</si>
  <si>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</si>
  <si>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</si>
  <si>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</si>
  <si>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</si>
  <si>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</si>
  <si>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</si>
  <si>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</si>
  <si>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</si>
  <si>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</si>
  <si>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</si>
  <si>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</si>
  <si>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</si>
  <si>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</si>
  <si>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</si>
  <si>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</si>
  <si>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</si>
  <si>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</si>
  <si>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</si>
  <si>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</si>
  <si>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</si>
  <si>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</si>
  <si>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</si>
  <si>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</si>
  <si>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</si>
  <si>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</si>
  <si>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</si>
  <si>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</si>
  <si>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</si>
  <si>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</si>
  <si>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</si>
  <si>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</si>
  <si>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</si>
  <si>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</si>
  <si>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</si>
  <si>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</si>
  <si>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</si>
  <si>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</si>
  <si>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</si>
  <si>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</si>
  <si>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</si>
  <si>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</si>
  <si>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</si>
  <si>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</si>
  <si>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</si>
  <si>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</si>
  <si>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</si>
  <si>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</si>
  <si>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</si>
  <si>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</si>
  <si>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</si>
  <si>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</si>
  <si>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</si>
  <si>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</si>
  <si>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</si>
  <si>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</si>
  <si>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</si>
  <si>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</si>
  <si>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</si>
  <si>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</si>
  <si>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</si>
  <si>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</si>
  <si>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</si>
  <si>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</si>
  <si>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</si>
  <si>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</si>
  <si>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</si>
  <si>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</si>
  <si>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</si>
  <si>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</si>
  <si>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</si>
  <si>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</si>
  <si>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</si>
  <si>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</si>
  <si>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</si>
  <si>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</si>
  <si>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</si>
  <si>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</si>
  <si>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</si>
  <si>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</si>
  <si>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</si>
  <si>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</si>
  <si>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</si>
  <si>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</si>
  <si>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</si>
  <si>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</si>
  <si>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</si>
  <si>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</si>
  <si>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</si>
  <si>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</si>
  <si>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</si>
  <si>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</si>
  <si>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</si>
  <si>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</si>
  <si>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</si>
  <si>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</si>
  <si>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</si>
  <si>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</si>
  <si>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</si>
  <si>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</si>
  <si>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</si>
  <si>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</si>
  <si>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</si>
  <si>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</si>
  <si>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</si>
  <si>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</si>
  <si>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</si>
  <si>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</si>
  <si>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</si>
  <si>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</si>
  <si>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</si>
  <si>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</si>
  <si>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</si>
  <si>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</si>
  <si>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</si>
  <si>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</si>
  <si>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</si>
  <si>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</si>
  <si>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</si>
  <si>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</si>
  <si>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</si>
  <si>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</si>
  <si>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</si>
  <si>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</si>
  <si>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</si>
  <si>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</si>
  <si>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</si>
  <si>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</si>
  <si>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</si>
  <si>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</si>
  <si>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</si>
  <si>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</si>
  <si>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</si>
  <si>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</si>
  <si>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</si>
  <si>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</si>
  <si>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</si>
  <si>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</si>
  <si>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</si>
  <si>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</si>
  <si>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</si>
  <si>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</si>
  <si>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</si>
  <si>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</si>
  <si>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</si>
  <si>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</si>
  <si>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</si>
  <si>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</si>
  <si>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</si>
  <si>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</si>
  <si>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</si>
  <si>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</si>
  <si>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</si>
  <si>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</si>
  <si>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</si>
  <si>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</si>
  <si>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</si>
  <si>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</si>
  <si>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</si>
  <si>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</si>
  <si>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</si>
  <si>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</si>
  <si>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</si>
  <si>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</si>
  <si>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</si>
  <si>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</si>
  <si>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</si>
  <si>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</si>
  <si>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</si>
  <si>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</si>
  <si>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</si>
  <si>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</si>
  <si>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</si>
  <si>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</si>
  <si>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</si>
  <si>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</si>
  <si>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</si>
  <si>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</si>
  <si>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</si>
  <si>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</si>
  <si>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</si>
  <si>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</si>
  <si>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</si>
  <si>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</si>
  <si>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</si>
  <si>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</si>
  <si>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</si>
  <si>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</si>
  <si>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</si>
  <si>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</si>
  <si>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</si>
  <si>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</si>
  <si>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</si>
  <si>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</si>
  <si>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</si>
  <si>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</si>
  <si>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</si>
  <si>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</si>
  <si>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</si>
  <si>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</si>
  <si>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</si>
  <si>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</si>
  <si>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</si>
  <si>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</si>
  <si>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</si>
  <si>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</si>
  <si>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</si>
  <si>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</si>
  <si>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</si>
  <si>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</si>
  <si>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</si>
  <si>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</si>
  <si>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</si>
  <si>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</si>
  <si>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</si>
  <si>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</si>
  <si>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</si>
  <si>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</si>
  <si>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</si>
  <si>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</si>
  <si>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</si>
  <si>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</si>
  <si>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</si>
  <si>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</si>
  <si>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</si>
  <si>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</si>
  <si>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</si>
  <si>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</si>
  <si>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</si>
  <si>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</si>
  <si>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</si>
  <si>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</si>
  <si>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</si>
  <si>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</si>
  <si>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</si>
  <si>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</si>
  <si>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</si>
  <si>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</si>
  <si>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</si>
  <si>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</si>
  <si>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</si>
  <si>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</si>
  <si>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</si>
  <si>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</si>
  <si>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</si>
  <si>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</si>
  <si>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</si>
  <si>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</si>
  <si>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</si>
  <si>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</si>
  <si>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</si>
  <si>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</si>
  <si>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</si>
  <si>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</si>
  <si>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</si>
  <si>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</si>
  <si>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</si>
  <si>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</si>
  <si>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</si>
  <si>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</si>
  <si>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</si>
  <si>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</si>
  <si>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</si>
  <si>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</si>
  <si>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</si>
  <si>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</si>
  <si>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</si>
  <si>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</si>
  <si>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</si>
  <si>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</si>
  <si>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</si>
  <si>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</si>
  <si>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</si>
  <si>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</si>
  <si>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</si>
  <si>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</si>
  <si>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</si>
  <si>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</si>
  <si>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</si>
  <si>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</si>
  <si>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</si>
  <si>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</si>
  <si>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</si>
  <si>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</si>
  <si>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</si>
  <si>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</si>
  <si>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</si>
  <si>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</si>
  <si>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</si>
  <si>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</si>
  <si>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</si>
  <si>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</si>
  <si>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</si>
  <si>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</si>
  <si>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</si>
  <si>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</si>
  <si>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</si>
  <si>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</si>
  <si>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</si>
  <si>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</si>
  <si>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</si>
  <si>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</si>
  <si>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</si>
  <si>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</si>
  <si>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</si>
  <si>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</si>
  <si>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</si>
  <si>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</si>
  <si>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</si>
  <si>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</si>
  <si>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</si>
  <si>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</si>
  <si>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</si>
  <si>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</si>
  <si>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</si>
  <si>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</si>
  <si>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</si>
  <si>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</si>
  <si>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</si>
  <si>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</si>
  <si>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</si>
  <si>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</si>
  <si>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</si>
  <si>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</si>
  <si>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</si>
  <si>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</si>
  <si>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</si>
  <si>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</si>
  <si>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</si>
  <si>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</si>
  <si>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</si>
  <si>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</si>
  <si>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</si>
  <si>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</si>
  <si>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</si>
  <si>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</si>
  <si>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</si>
  <si>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</si>
  <si>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</si>
  <si>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</si>
  <si>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</si>
  <si>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</si>
  <si>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</si>
  <si>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</si>
  <si>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</si>
  <si>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</si>
  <si>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</si>
  <si>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</si>
  <si>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</si>
  <si>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</si>
  <si>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</si>
  <si>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</si>
  <si>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</si>
  <si>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</si>
  <si>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</si>
  <si>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</si>
  <si>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</si>
  <si>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</si>
  <si>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</si>
  <si>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</si>
  <si>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</si>
  <si>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</si>
  <si>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</si>
  <si>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</si>
  <si>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</si>
  <si>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</si>
  <si>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</si>
  <si>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</si>
  <si>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</si>
  <si>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</si>
  <si>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</si>
  <si>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</si>
  <si>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</si>
  <si>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</si>
  <si>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</si>
  <si>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</si>
  <si>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</si>
  <si>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</si>
  <si>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</si>
  <si>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</si>
  <si>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</si>
  <si>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</si>
  <si>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</si>
  <si>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</si>
  <si>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</si>
  <si>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</si>
  <si>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</si>
  <si>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</si>
  <si>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</si>
  <si>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</si>
  <si>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</si>
  <si>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</si>
  <si>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</si>
  <si>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</si>
  <si>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</si>
  <si>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</si>
  <si>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</si>
  <si>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</si>
  <si>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</si>
  <si>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</si>
  <si>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</si>
  <si>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</si>
  <si>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</si>
  <si>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</si>
  <si>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</si>
  <si>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</si>
  <si>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</si>
  <si>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</si>
  <si>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</si>
  <si>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</si>
  <si>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</si>
  <si>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</si>
  <si>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</si>
  <si>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</si>
  <si>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</si>
  <si>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</si>
  <si>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</si>
  <si>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</si>
  <si>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</si>
  <si>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</si>
  <si>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</si>
  <si>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</si>
  <si>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</si>
  <si>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</si>
  <si>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</si>
  <si>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</si>
  <si>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</si>
  <si>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</si>
  <si>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</si>
  <si>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</si>
  <si>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</si>
  <si>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</si>
  <si>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</si>
  <si>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</si>
  <si>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</si>
  <si>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</si>
  <si>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</si>
  <si>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</si>
  <si>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</si>
  <si>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</si>
  <si>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</si>
  <si>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</si>
  <si>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</si>
  <si>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</si>
  <si>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</si>
  <si>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</si>
  <si>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</si>
  <si>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</si>
  <si>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</si>
  <si>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</si>
  <si>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</si>
  <si>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</si>
  <si>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</si>
  <si>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</si>
  <si>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</si>
  <si>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</si>
  <si>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</si>
  <si>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</si>
  <si>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</si>
  <si>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</si>
  <si>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</si>
  <si>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</si>
  <si>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</si>
  <si>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</si>
  <si>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</si>
  <si>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</si>
  <si>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</si>
  <si>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</si>
  <si>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</si>
  <si>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</si>
  <si>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</si>
  <si>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</si>
  <si>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</si>
  <si>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</si>
  <si>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</si>
  <si>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</si>
  <si>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</si>
  <si>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</si>
  <si>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</si>
  <si>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</si>
  <si>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</si>
  <si>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</si>
  <si>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</si>
  <si>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</si>
  <si>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</si>
  <si>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</si>
  <si>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</si>
  <si>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</si>
  <si>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</si>
  <si>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</si>
  <si>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</si>
  <si>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</si>
  <si>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</si>
  <si>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</si>
  <si>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</si>
  <si>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</si>
  <si>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</si>
  <si>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</si>
  <si>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</si>
  <si>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</si>
  <si>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</si>
  <si>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</si>
  <si>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</si>
  <si>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</si>
  <si>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</si>
  <si>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</si>
  <si>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</si>
  <si>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</si>
  <si>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</si>
  <si>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</si>
  <si>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</si>
  <si>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</si>
  <si>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</si>
  <si>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</si>
  <si>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</si>
  <si>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</si>
  <si>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</si>
  <si>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</si>
  <si>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</si>
  <si>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</si>
  <si>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</si>
  <si>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</si>
  <si>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</si>
  <si>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</si>
  <si>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</si>
  <si>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</si>
  <si>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</si>
  <si>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</si>
  <si>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</si>
  <si>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</si>
  <si>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</si>
  <si>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</si>
  <si>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</si>
  <si>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</si>
  <si>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</si>
  <si>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</si>
  <si>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</si>
  <si>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</si>
  <si>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</si>
  <si>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</si>
  <si>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</si>
  <si>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</si>
  <si>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</si>
  <si>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</si>
  <si>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</si>
  <si>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</si>
  <si>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</si>
  <si>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</si>
  <si>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</si>
  <si>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</si>
  <si>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</si>
  <si>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</si>
  <si>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</si>
  <si>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</si>
  <si>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</si>
  <si>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</si>
  <si>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</si>
  <si>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</si>
  <si>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</si>
  <si>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</si>
  <si>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</si>
  <si>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</si>
  <si>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</si>
  <si>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</si>
  <si>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</si>
  <si>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</si>
  <si>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</si>
  <si>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</si>
  <si>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</si>
  <si>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</si>
  <si>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</si>
  <si>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</si>
  <si>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</si>
  <si>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</si>
  <si>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</si>
  <si>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</si>
  <si>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</si>
  <si>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</si>
  <si>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</si>
  <si>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</si>
  <si>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</si>
  <si>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</si>
  <si>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</si>
  <si>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</si>
  <si>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</si>
  <si>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</si>
  <si>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</si>
  <si>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</si>
  <si>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</si>
  <si>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</si>
  <si>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</si>
  <si>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</si>
  <si>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</si>
  <si>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</si>
  <si>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</si>
  <si>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</si>
  <si>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</si>
  <si>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</si>
  <si>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</si>
  <si>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</si>
  <si>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</si>
  <si>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</si>
  <si>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</si>
  <si>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</si>
  <si>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</si>
  <si>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</si>
  <si>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</si>
  <si>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</si>
  <si>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</si>
  <si>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</si>
  <si>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</si>
  <si>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</si>
  <si>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</si>
  <si>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</si>
  <si>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</si>
  <si>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</si>
  <si>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</si>
  <si>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</si>
  <si>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</si>
  <si>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</si>
  <si>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</si>
  <si>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</si>
  <si>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</si>
  <si>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</si>
  <si>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</si>
  <si>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</si>
  <si>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</si>
  <si>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</si>
  <si>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</si>
  <si>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</si>
  <si>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</si>
  <si>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</si>
  <si>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</si>
  <si>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</si>
  <si>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</si>
  <si>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</si>
  <si>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</si>
  <si>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</si>
  <si>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</si>
  <si>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</si>
  <si>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</si>
  <si>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</si>
  <si>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</si>
  <si>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</si>
  <si>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</si>
  <si>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</si>
  <si>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</si>
  <si>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</si>
  <si>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</si>
  <si>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</si>
  <si>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</si>
  <si>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</si>
  <si>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</si>
  <si>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</si>
  <si>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</si>
  <si>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</si>
  <si>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</si>
  <si>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</si>
  <si>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</si>
  <si>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</si>
  <si>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</si>
  <si>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</si>
  <si>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</si>
  <si>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</si>
  <si>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</si>
  <si>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</si>
  <si>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</si>
  <si>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</si>
  <si>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</si>
  <si>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</si>
  <si>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</si>
  <si>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</si>
  <si>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</si>
  <si>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</si>
  <si>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</si>
  <si>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</si>
  <si>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</si>
  <si>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</si>
  <si>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</si>
  <si>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</si>
  <si>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</si>
  <si>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</si>
  <si>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</si>
  <si>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</si>
  <si>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</si>
  <si>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</si>
  <si>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</si>
  <si>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</si>
  <si>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</si>
  <si>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</si>
  <si>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</si>
  <si>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</si>
  <si>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</si>
  <si>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</si>
  <si>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</si>
  <si>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</si>
  <si>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</si>
  <si>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</si>
  <si>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</si>
  <si>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</si>
  <si>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</si>
  <si>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</si>
  <si>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</si>
  <si>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</si>
  <si>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</si>
  <si>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</si>
  <si>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</si>
  <si>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</si>
  <si>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</si>
  <si>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</si>
  <si>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</si>
  <si>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</si>
  <si>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</si>
  <si>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</si>
  <si>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</si>
  <si>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</si>
  <si>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</si>
  <si>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</si>
  <si>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</si>
  <si>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</si>
  <si>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</si>
  <si>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</si>
  <si>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</si>
  <si>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</si>
  <si>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</si>
  <si>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</si>
  <si>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</si>
  <si>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</si>
  <si>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</si>
  <si>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</si>
  <si>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</si>
  <si>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</si>
  <si>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</si>
  <si>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</si>
  <si>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</si>
  <si>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</si>
  <si>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</si>
  <si>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</si>
  <si>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</si>
  <si>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</si>
  <si>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</si>
  <si>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</si>
  <si>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</si>
  <si>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</si>
  <si>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</si>
  <si>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</si>
  <si>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</si>
  <si>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</si>
  <si>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</si>
  <si>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</si>
  <si>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</si>
  <si>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</si>
  <si>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</si>
  <si>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</si>
  <si>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</si>
  <si>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</si>
  <si>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</si>
  <si>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</si>
  <si>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</si>
  <si>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</si>
  <si>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</si>
  <si>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</si>
  <si>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</si>
  <si>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</si>
  <si>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</si>
  <si>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</si>
  <si>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</si>
  <si>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</si>
  <si>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</si>
  <si>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</si>
  <si>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</si>
  <si>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</si>
  <si>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</si>
  <si>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</si>
  <si>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</si>
  <si>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</si>
  <si>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</si>
  <si>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</si>
  <si>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</si>
  <si>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</si>
  <si>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</si>
  <si>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</si>
  <si>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</si>
  <si>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</si>
  <si>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</si>
  <si>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</si>
  <si>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</si>
  <si>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</si>
  <si>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</si>
  <si>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</si>
  <si>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</si>
  <si>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</si>
  <si>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</si>
  <si>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</si>
  <si>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</si>
  <si>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</si>
  <si>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</si>
  <si>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</si>
  <si>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</si>
  <si>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</si>
  <si>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</si>
  <si>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</si>
  <si>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</si>
  <si>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</si>
  <si>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</si>
  <si>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</si>
  <si>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</si>
  <si>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</si>
  <si>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</si>
  <si>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</si>
  <si>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</si>
  <si>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</si>
  <si>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</si>
  <si>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</si>
  <si>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</si>
  <si>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</si>
  <si>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</si>
  <si>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</si>
  <si>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</si>
  <si>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</si>
  <si>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</si>
  <si>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</si>
  <si>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</si>
  <si>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</si>
  <si>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</si>
  <si>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</si>
  <si>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</si>
  <si>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</si>
  <si>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</si>
  <si>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</si>
  <si>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</si>
  <si>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</si>
  <si>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</si>
  <si>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</si>
  <si>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</si>
  <si>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</si>
  <si>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</si>
  <si>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</si>
  <si>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</si>
  <si>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</si>
  <si>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</si>
  <si>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</si>
  <si>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</si>
  <si>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</si>
  <si>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</si>
  <si>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</si>
  <si>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</si>
  <si>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</si>
  <si>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</si>
  <si>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</si>
  <si>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</si>
  <si>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</si>
  <si>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</si>
  <si>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</si>
  <si>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</si>
  <si>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</si>
  <si>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</si>
  <si>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</si>
  <si>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</si>
  <si>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</si>
  <si>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</si>
  <si>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</si>
  <si>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</si>
  <si>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</si>
  <si>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</si>
  <si>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</si>
  <si>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</si>
  <si>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</si>
  <si>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</si>
  <si>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</si>
  <si>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</si>
  <si>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</si>
  <si>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</si>
  <si>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</si>
  <si>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</si>
  <si>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</si>
  <si>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</si>
  <si>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</si>
  <si>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</si>
  <si>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</si>
  <si>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</si>
  <si>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</si>
  <si>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</si>
  <si>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</si>
  <si>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</si>
  <si>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</si>
  <si>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</si>
  <si>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</si>
  <si>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</si>
  <si>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</si>
  <si>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</si>
  <si>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</si>
  <si>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</si>
  <si>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</si>
  <si>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</si>
  <si>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</si>
  <si>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</si>
  <si>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</si>
  <si>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</si>
  <si>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</si>
  <si>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</si>
  <si>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</si>
  <si>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</si>
  <si>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</si>
  <si>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</si>
  <si>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</si>
  <si>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</si>
  <si>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</si>
  <si>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</si>
  <si>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</si>
  <si>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</si>
  <si>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</si>
  <si>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</si>
  <si>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</si>
  <si>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</si>
  <si>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</si>
  <si>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</si>
  <si>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</si>
  <si>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</si>
  <si>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</si>
  <si>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</si>
  <si>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</si>
  <si>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</si>
  <si>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</si>
  <si>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</si>
  <si>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</si>
  <si>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</si>
  <si>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</si>
  <si>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</si>
  <si>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</si>
  <si>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</si>
  <si>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</si>
  <si>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</si>
  <si>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</si>
  <si>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</si>
  <si>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</si>
  <si>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</si>
  <si>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</si>
  <si>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</si>
  <si>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</si>
  <si>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</si>
  <si>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</si>
  <si>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</si>
  <si>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</si>
  <si>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</si>
  <si>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</si>
  <si>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</si>
  <si>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</si>
  <si>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</si>
  <si>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</si>
  <si>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</si>
  <si>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</si>
  <si>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</si>
  <si>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</si>
  <si>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</si>
  <si>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</si>
  <si>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</si>
  <si>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</si>
  <si>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</si>
  <si>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</si>
  <si>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</si>
  <si>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</si>
  <si>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</si>
  <si>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</si>
  <si>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</si>
  <si>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</si>
  <si>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</si>
  <si>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</si>
  <si>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</si>
  <si>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</si>
  <si>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</si>
  <si>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</si>
  <si>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</si>
  <si>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</si>
  <si>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</si>
  <si>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</si>
  <si>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</si>
  <si>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</si>
  <si>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</si>
  <si>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</si>
  <si>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</si>
  <si>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</si>
  <si>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</si>
  <si>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</si>
  <si>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</si>
  <si>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</si>
  <si>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</si>
  <si>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</si>
  <si>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</si>
  <si>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</si>
  <si>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</si>
  <si>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</si>
  <si>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</si>
  <si>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</si>
  <si>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</si>
  <si>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</si>
  <si>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</si>
  <si>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</si>
  <si>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</si>
  <si>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</si>
  <si>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</si>
  <si>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</si>
  <si>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</si>
  <si>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</si>
  <si>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</si>
  <si>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</si>
  <si>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</si>
  <si>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</si>
  <si>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</si>
  <si>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</si>
  <si>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</si>
  <si>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</si>
  <si>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</si>
  <si>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</si>
  <si>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</si>
  <si>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</si>
  <si>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</si>
  <si>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</si>
  <si>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</si>
  <si>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</si>
  <si>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</si>
  <si>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</si>
  <si>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</si>
  <si>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</si>
  <si>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</si>
  <si>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</si>
  <si>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</si>
  <si>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</si>
  <si>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</si>
  <si>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</si>
  <si>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</si>
  <si>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</si>
  <si>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</si>
  <si>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</si>
  <si>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</si>
  <si>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</si>
  <si>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</si>
  <si>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</si>
  <si>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</si>
  <si>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</si>
  <si>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</si>
  <si>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</si>
  <si>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</si>
  <si>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</si>
  <si>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</si>
  <si>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</si>
  <si>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</si>
  <si>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</si>
  <si>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</si>
  <si>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</si>
  <si>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</si>
  <si>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</si>
  <si>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</si>
  <si>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</si>
  <si>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</si>
  <si>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</si>
  <si>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</si>
  <si>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</si>
  <si>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</si>
  <si>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</si>
  <si>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</si>
  <si>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</si>
  <si>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</si>
  <si>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</si>
  <si>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</si>
  <si>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</si>
  <si>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</si>
  <si>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</si>
  <si>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</si>
  <si>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</si>
  <si>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</si>
  <si>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</si>
  <si>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</si>
  <si>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</si>
  <si>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</si>
  <si>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</si>
  <si>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</si>
  <si>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</si>
  <si>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</si>
  <si>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</si>
  <si>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</si>
  <si>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</si>
  <si>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</si>
  <si>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</si>
  <si>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</si>
  <si>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</si>
  <si>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</si>
  <si>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</si>
  <si>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</si>
  <si>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</si>
  <si>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</si>
  <si>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</si>
  <si>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</si>
  <si>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</si>
  <si>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</si>
  <si>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</si>
  <si>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</si>
  <si>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</si>
  <si>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</si>
  <si>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</si>
  <si>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</si>
  <si>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</si>
  <si>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</si>
  <si>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</si>
  <si>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</si>
  <si>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</si>
  <si>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</si>
  <si>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</si>
  <si>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</si>
  <si>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</si>
  <si>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</si>
  <si>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</si>
  <si>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</si>
  <si>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</si>
  <si>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</si>
  <si>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</si>
  <si>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</si>
  <si>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</si>
  <si>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</si>
  <si>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</si>
  <si>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</si>
  <si>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</si>
  <si>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</si>
  <si>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</si>
  <si>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</si>
  <si>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</si>
  <si>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</si>
  <si>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</si>
  <si>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</si>
  <si>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</si>
  <si>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</si>
  <si>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</si>
  <si>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</si>
  <si>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</si>
  <si>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</si>
  <si>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</si>
  <si>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</si>
  <si>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</si>
  <si>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</si>
  <si>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</si>
  <si>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</si>
  <si>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</si>
  <si>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</si>
  <si>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</si>
  <si>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</si>
  <si>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</si>
  <si>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</si>
  <si>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</si>
  <si>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</si>
  <si>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</si>
  <si>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</si>
  <si>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</si>
  <si>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</si>
  <si>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</si>
  <si>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</si>
  <si>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</si>
  <si>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</si>
  <si>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</si>
  <si>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</si>
  <si>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</si>
  <si>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</si>
  <si>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</si>
  <si>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</si>
  <si>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</si>
  <si>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</si>
  <si>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</si>
  <si>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</si>
  <si>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</si>
  <si>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</si>
  <si>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</si>
  <si>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</si>
  <si>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</si>
  <si>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</si>
  <si>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</si>
  <si>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</si>
  <si>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</si>
  <si>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</si>
  <si>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</si>
  <si>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</si>
  <si>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</si>
  <si>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</si>
  <si>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</si>
  <si>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</si>
  <si>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</si>
  <si>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</si>
  <si>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</si>
  <si>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</si>
  <si>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</si>
  <si>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</si>
  <si>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</si>
  <si>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</si>
  <si>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</si>
  <si>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</si>
  <si>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</si>
  <si>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</si>
  <si>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</si>
  <si>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</si>
  <si>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</si>
  <si>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</si>
  <si>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</si>
  <si>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</si>
  <si>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</si>
  <si>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</si>
  <si>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</si>
  <si>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</si>
  <si>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</si>
  <si>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</si>
  <si>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</si>
  <si>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</si>
  <si>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</si>
  <si>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</si>
  <si>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</si>
  <si>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</si>
  <si>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</si>
  <si>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</si>
  <si>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</si>
  <si>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</si>
  <si>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</si>
  <si>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</si>
  <si>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</si>
  <si>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</si>
  <si>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</si>
  <si>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</si>
  <si>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</si>
  <si>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</si>
  <si>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</si>
  <si>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</si>
  <si>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</si>
  <si>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</si>
  <si>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</si>
  <si>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</si>
  <si>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</si>
  <si>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</si>
  <si>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</si>
  <si>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</si>
  <si>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</si>
  <si>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</si>
  <si>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</si>
  <si>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</si>
  <si>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</si>
  <si>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</si>
  <si>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</si>
  <si>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</si>
  <si>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</si>
  <si>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</si>
  <si>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</si>
  <si>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</si>
  <si>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</si>
  <si>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</si>
  <si>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</si>
  <si>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</si>
  <si>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</si>
  <si>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</si>
  <si>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</si>
  <si>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</si>
  <si>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</si>
  <si>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</si>
  <si>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</si>
  <si>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</si>
  <si>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</si>
  <si>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</si>
  <si>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</si>
  <si>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</si>
  <si>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</si>
  <si>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</si>
  <si>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</si>
  <si>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</si>
  <si>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</si>
  <si>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</si>
  <si>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</si>
  <si>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</si>
  <si>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</si>
  <si>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</si>
  <si>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</si>
  <si>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</si>
  <si>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</si>
  <si>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</si>
  <si>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</si>
  <si>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</si>
  <si>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</si>
  <si>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</si>
  <si>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</si>
  <si>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</si>
  <si>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</si>
  <si>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</si>
  <si>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</si>
  <si>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</si>
  <si>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</si>
  <si>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</si>
  <si>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</si>
  <si>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</si>
  <si>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</si>
  <si>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</si>
  <si>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</si>
  <si>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</si>
  <si>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</si>
  <si>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</si>
  <si>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</si>
  <si>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</si>
  <si>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</si>
  <si>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</si>
  <si>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</si>
  <si>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</si>
  <si>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</si>
  <si>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</si>
  <si>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</si>
  <si>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</si>
  <si>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</si>
  <si>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</si>
  <si>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</si>
  <si>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</si>
  <si>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</si>
  <si>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</si>
  <si>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</si>
  <si>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</si>
  <si>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</si>
  <si>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</si>
  <si>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</si>
  <si>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</si>
  <si>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</si>
  <si>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</si>
  <si>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</si>
  <si>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</si>
  <si>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</si>
  <si>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</si>
  <si>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</si>
  <si>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</si>
  <si>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</si>
  <si>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</si>
  <si>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</si>
  <si>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</si>
  <si>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</si>
  <si>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</si>
  <si>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</si>
  <si>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</si>
  <si>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</si>
  <si>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</si>
  <si>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</si>
  <si>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</si>
  <si>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</si>
  <si>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</si>
  <si>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</si>
  <si>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</si>
  <si>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</si>
  <si>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</si>
  <si>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</si>
  <si>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</si>
  <si>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</si>
  <si>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</si>
  <si>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</si>
  <si>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</si>
  <si>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</si>
  <si>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</si>
  <si>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</si>
  <si>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</si>
  <si>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</si>
  <si>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</si>
  <si>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</si>
  <si>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</si>
  <si>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</si>
  <si>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</si>
  <si>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</si>
  <si>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</si>
  <si>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</si>
  <si>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</si>
  <si>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</si>
  <si>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</si>
  <si>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</si>
  <si>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</si>
  <si>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</si>
  <si>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</si>
  <si>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</si>
  <si>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</si>
  <si>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</si>
  <si>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</si>
  <si>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</si>
  <si>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</si>
  <si>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</si>
  <si>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</si>
  <si>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</si>
  <si>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</si>
  <si>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</si>
  <si>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</si>
  <si>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</si>
  <si>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</si>
  <si>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</si>
  <si>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</si>
  <si>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</si>
  <si>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</si>
  <si>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</si>
  <si>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</si>
  <si>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</si>
  <si>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</si>
  <si>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</si>
  <si>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</si>
  <si>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</si>
  <si>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</si>
  <si>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</si>
  <si>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</si>
  <si>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</si>
  <si>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</si>
  <si>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</si>
  <si>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</si>
  <si>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</si>
  <si>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</si>
  <si>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</si>
  <si>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</si>
  <si>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</si>
  <si>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</si>
  <si>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</si>
  <si>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</si>
  <si>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</si>
  <si>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</si>
  <si>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</si>
  <si>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</si>
  <si>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</si>
  <si>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</si>
  <si>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</si>
  <si>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</si>
  <si>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</si>
  <si>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</si>
  <si>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</si>
  <si>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</si>
  <si>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</si>
  <si>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</si>
  <si>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</si>
  <si>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</si>
  <si>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</si>
  <si>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</si>
  <si>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</si>
  <si>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</si>
  <si>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</si>
  <si>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</si>
  <si>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</si>
  <si>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</si>
  <si>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</si>
  <si>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</si>
  <si>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</si>
  <si>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</si>
  <si>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</si>
  <si>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</si>
  <si>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</si>
  <si>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</si>
  <si>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</si>
  <si>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</si>
  <si>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</si>
  <si>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</si>
  <si>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</si>
  <si>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</si>
  <si>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</si>
  <si>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</si>
  <si>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</si>
  <si>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</si>
  <si>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</si>
  <si>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</si>
  <si>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</si>
  <si>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</si>
  <si>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</si>
  <si>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</si>
  <si>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</si>
  <si>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</si>
  <si>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</si>
  <si>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</si>
  <si>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</si>
  <si>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</si>
  <si>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</si>
  <si>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</si>
  <si>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</si>
  <si>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</si>
  <si>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</si>
  <si>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</si>
  <si>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</si>
  <si>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</si>
  <si>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</si>
  <si>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</si>
  <si>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</si>
  <si>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</si>
  <si>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</si>
  <si>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</si>
  <si>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</si>
  <si>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</si>
  <si>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</si>
  <si>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</si>
  <si>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</si>
  <si>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</si>
  <si>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</si>
  <si>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</si>
  <si>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</si>
  <si>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</si>
  <si>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</si>
  <si>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</si>
  <si>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</si>
  <si>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</si>
  <si>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</si>
  <si>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</si>
  <si>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</si>
  <si>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</si>
  <si>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</si>
  <si>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</si>
  <si>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</si>
  <si>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</si>
  <si>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</si>
  <si>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</si>
  <si>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</si>
  <si>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</si>
  <si>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</si>
  <si>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</si>
  <si>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</si>
  <si>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</si>
  <si>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</si>
  <si>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</si>
  <si>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</si>
  <si>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</si>
  <si>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</si>
  <si>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</si>
  <si>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</si>
  <si>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</si>
  <si>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</si>
  <si>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</si>
  <si>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</si>
  <si>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</si>
  <si>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</si>
  <si>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</si>
  <si>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</si>
  <si>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</si>
  <si>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</si>
  <si>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</si>
  <si>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</si>
  <si>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</si>
  <si>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</si>
  <si>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</si>
  <si>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</si>
  <si>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</si>
  <si>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</si>
  <si>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</si>
  <si>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</si>
  <si>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</si>
  <si>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</si>
  <si>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</si>
  <si>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</si>
  <si>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</si>
  <si>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</si>
  <si>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</si>
  <si>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</si>
  <si>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</si>
  <si>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</si>
  <si>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</si>
  <si>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</si>
  <si>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</si>
  <si>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</si>
  <si>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</si>
  <si>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</si>
  <si>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</si>
  <si>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</si>
  <si>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</si>
  <si>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</si>
  <si>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</si>
  <si>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</si>
  <si>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</si>
  <si>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</si>
  <si>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</si>
  <si>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</si>
  <si>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</si>
  <si>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</si>
  <si>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</si>
  <si>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</si>
  <si>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</si>
  <si>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</si>
  <si>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</si>
  <si>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</si>
  <si>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</si>
  <si>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</si>
  <si>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</si>
  <si>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</si>
  <si>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</si>
  <si>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</si>
  <si>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</si>
  <si>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</si>
  <si>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</si>
  <si>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</si>
  <si>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</si>
  <si>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</si>
  <si>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</si>
  <si>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</si>
  <si>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</si>
  <si>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</si>
  <si>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</si>
  <si>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</si>
  <si>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</si>
  <si>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</si>
  <si>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</si>
  <si>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</si>
  <si>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</si>
  <si>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</si>
  <si>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</si>
  <si>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</si>
  <si>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</si>
  <si>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</si>
  <si>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</si>
  <si>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</si>
  <si>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</si>
  <si>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</si>
  <si>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</si>
  <si>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</si>
  <si>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</si>
  <si>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</si>
  <si>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</si>
  <si>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</si>
  <si>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</si>
  <si>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</si>
  <si>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</si>
  <si>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</si>
  <si>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</si>
  <si>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</si>
  <si>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</si>
  <si>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</si>
  <si>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</si>
  <si>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</si>
  <si>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</si>
  <si>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</si>
  <si>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</si>
  <si>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</si>
  <si>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</si>
  <si>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</si>
  <si>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</si>
  <si>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</si>
  <si>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</si>
  <si>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</si>
  <si>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</si>
  <si>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</si>
  <si>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</si>
  <si>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</si>
  <si>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</si>
  <si>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</si>
  <si>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</si>
  <si>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</si>
  <si>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</si>
  <si>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</si>
  <si>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</si>
  <si>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</si>
  <si>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</si>
  <si>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</si>
  <si>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</si>
  <si>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</si>
  <si>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</si>
  <si>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</si>
  <si>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</si>
  <si>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</si>
  <si>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</si>
  <si>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</si>
  <si>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</si>
  <si>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</si>
  <si>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</si>
  <si>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</si>
  <si>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</si>
  <si>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</si>
  <si>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</si>
  <si>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</si>
  <si>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</si>
  <si>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</si>
  <si>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</si>
  <si>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</si>
  <si>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</si>
  <si>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</si>
  <si>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</si>
  <si>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</si>
  <si>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</si>
  <si>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</si>
  <si>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</si>
  <si>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</si>
  <si>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</si>
  <si>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</si>
  <si>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</si>
  <si>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</si>
  <si>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</si>
  <si>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</si>
  <si>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</si>
  <si>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</si>
  <si>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</si>
  <si>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</si>
  <si>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</si>
  <si>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</si>
  <si>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</si>
  <si>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</si>
  <si>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</si>
  <si>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</si>
  <si>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</si>
  <si>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</si>
  <si>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</si>
  <si>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</si>
  <si>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</si>
  <si>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</si>
  <si>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</si>
  <si>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</si>
  <si>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</si>
  <si>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</si>
  <si>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</si>
  <si>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</si>
  <si>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</si>
  <si>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</si>
  <si>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</si>
  <si>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</si>
  <si>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</si>
  <si>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</si>
  <si>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</si>
  <si>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</si>
  <si>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</si>
  <si>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</si>
  <si>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</si>
  <si>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</si>
  <si>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</si>
  <si>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</si>
  <si>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</si>
  <si>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</si>
  <si>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</si>
  <si>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</si>
  <si>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</si>
  <si>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</si>
  <si>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</si>
  <si>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</si>
  <si>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</si>
  <si>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</si>
  <si>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</si>
  <si>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</si>
  <si>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</si>
  <si>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</si>
  <si>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</si>
  <si>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</si>
  <si>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</si>
  <si>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</si>
  <si>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</si>
  <si>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</si>
  <si>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</si>
  <si>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</si>
  <si>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</si>
  <si>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</si>
  <si>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</si>
  <si>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</si>
  <si>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</si>
  <si>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</si>
  <si>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</si>
  <si>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</si>
  <si>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</si>
  <si>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</si>
  <si>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</si>
  <si>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</si>
  <si>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</si>
  <si>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</si>
  <si>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</si>
  <si>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</si>
  <si>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</si>
  <si>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</si>
  <si>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</si>
  <si>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</si>
  <si>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</si>
  <si>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</si>
  <si>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</si>
  <si>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</si>
  <si>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</si>
  <si>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</si>
  <si>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</si>
  <si>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</si>
  <si>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</si>
  <si>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</si>
  <si>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</si>
  <si>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</si>
  <si>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</si>
  <si>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</si>
  <si>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</si>
  <si>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</si>
  <si>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</si>
  <si>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</si>
  <si>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</si>
  <si>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</si>
  <si>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</si>
  <si>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</si>
  <si>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</si>
  <si>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</si>
  <si>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</si>
  <si>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</si>
  <si>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</si>
  <si>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</si>
  <si>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</si>
  <si>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</si>
  <si>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</si>
  <si>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</si>
  <si>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</si>
  <si>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</si>
  <si>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</si>
  <si>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</si>
  <si>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</si>
  <si>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</si>
  <si>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</si>
  <si>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</si>
  <si>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</si>
  <si>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</si>
  <si>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</si>
  <si>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</si>
  <si>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</si>
  <si>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</si>
  <si>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</si>
  <si>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</si>
  <si>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</si>
  <si>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</si>
  <si>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</si>
  <si>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</si>
  <si>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</si>
  <si>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</si>
  <si>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</si>
  <si>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</si>
  <si>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</si>
  <si>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</si>
  <si>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</si>
  <si>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</si>
  <si>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</si>
  <si>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</si>
  <si>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</si>
  <si>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</si>
  <si>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</si>
  <si>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</si>
  <si>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</si>
  <si>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</si>
  <si>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</si>
  <si>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</si>
  <si>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</si>
  <si>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</si>
  <si>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</si>
  <si>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</si>
  <si>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</si>
  <si>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</si>
  <si>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</si>
  <si>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</si>
  <si>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</si>
  <si>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</si>
  <si>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</si>
  <si>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</si>
  <si>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</si>
  <si>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</si>
  <si>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</si>
  <si>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</si>
  <si>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</si>
  <si>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</si>
  <si>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</si>
  <si>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</si>
  <si>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</si>
  <si>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</si>
  <si>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</si>
  <si>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</si>
  <si>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</si>
  <si>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</si>
  <si>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</si>
  <si>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</si>
  <si>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</si>
  <si>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</si>
  <si>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</si>
  <si>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</si>
  <si>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</si>
  <si>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</si>
  <si>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</si>
  <si>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</si>
  <si>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</si>
  <si>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</si>
  <si>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</si>
  <si>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</si>
  <si>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</si>
  <si>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</si>
  <si>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</si>
  <si>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</si>
  <si>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</si>
  <si>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</si>
  <si>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</si>
  <si>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</si>
  <si>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</si>
  <si>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</si>
  <si>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</si>
  <si>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</si>
  <si>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</si>
  <si>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</si>
  <si>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</si>
  <si>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</si>
  <si>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</si>
  <si>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</si>
  <si>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</si>
  <si>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</si>
  <si>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</si>
  <si>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</si>
  <si>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</si>
  <si>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</si>
  <si>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</si>
  <si>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</si>
  <si>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</si>
  <si>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</si>
  <si>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</si>
  <si>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</si>
  <si>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</si>
  <si>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</si>
  <si>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</si>
  <si>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</si>
  <si>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</si>
  <si>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</si>
  <si>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</si>
  <si>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</si>
  <si>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</si>
  <si>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</si>
  <si>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</si>
  <si>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</si>
  <si>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</si>
  <si>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</si>
  <si>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</si>
  <si>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</si>
  <si>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</si>
  <si>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</si>
  <si>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</si>
  <si>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</si>
  <si>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</si>
  <si>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</si>
  <si>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</si>
  <si>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</si>
  <si>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</si>
  <si>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</si>
  <si>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</si>
  <si>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</si>
  <si>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</si>
  <si>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</si>
  <si>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</si>
  <si>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</si>
  <si>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</si>
  <si>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</si>
  <si>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</si>
  <si>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</si>
  <si>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</si>
  <si>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</si>
  <si>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</si>
  <si>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</si>
  <si>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</si>
  <si>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</si>
  <si>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</si>
  <si>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</si>
  <si>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</si>
  <si>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</si>
  <si>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</si>
  <si>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</si>
  <si>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</si>
  <si>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</si>
  <si>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</si>
  <si>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</si>
  <si>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</si>
  <si>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</si>
  <si>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</si>
  <si>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</si>
  <si>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</si>
  <si>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</si>
  <si>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</si>
  <si>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</si>
  <si>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</si>
  <si>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</si>
  <si>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</si>
  <si>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</si>
  <si>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</si>
  <si>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</si>
  <si>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</si>
  <si>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</si>
  <si>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</si>
  <si>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</si>
  <si>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</si>
  <si>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</si>
  <si>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</si>
  <si>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</si>
  <si>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</si>
  <si>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</si>
  <si>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</si>
  <si>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</si>
  <si>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</si>
  <si>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</si>
  <si>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</si>
  <si>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</si>
  <si>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</si>
  <si>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</si>
  <si>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</si>
  <si>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</si>
  <si>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</si>
  <si>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</si>
  <si>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</si>
  <si>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</si>
  <si>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</si>
  <si>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</si>
  <si>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</si>
  <si>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</si>
  <si>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</si>
  <si>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</si>
  <si>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</si>
  <si>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</si>
  <si>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</si>
  <si>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</si>
  <si>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</si>
  <si>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</si>
  <si>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</si>
  <si>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</si>
  <si>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</si>
  <si>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</si>
  <si>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</si>
  <si>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</si>
  <si>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</si>
  <si>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</si>
  <si>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</si>
  <si>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</si>
  <si>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</si>
  <si>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</si>
  <si>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</si>
  <si>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</si>
  <si>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</si>
  <si>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</si>
  <si>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</si>
  <si>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</si>
  <si>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</si>
  <si>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</si>
  <si>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</si>
  <si>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</si>
  <si>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</si>
  <si>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</si>
  <si>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</si>
  <si>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</si>
  <si>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</si>
  <si>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</si>
  <si>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</si>
  <si>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</si>
  <si>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</si>
  <si>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</si>
  <si>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</si>
  <si>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</si>
  <si>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</si>
  <si>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</si>
  <si>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</si>
  <si>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</si>
  <si>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</si>
  <si>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</si>
  <si>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</si>
  <si>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</si>
  <si>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</si>
  <si>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</si>
  <si>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</si>
  <si>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</si>
  <si>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</si>
  <si>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</si>
  <si>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</si>
  <si>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</si>
  <si>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</si>
  <si>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</si>
  <si>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</si>
  <si>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</si>
  <si>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</si>
  <si>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</si>
  <si>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</si>
  <si>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</si>
  <si>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</si>
  <si>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</si>
  <si>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</si>
  <si>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</si>
  <si>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</si>
  <si>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</si>
  <si>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</si>
  <si>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</si>
  <si>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</si>
  <si>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</si>
  <si>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</si>
  <si>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</si>
  <si>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</si>
  <si>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</si>
  <si>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</si>
  <si>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</si>
  <si>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</si>
  <si>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</si>
  <si>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</si>
  <si>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</si>
  <si>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</si>
  <si>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</si>
  <si>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</si>
  <si>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</si>
  <si>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</si>
  <si>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</si>
  <si>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</si>
  <si>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</si>
  <si>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</si>
  <si>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</si>
  <si>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</si>
  <si>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</si>
  <si>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</si>
  <si>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</si>
  <si>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</si>
  <si>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</si>
  <si>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</si>
  <si>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</si>
  <si>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</si>
  <si>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</si>
  <si>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</si>
  <si>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</si>
  <si>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</si>
  <si>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</si>
  <si>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</si>
  <si>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</si>
  <si>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</si>
  <si>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</si>
  <si>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</si>
  <si>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</si>
  <si>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</si>
  <si>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</si>
  <si>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</si>
  <si>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</si>
  <si>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</si>
  <si>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</si>
  <si>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</si>
  <si>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</si>
  <si>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</si>
  <si>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</si>
  <si>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</si>
  <si>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</si>
  <si>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</si>
  <si>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</si>
  <si>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</si>
  <si>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</si>
  <si>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</si>
  <si>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</si>
  <si>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</si>
  <si>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</si>
  <si>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</si>
  <si>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</si>
  <si>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</si>
  <si>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</si>
  <si>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</si>
  <si>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</si>
  <si>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</si>
  <si>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</si>
  <si>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</si>
  <si>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</si>
  <si>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</si>
  <si>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</si>
  <si>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</si>
  <si>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</si>
  <si>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</si>
  <si>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</si>
  <si>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</si>
  <si>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</si>
  <si>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</si>
  <si>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</si>
  <si>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</si>
  <si>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</si>
  <si>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</si>
  <si>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</si>
  <si>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</si>
  <si>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</si>
  <si>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</si>
  <si>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</si>
  <si>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</si>
  <si>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</si>
  <si>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</si>
  <si>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</si>
  <si>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</si>
  <si>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</si>
  <si>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</si>
  <si>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</si>
  <si>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</si>
  <si>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</si>
  <si>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</si>
  <si>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</si>
  <si>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</si>
  <si>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</si>
  <si>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</si>
  <si>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</si>
  <si>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</si>
  <si>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</si>
  <si>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</si>
  <si>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</si>
  <si>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</si>
  <si>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</si>
  <si>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</si>
  <si>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</si>
  <si>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</si>
  <si>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</si>
  <si>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</si>
  <si>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</si>
  <si>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</si>
  <si>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</si>
  <si>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</si>
  <si>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</si>
  <si>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</si>
  <si>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</si>
  <si>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</si>
  <si>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</si>
  <si>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</si>
  <si>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</si>
  <si>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</si>
  <si>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</si>
  <si>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</si>
  <si>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</si>
  <si>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</si>
  <si>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</si>
  <si>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</si>
  <si>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</si>
  <si>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</si>
  <si>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</si>
  <si>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</si>
  <si>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</si>
  <si>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</si>
  <si>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</si>
  <si>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</si>
  <si>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</si>
  <si>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</si>
  <si>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</si>
  <si>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</si>
  <si>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</si>
  <si>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</si>
  <si>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</si>
  <si>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</si>
  <si>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</si>
  <si>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</si>
  <si>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</si>
  <si>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</si>
  <si>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</si>
  <si>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</si>
  <si>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</si>
  <si>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</si>
  <si>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</si>
  <si>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</si>
  <si>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</si>
  <si>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</si>
  <si>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</si>
  <si>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</si>
  <si>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</si>
  <si>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</si>
  <si>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</si>
  <si>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</si>
  <si>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</si>
  <si>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</si>
  <si>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</si>
  <si>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</si>
  <si>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</si>
  <si>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</si>
  <si>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</si>
  <si>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</si>
  <si>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</si>
  <si>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</si>
  <si>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</si>
  <si>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</si>
  <si>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</si>
  <si>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</si>
  <si>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</si>
  <si>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</si>
  <si>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</si>
  <si>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</si>
  <si>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</si>
  <si>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</si>
  <si>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</si>
  <si>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</si>
  <si>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</si>
  <si>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</si>
  <si>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</si>
  <si>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</si>
  <si>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</si>
  <si>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</si>
  <si>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</si>
  <si>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</si>
  <si>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</si>
  <si>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</si>
  <si>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</si>
  <si>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</si>
  <si>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</si>
  <si>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</si>
  <si>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</si>
  <si>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</si>
  <si>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</si>
  <si>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</si>
  <si>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</si>
  <si>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</si>
  <si>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</si>
  <si>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</si>
  <si>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</si>
  <si>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</si>
  <si>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</si>
  <si>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</si>
  <si>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</si>
  <si>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</si>
  <si>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</si>
  <si>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</si>
  <si>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</si>
  <si>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</si>
  <si>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</si>
  <si>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</si>
  <si>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</si>
  <si>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</si>
  <si>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</si>
  <si>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</si>
  <si>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</si>
  <si>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</si>
  <si>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</si>
  <si>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</si>
  <si>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</si>
  <si>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</si>
  <si>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</si>
  <si>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</si>
  <si>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</si>
  <si>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</si>
  <si>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</si>
  <si>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</si>
  <si>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</si>
  <si>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</si>
  <si>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</si>
  <si>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</si>
  <si>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</si>
  <si>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</si>
  <si>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</si>
  <si>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</si>
  <si>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</si>
  <si>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</si>
  <si>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</si>
  <si>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</si>
  <si>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</si>
  <si>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</si>
  <si>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</si>
  <si>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</si>
  <si>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</si>
  <si>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</si>
  <si>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</si>
  <si>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</si>
  <si>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</si>
  <si>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</si>
  <si>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</si>
  <si>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</si>
  <si>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</si>
  <si>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</si>
  <si>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</si>
  <si>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</si>
  <si>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</si>
  <si>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</si>
  <si>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</si>
  <si>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</si>
  <si>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</si>
  <si>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</si>
  <si>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</si>
  <si>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</si>
  <si>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</si>
  <si>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</si>
  <si>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</si>
  <si>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</si>
  <si>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</si>
  <si>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</si>
  <si>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</si>
  <si>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</si>
  <si>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</si>
  <si>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</si>
  <si>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</si>
  <si>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</si>
  <si>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</si>
  <si>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</si>
  <si>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</si>
  <si>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</si>
  <si>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</si>
  <si>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</si>
  <si>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</si>
  <si>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</si>
  <si>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</si>
  <si>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</si>
  <si>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</si>
  <si>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</si>
  <si>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</si>
  <si>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</si>
  <si>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</si>
  <si>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</si>
  <si>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</si>
  <si>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</si>
  <si>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</si>
  <si>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</si>
  <si>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</si>
  <si>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</si>
  <si>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</si>
  <si>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</si>
  <si>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</si>
  <si>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</si>
  <si>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</si>
  <si>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</si>
  <si>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</si>
  <si>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</si>
  <si>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</si>
  <si>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</si>
  <si>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</si>
  <si>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</si>
  <si>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</si>
  <si>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</si>
  <si>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</si>
  <si>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</si>
  <si>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</si>
  <si>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</si>
  <si>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</si>
  <si>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</si>
  <si>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</si>
  <si>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</si>
  <si>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</si>
  <si>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</si>
  <si>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</si>
  <si>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</si>
  <si>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</si>
  <si>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</si>
  <si>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</si>
  <si>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</si>
  <si>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</si>
  <si>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</si>
  <si>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</si>
  <si>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</si>
  <si>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</si>
  <si>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</si>
  <si>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</si>
  <si>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</si>
  <si>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</si>
  <si>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</si>
  <si>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</si>
  <si>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</si>
  <si>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</si>
  <si>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</si>
  <si>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</si>
  <si>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</si>
  <si>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</si>
  <si>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</si>
  <si>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</si>
  <si>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</si>
  <si>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</si>
  <si>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</si>
  <si>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</si>
  <si>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</si>
  <si>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</si>
  <si>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</si>
  <si>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</si>
  <si>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</si>
  <si>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</si>
  <si>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</si>
  <si>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</si>
  <si>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</si>
  <si>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</si>
  <si>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</si>
  <si>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</si>
  <si>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</si>
  <si>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</si>
  <si>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</si>
  <si>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</si>
  <si>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</si>
  <si>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</si>
  <si>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</si>
  <si>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</si>
  <si>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</si>
  <si>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</si>
  <si>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</si>
  <si>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</si>
  <si>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</si>
  <si>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</si>
  <si>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</si>
  <si>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</si>
  <si>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</si>
  <si>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</si>
  <si>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</si>
  <si>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</si>
  <si>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</si>
  <si>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</si>
  <si>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</si>
  <si>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</si>
  <si>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</si>
  <si>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</si>
  <si>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</si>
  <si>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</si>
  <si>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</si>
  <si>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</si>
  <si>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</si>
  <si>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</si>
  <si>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</si>
  <si>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</si>
  <si>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</si>
  <si>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</si>
  <si>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</si>
  <si>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</si>
  <si>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</si>
  <si>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</si>
  <si>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</si>
  <si>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</si>
  <si>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</si>
  <si>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</si>
  <si>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</si>
  <si>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</si>
  <si>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</si>
  <si>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</si>
  <si>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</si>
  <si>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</si>
  <si>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</si>
  <si>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</si>
  <si>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</si>
  <si>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</si>
  <si>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</si>
  <si>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</si>
  <si>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</si>
  <si>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</si>
  <si>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</si>
  <si>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</si>
  <si>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</si>
  <si>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</si>
  <si>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</si>
  <si>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</si>
  <si>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</si>
  <si>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</si>
  <si>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</si>
  <si>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</si>
  <si>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</si>
  <si>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</si>
  <si>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</si>
  <si>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</si>
  <si>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</si>
  <si>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</si>
  <si>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</si>
  <si>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</si>
  <si>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</si>
  <si>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</si>
  <si>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</si>
  <si>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</si>
  <si>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</si>
  <si>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</si>
  <si>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</si>
  <si>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</si>
  <si>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</si>
  <si>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</si>
  <si>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</si>
  <si>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</si>
  <si>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</si>
  <si>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</si>
  <si>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</si>
  <si>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</si>
  <si>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</si>
  <si>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</si>
  <si>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</si>
  <si>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</si>
  <si>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</si>
  <si>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</si>
  <si>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</si>
  <si>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</si>
  <si>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</si>
  <si>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</si>
  <si>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</si>
  <si>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</si>
  <si>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</si>
  <si>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</si>
  <si>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</si>
  <si>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</si>
  <si>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</si>
  <si>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</si>
  <si>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</si>
  <si>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</si>
  <si>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</si>
  <si>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</si>
  <si>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</si>
  <si>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</si>
  <si>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</si>
  <si>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</si>
  <si>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</si>
  <si>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</si>
  <si>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</si>
  <si>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</si>
  <si>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</si>
  <si>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</si>
  <si>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</si>
  <si>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</si>
  <si>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</si>
  <si>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</si>
  <si>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</si>
  <si>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</si>
  <si>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</si>
  <si>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</si>
  <si>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</si>
  <si>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</si>
  <si>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</si>
  <si>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</si>
  <si>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</si>
  <si>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</si>
  <si>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</si>
  <si>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</si>
  <si>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</si>
  <si>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</si>
  <si>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</si>
  <si>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</si>
  <si>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</si>
  <si>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</si>
  <si>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</si>
  <si>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</si>
  <si>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</si>
  <si>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</si>
  <si>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</si>
  <si>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</si>
  <si>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</si>
  <si>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</si>
  <si>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</si>
  <si>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</si>
  <si>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</si>
  <si>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</si>
  <si>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</si>
  <si>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</si>
  <si>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</si>
  <si>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</si>
  <si>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</si>
  <si>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</si>
  <si>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</si>
  <si>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</si>
  <si>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</si>
  <si>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</si>
  <si>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</si>
  <si>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</si>
  <si>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</si>
  <si>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</si>
  <si>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</si>
  <si>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</si>
  <si>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</si>
  <si>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</si>
  <si>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</si>
  <si>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</si>
  <si>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</si>
  <si>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</si>
  <si>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</si>
  <si>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</si>
  <si>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</si>
  <si>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</si>
  <si>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</si>
  <si>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</si>
  <si>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</si>
  <si>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</si>
  <si>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</si>
  <si>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</si>
  <si>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</si>
  <si>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</si>
  <si>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</si>
  <si>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</si>
  <si>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</si>
  <si>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</si>
  <si>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</si>
  <si>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</si>
  <si>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</si>
  <si>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</si>
  <si>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</si>
  <si>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</si>
  <si>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</si>
  <si>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</si>
  <si>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</si>
  <si>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</si>
  <si>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</si>
  <si>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</si>
  <si>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</si>
  <si>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</si>
  <si>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</si>
  <si>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</si>
  <si>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</si>
  <si>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</si>
  <si>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</si>
  <si>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</si>
  <si>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</si>
  <si>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</si>
  <si>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</si>
  <si>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</si>
  <si>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</si>
  <si>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</si>
  <si>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</si>
  <si>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</si>
  <si>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</si>
  <si>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</si>
  <si>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</si>
  <si>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</si>
  <si>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</si>
  <si>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</si>
  <si>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</si>
  <si>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</si>
  <si>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</si>
  <si>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</si>
  <si>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</si>
  <si>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</si>
  <si>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</si>
  <si>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</si>
  <si>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</si>
  <si>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</si>
  <si>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</si>
  <si>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</si>
  <si>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</si>
  <si>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</si>
  <si>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</si>
  <si>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</si>
  <si>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</si>
  <si>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</si>
  <si>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</si>
  <si>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</si>
  <si>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</si>
  <si>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</si>
  <si>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</si>
  <si>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</si>
  <si>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</si>
  <si>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</si>
  <si>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</si>
  <si>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</si>
  <si>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</si>
  <si>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</si>
  <si>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</si>
  <si>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</si>
  <si>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</si>
  <si>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</si>
  <si>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</si>
  <si>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</si>
  <si>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</si>
  <si>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</si>
  <si>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</si>
  <si>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</si>
  <si>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</si>
  <si>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</si>
  <si>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</si>
  <si>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</si>
  <si>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</si>
  <si>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</si>
  <si>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</si>
  <si>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</si>
  <si>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</si>
  <si>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</si>
  <si>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</si>
  <si>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</si>
  <si>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</si>
  <si>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</si>
  <si>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</si>
  <si>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</si>
  <si>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</si>
  <si>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</si>
  <si>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</si>
  <si>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</si>
  <si>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</si>
  <si>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</si>
  <si>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</si>
  <si>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</si>
  <si>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</si>
  <si>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</si>
  <si>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</si>
  <si>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</si>
  <si>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</si>
  <si>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</si>
  <si>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</si>
  <si>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</si>
  <si>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</si>
  <si>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</si>
  <si>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</si>
  <si>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</si>
  <si>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</si>
  <si>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</si>
  <si>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</si>
  <si>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</si>
  <si>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</si>
  <si>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</si>
  <si>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</si>
  <si>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</si>
  <si>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</si>
  <si>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</si>
  <si>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</si>
  <si>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</si>
  <si>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</si>
  <si>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</si>
  <si>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</si>
  <si>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</si>
  <si>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</si>
  <si>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</si>
  <si>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</si>
  <si>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</si>
  <si>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</si>
  <si>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</si>
  <si>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</si>
  <si>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</si>
  <si>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</si>
  <si>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</si>
  <si>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</si>
  <si>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</si>
  <si>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</si>
  <si>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</si>
  <si>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</si>
  <si>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</si>
  <si>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</si>
  <si>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</si>
  <si>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</si>
  <si>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</si>
  <si>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</si>
  <si>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</si>
  <si>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</si>
  <si>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</si>
  <si>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</si>
  <si>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</si>
  <si>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</si>
  <si>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</si>
  <si>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</si>
  <si>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</si>
  <si>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</si>
  <si>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</si>
  <si>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</si>
  <si>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</si>
  <si>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</si>
  <si>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</si>
  <si>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</si>
  <si>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</si>
  <si>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</si>
  <si>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</si>
  <si>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</si>
  <si>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</si>
  <si>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</si>
  <si>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</si>
  <si>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</si>
  <si>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</si>
  <si>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</si>
  <si>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</si>
  <si>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</si>
  <si>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</si>
  <si>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</si>
  <si>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</si>
  <si>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</si>
  <si>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</si>
  <si>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</si>
  <si>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</si>
  <si>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</si>
  <si>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</si>
  <si>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</si>
  <si>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</si>
  <si>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</si>
  <si>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</si>
  <si>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</si>
  <si>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</si>
  <si>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</si>
  <si>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</si>
  <si>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</si>
  <si>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</si>
  <si>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</si>
  <si>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</si>
  <si>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</si>
  <si>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</si>
  <si>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</si>
  <si>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</si>
  <si>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</si>
  <si>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</si>
  <si>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</si>
  <si>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</si>
  <si>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</si>
  <si>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</si>
  <si>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</si>
  <si>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</si>
  <si>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</si>
  <si>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</si>
  <si>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</si>
  <si>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</si>
  <si>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</si>
  <si>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</si>
  <si>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</si>
  <si>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</si>
  <si>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</si>
  <si>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</si>
  <si>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</si>
  <si>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</si>
  <si>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</si>
  <si>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</si>
  <si>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</si>
  <si>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</si>
  <si>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</si>
  <si>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</si>
  <si>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</si>
  <si>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</si>
  <si>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</si>
  <si>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</si>
  <si>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</si>
  <si>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</si>
  <si>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</si>
  <si>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</si>
  <si>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</si>
  <si>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</si>
  <si>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</si>
  <si>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</si>
  <si>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</si>
  <si>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</si>
  <si>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</si>
  <si>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</si>
  <si>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</si>
  <si>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</si>
  <si>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</si>
  <si>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</si>
  <si>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</si>
  <si>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</si>
  <si>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</si>
  <si>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</si>
  <si>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</si>
  <si>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</si>
  <si>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</si>
  <si>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</si>
  <si>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</si>
  <si>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</si>
  <si>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</si>
  <si>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</si>
  <si>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</si>
  <si>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</si>
  <si>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</si>
  <si>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</si>
  <si>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</si>
  <si>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</si>
  <si>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</si>
  <si>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</si>
  <si>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</si>
  <si>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</si>
  <si>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</si>
  <si>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</si>
  <si>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</si>
  <si>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</si>
  <si>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</si>
  <si>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</si>
  <si>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</si>
  <si>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</si>
  <si>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</si>
  <si>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</si>
  <si>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</si>
  <si>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</si>
  <si>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</si>
  <si>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</si>
  <si>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</si>
  <si>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</si>
  <si>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</si>
  <si>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</si>
  <si>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</si>
  <si>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</si>
  <si>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</si>
  <si>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</si>
  <si>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</si>
  <si>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</si>
  <si>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</si>
  <si>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</si>
  <si>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</si>
  <si>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</si>
  <si>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</si>
  <si>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</si>
  <si>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</si>
  <si>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</si>
  <si>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</si>
  <si>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</si>
  <si>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</si>
  <si>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</si>
  <si>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</si>
  <si>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</si>
  <si>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</si>
  <si>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</si>
  <si>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</si>
  <si>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</si>
  <si>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</si>
  <si>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</si>
  <si>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</si>
  <si>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</si>
  <si>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</si>
  <si>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</si>
  <si>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</si>
  <si>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</si>
  <si>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</si>
  <si>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</si>
  <si>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</si>
  <si>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</si>
  <si>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</si>
  <si>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</si>
  <si>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</si>
  <si>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</si>
  <si>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</si>
  <si>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</si>
  <si>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</si>
  <si>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</si>
  <si>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</si>
  <si>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</si>
  <si>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</si>
  <si>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</si>
  <si>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</si>
  <si>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</si>
  <si>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</si>
  <si>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</si>
  <si>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</si>
  <si>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</si>
  <si>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</si>
  <si>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</si>
  <si>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</si>
  <si>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</si>
  <si>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</si>
  <si>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</si>
  <si>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</si>
  <si>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</si>
  <si>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</si>
  <si>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</si>
  <si>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</si>
  <si>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</si>
  <si>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</si>
  <si>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</si>
  <si>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</si>
  <si>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</si>
  <si>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</si>
  <si>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</si>
  <si>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</si>
  <si>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</si>
  <si>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</si>
  <si>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</si>
  <si>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</si>
  <si>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</si>
  <si>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</si>
  <si>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</si>
  <si>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</si>
  <si>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</si>
  <si>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</si>
  <si>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</si>
  <si>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</si>
  <si>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</si>
  <si>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</si>
  <si>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</si>
  <si>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</si>
  <si>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</si>
  <si>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</si>
  <si>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</si>
  <si>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</si>
  <si>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</si>
  <si>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</si>
  <si>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</si>
  <si>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</si>
  <si>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</si>
  <si>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</si>
  <si>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</si>
  <si>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</si>
  <si>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</si>
  <si>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</si>
  <si>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</si>
  <si>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</si>
  <si>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</si>
  <si>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</si>
  <si>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</si>
  <si>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</si>
  <si>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</si>
  <si>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</si>
  <si>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</si>
  <si>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</si>
  <si>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</si>
  <si>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</si>
  <si>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</si>
  <si>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</si>
  <si>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</si>
  <si>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</si>
  <si>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</si>
  <si>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</si>
  <si>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</si>
  <si>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</si>
  <si>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</si>
  <si>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</si>
  <si>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</si>
  <si>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</si>
  <si>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</si>
  <si>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</si>
  <si>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</si>
  <si>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</si>
  <si>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</si>
  <si>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</si>
  <si>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</si>
  <si>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</si>
  <si>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</si>
  <si>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</si>
  <si>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</si>
  <si>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</si>
  <si>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</si>
  <si>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</si>
  <si>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</si>
  <si>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</si>
  <si>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</si>
  <si>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</si>
  <si>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</si>
  <si>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</si>
  <si>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</si>
  <si>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</si>
  <si>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</si>
  <si>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</si>
  <si>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</si>
  <si>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</si>
  <si>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</si>
  <si>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</si>
  <si>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</si>
  <si>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</si>
  <si>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</si>
  <si>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</si>
  <si>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</si>
  <si>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</si>
  <si>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</si>
  <si>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</si>
  <si>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</si>
  <si>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</si>
  <si>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</si>
  <si>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</si>
  <si>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</si>
  <si>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</si>
  <si>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</si>
  <si>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</si>
  <si>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</si>
  <si>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</si>
  <si>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</si>
  <si>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</si>
  <si>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</si>
  <si>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</si>
  <si>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</si>
  <si>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</si>
  <si>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</si>
  <si>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</si>
  <si>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</si>
  <si>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</si>
  <si>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</si>
  <si>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</si>
  <si>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</si>
  <si>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</si>
  <si>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</si>
  <si>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</si>
  <si>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</si>
  <si>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</si>
  <si>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</si>
  <si>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</si>
  <si>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</si>
  <si>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</si>
  <si>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</si>
  <si>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</si>
  <si>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</si>
  <si>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</si>
  <si>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</si>
  <si>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</si>
  <si>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</si>
  <si>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</si>
  <si>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</si>
  <si>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</si>
  <si>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</si>
  <si>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</si>
  <si>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</si>
  <si>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</si>
  <si>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</si>
  <si>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</si>
  <si>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</si>
  <si>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</si>
  <si>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</si>
  <si>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</si>
  <si>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</si>
  <si>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</si>
  <si>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</si>
  <si>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</si>
  <si>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</si>
  <si>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</si>
  <si>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</si>
  <si>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</si>
  <si>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</si>
  <si>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</si>
  <si>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</si>
  <si>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</si>
  <si>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</si>
  <si>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</si>
  <si>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</si>
  <si>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</si>
  <si>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</si>
  <si>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</si>
  <si>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</si>
  <si>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</si>
  <si>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</si>
  <si>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</si>
  <si>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</si>
  <si>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</si>
  <si>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</si>
  <si>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</si>
  <si>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</si>
  <si>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</si>
  <si>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</si>
  <si>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</si>
  <si>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</si>
  <si>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</si>
  <si>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</si>
  <si>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</si>
  <si>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</si>
  <si>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</si>
  <si>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</si>
  <si>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</si>
  <si>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</si>
  <si>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</si>
  <si>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</si>
  <si>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</si>
  <si>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</si>
  <si>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</si>
  <si>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</si>
  <si>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</si>
  <si>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</si>
  <si>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</si>
  <si>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</si>
  <si>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</si>
  <si>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</si>
  <si>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</si>
  <si>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</si>
  <si>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</si>
  <si>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</si>
  <si>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</si>
  <si>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</si>
  <si>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</si>
  <si>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</si>
  <si>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</si>
  <si>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</si>
  <si>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</si>
  <si>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</si>
  <si>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</si>
  <si>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</si>
  <si>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</si>
  <si>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</si>
  <si>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</si>
  <si>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</si>
  <si>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</si>
  <si>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</si>
  <si>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</si>
  <si>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</si>
  <si>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</si>
  <si>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</si>
  <si>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</si>
  <si>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</si>
  <si>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</si>
  <si>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</si>
  <si>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</si>
  <si>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</si>
  <si>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</si>
  <si>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</si>
  <si>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</si>
  <si>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</si>
  <si>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</si>
  <si>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</si>
  <si>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</si>
  <si>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</si>
  <si>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</si>
  <si>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</si>
  <si>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</si>
  <si>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</si>
  <si>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</si>
  <si>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</si>
  <si>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</si>
  <si>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</si>
  <si>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</si>
  <si>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</si>
  <si>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</si>
  <si>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</si>
  <si>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</si>
  <si>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</si>
  <si>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</si>
  <si>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</si>
  <si>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</si>
  <si>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</si>
  <si>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</si>
  <si>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</si>
  <si>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</si>
  <si>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</si>
  <si>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</si>
  <si>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</si>
  <si>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</si>
  <si>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</si>
  <si>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</si>
  <si>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</si>
  <si>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</si>
  <si>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</si>
  <si>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</si>
  <si>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</si>
  <si>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</si>
  <si>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</si>
  <si>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</si>
  <si>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</si>
  <si>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</si>
  <si>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</si>
  <si>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</si>
  <si>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</si>
  <si>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</si>
  <si>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</si>
  <si>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</si>
  <si>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</si>
  <si>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</si>
  <si>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</si>
  <si>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</si>
  <si>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</si>
  <si>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</si>
  <si>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</si>
  <si>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</si>
  <si>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</si>
  <si>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</si>
  <si>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</si>
  <si>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</si>
  <si>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</si>
  <si>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</si>
  <si>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</si>
  <si>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</si>
  <si>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</si>
  <si>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</si>
  <si>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</si>
  <si>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</si>
  <si>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</si>
  <si>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</si>
  <si>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</si>
  <si>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</si>
  <si>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</si>
  <si>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</si>
  <si>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</si>
  <si>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</si>
  <si>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</si>
  <si>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</si>
  <si>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</si>
  <si>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</si>
  <si>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</si>
  <si>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</si>
  <si>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</si>
  <si>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</si>
  <si>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</si>
  <si>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</si>
  <si>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</si>
  <si>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</si>
  <si>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</si>
  <si>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</si>
  <si>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</si>
  <si>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</si>
  <si>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</si>
  <si>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</si>
  <si>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</si>
  <si>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</si>
  <si>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</si>
  <si>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</si>
  <si>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</si>
  <si>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</si>
  <si>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</si>
  <si>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</si>
  <si>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</si>
  <si>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</si>
  <si>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</si>
  <si>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</si>
  <si>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</si>
  <si>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</si>
  <si>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</si>
  <si>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</si>
  <si>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</si>
  <si>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</si>
  <si>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</si>
  <si>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</si>
  <si>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</si>
  <si>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</si>
  <si>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</si>
  <si>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</si>
  <si>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</si>
  <si>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</si>
  <si>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</si>
  <si>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</si>
  <si>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</si>
  <si>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</si>
  <si>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</si>
  <si>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</si>
  <si>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</si>
  <si>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</si>
  <si>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</si>
  <si>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</si>
  <si>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</si>
  <si>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</si>
  <si>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</si>
  <si>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</si>
  <si>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</si>
  <si>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</si>
  <si>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</si>
  <si>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</si>
  <si>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</si>
  <si>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</si>
  <si>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</si>
  <si>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</si>
  <si>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</si>
  <si>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</si>
  <si>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</si>
  <si>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</si>
  <si>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</si>
  <si>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</si>
  <si>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</si>
  <si>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</si>
  <si>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</si>
  <si>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</si>
  <si>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</si>
  <si>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</si>
  <si>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</si>
  <si>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</si>
  <si>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</si>
  <si>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</si>
  <si>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</si>
  <si>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</si>
  <si>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</si>
  <si>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</si>
  <si>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</si>
  <si>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</si>
  <si>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</si>
  <si>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</si>
  <si>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</si>
  <si>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</si>
  <si>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</si>
  <si>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</si>
  <si>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</si>
  <si>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</si>
  <si>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</si>
  <si>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</si>
  <si>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</si>
  <si>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</si>
  <si>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</si>
  <si>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</si>
  <si>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</si>
  <si>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</si>
  <si>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</si>
  <si>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</si>
  <si>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</si>
  <si>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</si>
  <si>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</si>
  <si>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</si>
  <si>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</si>
  <si>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</si>
  <si>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</si>
  <si>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</si>
  <si>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</si>
  <si>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</si>
  <si>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</si>
  <si>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</si>
  <si>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</si>
  <si>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</si>
  <si>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</si>
  <si>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</si>
  <si>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</si>
  <si>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</si>
  <si>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</si>
  <si>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</si>
  <si>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</si>
  <si>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</si>
  <si>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</si>
  <si>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</si>
  <si>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</si>
  <si>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</si>
  <si>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</si>
  <si>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</si>
  <si>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</si>
  <si>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</si>
  <si>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</si>
  <si>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</si>
  <si>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</si>
  <si>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</si>
  <si>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</si>
  <si>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</si>
  <si>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</si>
  <si>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</si>
  <si>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</si>
  <si>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</si>
  <si>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</si>
  <si>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</si>
  <si>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</si>
  <si>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</si>
  <si>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</si>
  <si>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</si>
  <si>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</si>
  <si>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</si>
  <si>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</si>
  <si>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</si>
  <si>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</si>
  <si>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</si>
  <si>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</si>
  <si>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</si>
  <si>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</si>
  <si>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</si>
  <si>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</si>
  <si>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</si>
  <si>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</si>
  <si>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</si>
  <si>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</si>
  <si>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</si>
  <si>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</si>
  <si>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</si>
  <si>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</si>
  <si>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</si>
  <si>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</si>
  <si>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</si>
  <si>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</si>
  <si>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</si>
  <si>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</si>
  <si>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</si>
  <si>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</si>
  <si>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</si>
  <si>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</si>
  <si>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</si>
  <si>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</si>
  <si>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</si>
  <si>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</si>
  <si>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</si>
  <si>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</si>
  <si>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</si>
  <si>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</si>
  <si>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</si>
  <si>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</si>
  <si>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</si>
  <si>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</si>
  <si>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</si>
  <si>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</si>
  <si>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</si>
  <si>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</si>
  <si>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</si>
  <si>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</si>
  <si>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</si>
  <si>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</si>
  <si>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</si>
  <si>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</si>
  <si>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</si>
  <si>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</si>
  <si>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</si>
  <si>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</si>
  <si>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</si>
  <si>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</si>
  <si>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</si>
  <si>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</si>
  <si>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</si>
  <si>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</si>
  <si>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</si>
  <si>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</si>
  <si>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</si>
  <si>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</si>
  <si>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</si>
  <si>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</si>
  <si>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</si>
  <si>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</si>
  <si>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</si>
  <si>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</si>
  <si>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</si>
  <si>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</si>
  <si>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</si>
  <si>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</si>
  <si>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</si>
  <si>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</si>
  <si>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</si>
  <si>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</si>
  <si>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</si>
  <si>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</si>
  <si>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</si>
  <si>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</si>
  <si>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</si>
  <si>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</si>
  <si>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</si>
  <si>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</si>
  <si>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</si>
  <si>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</si>
  <si>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</si>
  <si>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</si>
  <si>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</si>
  <si>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</si>
  <si>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</si>
  <si>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</si>
  <si>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</si>
  <si>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</si>
  <si>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</si>
  <si>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</si>
  <si>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</si>
  <si>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</si>
  <si>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</si>
  <si>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</si>
  <si>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</si>
  <si>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</si>
  <si>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</si>
  <si>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</si>
  <si>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</si>
  <si>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</si>
  <si>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</si>
  <si>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</si>
  <si>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</si>
  <si>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</si>
  <si>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</si>
  <si>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</si>
  <si>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</si>
  <si>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</si>
  <si>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</si>
  <si>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</si>
  <si>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</si>
  <si>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</si>
  <si>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</si>
  <si>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</si>
  <si>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</si>
  <si>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</si>
  <si>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</si>
  <si>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</si>
  <si>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</si>
  <si>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</si>
  <si>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</si>
  <si>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</si>
  <si>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</si>
  <si>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</si>
  <si>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</si>
  <si>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</si>
  <si>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</si>
  <si>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</si>
  <si>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</si>
  <si>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</si>
  <si>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</si>
  <si>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</si>
  <si>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</si>
  <si>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</si>
  <si>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</si>
  <si>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</si>
  <si>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</si>
  <si>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</si>
  <si>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</si>
  <si>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</si>
  <si>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</si>
  <si>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</si>
  <si>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</si>
  <si>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</si>
  <si>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</si>
  <si>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</si>
  <si>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</si>
  <si>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</si>
  <si>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</si>
  <si>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</si>
  <si>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</si>
  <si>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</si>
  <si>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</si>
  <si>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</si>
  <si>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</si>
  <si>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</si>
  <si>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</si>
  <si>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</si>
  <si>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</si>
  <si>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</si>
  <si>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</si>
  <si>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</si>
  <si>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</si>
  <si>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</si>
  <si>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</si>
  <si>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</si>
  <si>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</si>
  <si>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</si>
  <si>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</si>
  <si>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</si>
  <si>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</si>
  <si>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</si>
  <si>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</si>
  <si>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</si>
  <si>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</si>
  <si>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</si>
  <si>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</si>
  <si>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</si>
  <si>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</si>
  <si>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</si>
  <si>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</si>
  <si>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</si>
  <si>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</si>
  <si>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</si>
  <si>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</si>
  <si>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</si>
  <si>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</si>
  <si>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</si>
  <si>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</si>
  <si>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</si>
  <si>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</si>
  <si>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</si>
  <si>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</si>
  <si>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</si>
  <si>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</si>
  <si>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</si>
  <si>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</si>
  <si>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</si>
  <si>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</si>
  <si>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</si>
  <si>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</si>
  <si>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</si>
  <si>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</si>
  <si>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</si>
  <si>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</si>
  <si>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</si>
  <si>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</si>
  <si>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</si>
  <si>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</si>
  <si>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</si>
  <si>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</si>
  <si>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</si>
  <si>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</si>
  <si>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</si>
  <si>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</si>
  <si>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</si>
  <si>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</si>
  <si>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</si>
  <si>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</si>
  <si>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</si>
  <si>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</si>
  <si>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</si>
  <si>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</si>
  <si>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</si>
  <si>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</si>
  <si>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</si>
  <si>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</si>
  <si>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</si>
  <si>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</si>
  <si>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</si>
  <si>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</si>
  <si>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</si>
  <si>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</si>
  <si>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</si>
  <si>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</si>
  <si>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</si>
  <si>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</si>
  <si>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</si>
  <si>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</si>
  <si>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</si>
  <si>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</si>
  <si>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</si>
  <si>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</si>
  <si>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</si>
  <si>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</si>
  <si>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</si>
  <si>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</si>
  <si>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</si>
  <si>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</si>
  <si>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</si>
  <si>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</si>
  <si>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</si>
  <si>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</si>
  <si>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</si>
  <si>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</si>
  <si>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</si>
  <si>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</si>
  <si>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</si>
  <si>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</si>
  <si>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</si>
  <si>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</si>
  <si>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</si>
  <si>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</si>
  <si>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</si>
  <si>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</si>
  <si>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</si>
  <si>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</si>
  <si>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</si>
  <si>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</si>
  <si>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</si>
  <si>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</si>
  <si>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</si>
  <si>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</si>
  <si>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</si>
  <si>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</si>
  <si>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</si>
  <si>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</si>
  <si>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</si>
  <si>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</si>
  <si>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</si>
  <si>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</si>
  <si>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</si>
  <si>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</si>
  <si>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</si>
  <si>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</si>
  <si>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</si>
  <si>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</si>
  <si>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</si>
  <si>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</si>
  <si>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</si>
  <si>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</si>
  <si>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</si>
  <si>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</si>
  <si>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</si>
  <si>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</si>
  <si>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</si>
  <si>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</si>
  <si>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</si>
  <si>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</si>
  <si>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</si>
  <si>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</si>
  <si>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</si>
  <si>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</si>
  <si>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</si>
  <si>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</si>
  <si>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</si>
  <si>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</si>
  <si>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</si>
  <si>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</si>
  <si>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</si>
  <si>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</si>
  <si>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</si>
  <si>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</si>
  <si>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</si>
  <si>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</si>
  <si>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</si>
  <si>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</si>
  <si>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</si>
  <si>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</si>
  <si>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</si>
  <si>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</si>
  <si>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</si>
  <si>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</si>
  <si>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</si>
  <si>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</si>
  <si>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</si>
  <si>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</si>
  <si>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</si>
  <si>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</si>
  <si>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</si>
  <si>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</si>
  <si>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</si>
  <si>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</si>
  <si>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</si>
  <si>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</si>
  <si>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</si>
  <si>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</si>
  <si>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</si>
  <si>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</si>
  <si>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</si>
  <si>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</si>
  <si>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</si>
  <si>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</si>
  <si>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</si>
  <si>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</si>
  <si>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</si>
  <si>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</si>
  <si>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</si>
  <si>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</si>
  <si>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</si>
  <si>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</si>
  <si>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</si>
  <si>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</si>
  <si>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</si>
  <si>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</si>
  <si>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</si>
  <si>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</si>
  <si>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</si>
  <si>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</si>
  <si>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</si>
  <si>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</si>
  <si>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</si>
  <si>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</si>
  <si>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</si>
  <si>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</si>
  <si>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</si>
  <si>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</si>
  <si>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</si>
  <si>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</si>
  <si>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</si>
  <si>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</si>
  <si>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</si>
  <si>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</si>
  <si>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</si>
  <si>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</si>
  <si>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</si>
  <si>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</si>
  <si>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</si>
  <si>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</si>
  <si>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</si>
  <si>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</si>
  <si>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</si>
  <si>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</si>
  <si>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</si>
  <si>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</si>
  <si>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</si>
  <si>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</si>
  <si>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</si>
  <si>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</si>
  <si>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</si>
  <si>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</si>
  <si>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</si>
  <si>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</si>
  <si>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</si>
  <si>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</si>
  <si>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</si>
  <si>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</si>
  <si>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</si>
  <si>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</si>
  <si>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</si>
  <si>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</si>
  <si>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</si>
  <si>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</si>
  <si>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</si>
  <si>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</si>
  <si>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</si>
  <si>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</si>
  <si>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</si>
  <si>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</si>
  <si>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</si>
  <si>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</si>
  <si>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</si>
  <si>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</si>
  <si>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</si>
  <si>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</si>
  <si>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</si>
  <si>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</si>
  <si>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</si>
  <si>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</si>
  <si>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</si>
  <si>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</si>
  <si>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</si>
  <si>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</si>
  <si>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</si>
  <si>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</si>
  <si>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</si>
  <si>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</si>
  <si>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</si>
  <si>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</si>
  <si>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</si>
  <si>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</si>
  <si>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</si>
  <si>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</si>
  <si>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</si>
  <si>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</si>
  <si>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</si>
  <si>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</si>
  <si>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</si>
  <si>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</si>
  <si>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</si>
  <si>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</si>
  <si>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</si>
  <si>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</si>
  <si>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</si>
  <si>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</si>
  <si>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</si>
  <si>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</si>
  <si>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</si>
  <si>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</si>
  <si>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</si>
  <si>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</si>
  <si>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</si>
  <si>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</si>
  <si>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</si>
  <si>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</si>
  <si>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</si>
  <si>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</si>
  <si>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</si>
  <si>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</si>
  <si>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</si>
  <si>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</si>
  <si>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</si>
  <si>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</si>
  <si>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</si>
  <si>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</si>
  <si>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</si>
  <si>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</si>
  <si>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</si>
  <si>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</si>
  <si>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</si>
  <si>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</si>
  <si>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</si>
  <si>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</si>
  <si>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</si>
  <si>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</si>
  <si>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</si>
  <si>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</si>
  <si>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</si>
  <si>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</si>
  <si>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</si>
  <si>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</si>
  <si>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</si>
  <si>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</si>
  <si>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</si>
  <si>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</si>
  <si>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</si>
  <si>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</si>
  <si>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</si>
  <si>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</si>
  <si>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</si>
  <si>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</si>
  <si>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</si>
  <si>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</si>
  <si>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</si>
  <si>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</si>
  <si>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</si>
  <si>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</si>
  <si>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</si>
  <si>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</si>
  <si>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</si>
  <si>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</si>
  <si>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</si>
  <si>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</si>
  <si>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</si>
  <si>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</si>
  <si>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</si>
  <si>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</si>
  <si>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</si>
  <si>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</si>
  <si>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</si>
  <si>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</si>
  <si>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</si>
  <si>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</si>
  <si>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</si>
  <si>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</si>
  <si>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</si>
  <si>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</si>
  <si>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</si>
  <si>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</si>
  <si>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</si>
  <si>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</si>
  <si>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</si>
  <si>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</si>
  <si>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</si>
  <si>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</si>
  <si>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</si>
  <si>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</si>
  <si>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</si>
  <si>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</si>
  <si>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</si>
  <si>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</si>
  <si>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</si>
  <si>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</si>
  <si>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</si>
  <si>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</si>
  <si>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</si>
  <si>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</si>
  <si>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</si>
  <si>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</si>
  <si>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</si>
  <si>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</si>
  <si>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</si>
  <si>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</si>
  <si>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</si>
  <si>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</si>
  <si>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</si>
  <si>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</si>
  <si>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</si>
  <si>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</si>
  <si>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</si>
  <si>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</si>
  <si>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</si>
  <si>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</si>
  <si>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</si>
  <si>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</si>
  <si>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</si>
  <si>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</si>
  <si>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</si>
  <si>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</si>
  <si>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</si>
  <si>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</si>
  <si>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</si>
  <si>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</si>
  <si>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</si>
  <si>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</si>
  <si>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</si>
  <si>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</si>
  <si>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</si>
  <si>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</si>
  <si>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</si>
  <si>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</si>
  <si>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</si>
  <si>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</si>
  <si>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</si>
  <si>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</si>
  <si>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</si>
  <si>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</si>
  <si>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</si>
  <si>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</si>
  <si>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</si>
  <si>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</si>
  <si>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</si>
  <si>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</si>
  <si>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</si>
  <si>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</si>
  <si>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</si>
  <si>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</si>
  <si>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</si>
  <si>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</si>
  <si>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</si>
  <si>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</si>
  <si>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</si>
  <si>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</si>
  <si>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</si>
  <si>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</si>
  <si>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</si>
  <si>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</si>
  <si>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</si>
  <si>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</si>
  <si>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</si>
  <si>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</si>
  <si>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</si>
  <si>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</si>
  <si>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</si>
  <si>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</si>
  <si>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</si>
  <si>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</si>
  <si>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</si>
  <si>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</si>
  <si>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</si>
  <si>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</si>
  <si>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</si>
  <si>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</si>
  <si>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</si>
  <si>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</si>
  <si>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</si>
  <si>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</si>
  <si>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</si>
  <si>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</si>
  <si>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</si>
  <si>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</si>
  <si>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</si>
  <si>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</si>
  <si>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</si>
  <si>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</si>
  <si>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</si>
  <si>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</si>
  <si>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</si>
  <si>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</si>
  <si>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</si>
  <si>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</si>
  <si>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</si>
  <si>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</si>
  <si>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</si>
  <si>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</si>
  <si>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</si>
  <si>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</si>
  <si>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</si>
  <si>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</si>
  <si>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</si>
  <si>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</si>
  <si>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</si>
  <si>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</si>
  <si>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</si>
  <si>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</si>
  <si>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</si>
  <si>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</si>
  <si>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</si>
  <si>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</si>
  <si>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</si>
  <si>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</si>
  <si>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</si>
  <si>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</si>
  <si>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</si>
  <si>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</si>
  <si>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</si>
  <si>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</si>
  <si>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</si>
  <si>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</si>
  <si>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</si>
  <si>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</si>
  <si>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</si>
  <si>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</si>
  <si>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</si>
  <si>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</si>
  <si>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</si>
  <si>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</si>
  <si>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</si>
  <si>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</si>
  <si>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</si>
  <si>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</si>
  <si>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</si>
  <si>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</si>
  <si>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</si>
  <si>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</si>
  <si>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</si>
  <si>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</si>
  <si>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</si>
  <si>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</si>
  <si>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</si>
  <si>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</si>
  <si>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</si>
  <si>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</si>
  <si>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</si>
  <si>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</si>
  <si>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</si>
  <si>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</si>
  <si>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</si>
  <si>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</si>
  <si>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</si>
  <si>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</si>
  <si>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</si>
  <si>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</si>
  <si>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</si>
  <si>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</si>
  <si>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</si>
  <si>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</si>
  <si>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</si>
  <si>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</si>
  <si>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</si>
  <si>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</si>
  <si>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</si>
  <si>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</si>
  <si>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</si>
  <si>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</si>
  <si>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</si>
  <si>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</si>
  <si>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</si>
  <si>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</si>
  <si>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</si>
  <si>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</si>
  <si>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</si>
  <si>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</si>
  <si>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</si>
  <si>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</si>
  <si>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</si>
  <si>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</si>
  <si>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</si>
  <si>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</si>
  <si>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</si>
  <si>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</si>
  <si>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</si>
  <si>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</si>
  <si>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</si>
  <si>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</si>
  <si>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</si>
  <si>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</si>
  <si>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</si>
  <si>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</si>
  <si>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</si>
  <si>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</si>
  <si>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</si>
  <si>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</si>
  <si>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</si>
  <si>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</si>
  <si>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</si>
  <si>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</si>
  <si>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</si>
  <si>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</si>
  <si>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</si>
  <si>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</si>
  <si>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</si>
  <si>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</si>
  <si>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</si>
  <si>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</si>
  <si>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</si>
  <si>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</si>
  <si>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</si>
  <si>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</si>
  <si>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</si>
  <si>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</si>
  <si>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</si>
  <si>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</si>
  <si>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</si>
  <si>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</si>
  <si>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</si>
  <si>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</si>
  <si>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</si>
  <si>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</si>
  <si>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</si>
  <si>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</si>
  <si>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</si>
  <si>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</si>
  <si>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</si>
  <si>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</si>
  <si>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</si>
  <si>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</si>
  <si>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</si>
  <si>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</si>
  <si>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</si>
  <si>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</si>
  <si>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</si>
  <si>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</si>
  <si>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</si>
  <si>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</si>
  <si>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</si>
  <si>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</si>
  <si>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</si>
  <si>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</si>
  <si>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</si>
  <si>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</si>
  <si>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</si>
  <si>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</si>
  <si>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</si>
  <si>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</si>
  <si>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</si>
  <si>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</si>
  <si>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</si>
  <si>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</si>
  <si>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</si>
  <si>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</si>
  <si>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</si>
  <si>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</si>
  <si>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</si>
  <si>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</si>
  <si>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</si>
  <si>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</si>
  <si>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</si>
  <si>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</si>
  <si>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</si>
  <si>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</si>
  <si>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</si>
  <si>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</si>
  <si>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</si>
  <si>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</si>
  <si>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</si>
  <si>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</si>
  <si>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</si>
  <si>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</si>
  <si>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</si>
  <si>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</si>
  <si>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</si>
  <si>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</si>
  <si>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</si>
  <si>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</si>
  <si>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</si>
  <si>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</si>
  <si>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</si>
  <si>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</si>
  <si>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</si>
  <si>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</si>
  <si>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</si>
  <si>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</si>
  <si>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</si>
  <si>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</si>
  <si>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</si>
  <si>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</si>
  <si>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</si>
  <si>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</si>
  <si>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</si>
  <si>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</si>
  <si>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</si>
  <si>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</si>
  <si>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</si>
  <si>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</si>
  <si>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</si>
  <si>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</si>
  <si>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</si>
  <si>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</si>
  <si>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</si>
  <si>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</si>
  <si>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</si>
  <si>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</si>
  <si>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</si>
  <si>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</si>
  <si>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</si>
  <si>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</si>
  <si>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</si>
  <si>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</si>
  <si>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</si>
  <si>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</si>
  <si>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</si>
  <si>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</si>
  <si>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</si>
  <si>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</si>
  <si>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</si>
  <si>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</si>
  <si>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</si>
  <si>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</si>
  <si>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</si>
  <si>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</si>
  <si>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</si>
  <si>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</si>
  <si>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</si>
  <si>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</si>
  <si>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</si>
  <si>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</si>
  <si>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</si>
  <si>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</si>
  <si>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</si>
  <si>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</si>
  <si>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</si>
  <si>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</si>
  <si>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</si>
  <si>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</si>
  <si>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</si>
  <si>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</si>
  <si>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</si>
  <si>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</si>
  <si>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</si>
  <si>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</si>
  <si>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</si>
  <si>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</si>
  <si>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</si>
  <si>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</si>
  <si>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</si>
  <si>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</si>
  <si>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</si>
  <si>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</si>
  <si>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</si>
  <si>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</si>
  <si>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</si>
  <si>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</si>
  <si>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</si>
  <si>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</si>
  <si>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</si>
  <si>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</si>
  <si>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</si>
  <si>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</si>
  <si>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</si>
  <si>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</si>
  <si>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</si>
  <si>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</si>
  <si>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</si>
  <si>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</si>
  <si>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</si>
  <si>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</si>
  <si>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</si>
  <si>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</si>
  <si>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</si>
  <si>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</si>
  <si>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</si>
  <si>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</si>
  <si>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</si>
  <si>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</si>
  <si>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</si>
  <si>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</si>
  <si>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</si>
  <si>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</si>
  <si>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</si>
  <si>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</si>
  <si>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</si>
  <si>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</si>
  <si>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</si>
  <si>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</si>
  <si>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</si>
  <si>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</si>
  <si>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</si>
  <si>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</si>
  <si>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</si>
  <si>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</si>
  <si>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</si>
  <si>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</si>
  <si>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</si>
  <si>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</si>
  <si>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</si>
  <si>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</si>
  <si>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</si>
  <si>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</si>
  <si>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</si>
  <si>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</si>
  <si>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</si>
  <si>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</si>
  <si>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</si>
  <si>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</si>
  <si>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</si>
  <si>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</si>
  <si>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</si>
  <si>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</si>
  <si>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</si>
  <si>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</si>
  <si>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</si>
  <si>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</si>
  <si>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</si>
  <si>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</si>
  <si>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</si>
  <si>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</si>
  <si>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</si>
  <si>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</si>
  <si>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</si>
  <si>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</si>
  <si>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</si>
  <si>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</si>
  <si>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</si>
  <si>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</si>
  <si>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</si>
  <si>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</si>
  <si>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</si>
  <si>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</si>
  <si>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</si>
  <si>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</si>
  <si>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</si>
  <si>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</si>
  <si>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</si>
  <si>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</si>
  <si>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</si>
  <si>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</si>
  <si>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</si>
  <si>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</si>
  <si>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</si>
  <si>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</si>
  <si>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</si>
  <si>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</si>
  <si>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</si>
  <si>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</si>
  <si>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</si>
  <si>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</si>
  <si>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</si>
  <si>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</si>
  <si>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</si>
  <si>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</si>
  <si>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</si>
  <si>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</si>
  <si>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</si>
  <si>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</si>
  <si>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</si>
  <si>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</si>
  <si>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</si>
  <si>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</si>
  <si>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</si>
  <si>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</si>
  <si>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</si>
  <si>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</si>
  <si>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</si>
  <si>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</si>
  <si>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</si>
  <si>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</si>
  <si>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</si>
  <si>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</si>
  <si>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</si>
  <si>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</si>
  <si>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</si>
  <si>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</si>
  <si>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</si>
  <si>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</si>
  <si>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</si>
  <si>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</si>
  <si>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</si>
  <si>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</si>
  <si>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</si>
  <si>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</si>
  <si>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</si>
  <si>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</si>
  <si>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</si>
  <si>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</si>
  <si>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</si>
  <si>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</si>
  <si>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</si>
  <si>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</si>
  <si>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</si>
  <si>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</si>
  <si>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</si>
  <si>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</si>
  <si>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</si>
  <si>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</si>
  <si>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</si>
  <si>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</si>
  <si>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</si>
  <si>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</si>
  <si>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</si>
  <si>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</si>
  <si>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</si>
  <si>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</si>
  <si>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</si>
  <si>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</si>
  <si>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</si>
  <si>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</si>
  <si>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</si>
  <si>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</si>
  <si>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</si>
  <si>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</si>
  <si>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</si>
  <si>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</si>
  <si>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</si>
  <si>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</si>
  <si>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</si>
  <si>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</si>
  <si>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</si>
  <si>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</si>
  <si>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</si>
  <si>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</si>
  <si>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</si>
  <si>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</si>
  <si>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</si>
  <si>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</si>
  <si>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</si>
  <si>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</si>
  <si>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</si>
  <si>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</si>
  <si>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</si>
  <si>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</si>
  <si>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</si>
  <si>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</si>
  <si>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</si>
  <si>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</si>
  <si>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</si>
  <si>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</si>
  <si>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</si>
  <si>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</si>
  <si>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</si>
  <si>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</si>
  <si>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</si>
  <si>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</si>
  <si>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</si>
  <si>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</si>
  <si>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</si>
  <si>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</si>
  <si>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</si>
  <si>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</si>
  <si>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</si>
  <si>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</si>
  <si>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</si>
  <si>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</si>
  <si>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</si>
  <si>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</si>
  <si>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</si>
  <si>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</si>
  <si>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</si>
  <si>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</si>
  <si>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</si>
  <si>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</si>
  <si>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</si>
  <si>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</si>
  <si>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</si>
  <si>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</si>
  <si>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</si>
  <si>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</si>
  <si>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</si>
  <si>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</si>
  <si>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</si>
  <si>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</si>
  <si>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</si>
  <si>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</si>
  <si>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</si>
  <si>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</si>
  <si>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</si>
  <si>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</si>
  <si>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</si>
  <si>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</si>
  <si>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</si>
  <si>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</si>
  <si>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</si>
  <si>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</si>
  <si>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</si>
  <si>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</si>
  <si>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</si>
  <si>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</si>
  <si>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</si>
  <si>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</si>
  <si>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</si>
  <si>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</si>
  <si>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</si>
  <si>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</si>
  <si>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</si>
  <si>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</si>
  <si>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</si>
  <si>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</si>
  <si>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</si>
  <si>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</si>
  <si>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</si>
  <si>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</si>
  <si>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</si>
  <si>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</si>
  <si>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</si>
  <si>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</si>
  <si>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</si>
  <si>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</si>
  <si>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</si>
  <si>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</si>
  <si>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</si>
  <si>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</si>
  <si>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</si>
  <si>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</si>
  <si>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</si>
  <si>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</si>
  <si>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</si>
  <si>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</si>
  <si>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</si>
  <si>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</si>
  <si>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</si>
  <si>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</si>
  <si>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</si>
  <si>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</si>
  <si>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</si>
  <si>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</si>
  <si>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</si>
  <si>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</si>
  <si>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</si>
  <si>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</si>
  <si>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</si>
  <si>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</si>
  <si>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</si>
  <si>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</si>
  <si>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</si>
  <si>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</si>
  <si>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</si>
  <si>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</si>
  <si>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</si>
  <si>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</si>
  <si>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</si>
  <si>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</si>
  <si>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</si>
  <si>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</si>
  <si>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</si>
  <si>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</si>
  <si>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</si>
  <si>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</si>
  <si>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</si>
  <si>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</si>
  <si>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</si>
  <si>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</si>
  <si>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</si>
  <si>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</si>
  <si>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</si>
  <si>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</si>
  <si>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</si>
  <si>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</si>
  <si>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</si>
  <si>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</si>
  <si>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</si>
  <si>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</si>
  <si>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</si>
  <si>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</si>
  <si>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</si>
  <si>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</si>
  <si>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</si>
  <si>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</si>
  <si>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</si>
  <si>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</si>
  <si>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</si>
  <si>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</si>
  <si>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</si>
  <si>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</si>
  <si>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</si>
  <si>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</si>
  <si>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</si>
  <si>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</si>
  <si>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</si>
  <si>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</si>
  <si>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</si>
  <si>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</si>
  <si>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</si>
  <si>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</si>
  <si>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</si>
  <si>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</si>
  <si>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</si>
  <si>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</si>
  <si>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</si>
  <si>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</si>
  <si>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</si>
  <si>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</si>
  <si>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</si>
  <si>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</si>
  <si>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</si>
  <si>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</si>
  <si>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</si>
  <si>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</si>
  <si>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</si>
  <si>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</si>
  <si>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</si>
  <si>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</si>
  <si>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</si>
  <si>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</si>
  <si>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</si>
  <si>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</si>
  <si>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</si>
  <si>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</si>
  <si>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</si>
  <si>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</si>
  <si>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</si>
  <si>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</si>
  <si>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</si>
  <si>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</si>
  <si>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</si>
  <si>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</si>
  <si>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</si>
  <si>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</si>
  <si>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</si>
  <si>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</si>
  <si>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</si>
  <si>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</si>
  <si>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</si>
  <si>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</si>
  <si>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</si>
  <si>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</si>
  <si>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</si>
  <si>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</si>
  <si>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</si>
  <si>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</si>
  <si>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</si>
  <si>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</si>
  <si>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</si>
  <si>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</si>
  <si>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</si>
  <si>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</si>
  <si>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</si>
  <si>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</si>
  <si>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</si>
  <si>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</si>
  <si>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</si>
  <si>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</si>
  <si>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</si>
  <si>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</si>
  <si>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</si>
  <si>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</si>
  <si>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</si>
  <si>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</si>
  <si>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</si>
  <si>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</si>
  <si>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</si>
  <si>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</si>
  <si>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</si>
  <si>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</si>
  <si>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</si>
  <si>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</si>
  <si>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</si>
  <si>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</si>
  <si>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</si>
  <si>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</si>
  <si>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</si>
  <si>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</si>
  <si>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</si>
  <si>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</si>
  <si>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</si>
  <si>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</si>
  <si>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</si>
  <si>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</si>
  <si>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</si>
  <si>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</si>
  <si>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</si>
  <si>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</si>
  <si>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</si>
  <si>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</si>
  <si>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</si>
  <si>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</si>
  <si>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</si>
  <si>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</si>
  <si>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</si>
  <si>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</si>
  <si>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</si>
  <si>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</si>
  <si>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</si>
  <si>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</si>
  <si>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</si>
  <si>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</si>
  <si>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</si>
  <si>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</si>
  <si>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</si>
  <si>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</si>
  <si>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</si>
  <si>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</si>
  <si>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</si>
  <si>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</si>
  <si>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</si>
  <si>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</si>
  <si>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</si>
  <si>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</si>
  <si>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</si>
  <si>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</si>
  <si>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</si>
  <si>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</si>
  <si>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</si>
  <si>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</si>
  <si>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</si>
  <si>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</si>
  <si>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</si>
  <si>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</si>
  <si>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</si>
  <si>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</si>
  <si>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</si>
  <si>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</si>
  <si>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</si>
  <si>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</si>
  <si>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</si>
  <si>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</si>
  <si>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</si>
  <si>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</si>
  <si>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</si>
  <si>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</si>
  <si>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</si>
  <si>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</si>
  <si>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</si>
  <si>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</si>
  <si>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</si>
  <si>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</si>
  <si>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</si>
  <si>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</si>
  <si>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</si>
  <si>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</si>
  <si>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</si>
  <si>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</si>
  <si>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</si>
  <si>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</si>
  <si>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</si>
  <si>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</si>
  <si>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</si>
  <si>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</si>
  <si>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</si>
  <si>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</si>
  <si>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</si>
  <si>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</si>
  <si>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</si>
  <si>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</si>
  <si>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</si>
  <si>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</si>
  <si>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</si>
  <si>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</si>
  <si>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</si>
  <si>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</si>
  <si>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</si>
  <si>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</si>
  <si>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</si>
  <si>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</si>
  <si>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</si>
  <si>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</si>
  <si>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</si>
  <si>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</si>
  <si>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</si>
  <si>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</si>
  <si>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</si>
  <si>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</si>
  <si>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</si>
  <si>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</si>
  <si>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</si>
  <si>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</si>
  <si>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</si>
  <si>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</si>
  <si>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</si>
  <si>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</si>
  <si>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</si>
  <si>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</si>
  <si>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</si>
  <si>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</si>
  <si>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</si>
  <si>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</si>
  <si>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</si>
  <si>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</si>
  <si>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</si>
  <si>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</si>
  <si>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</si>
  <si>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</si>
  <si>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</si>
  <si>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</si>
  <si>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</si>
  <si>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</si>
  <si>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</si>
  <si>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</si>
  <si>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</si>
  <si>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</si>
  <si>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</si>
  <si>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</si>
  <si>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</si>
  <si>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</si>
  <si>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</si>
  <si>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</si>
  <si>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</si>
  <si>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</si>
  <si>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</si>
  <si>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</si>
  <si>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</si>
  <si>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</si>
  <si>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</si>
  <si>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</si>
  <si>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</si>
  <si>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</si>
  <si>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</si>
  <si>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</si>
  <si>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</si>
  <si>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</si>
  <si>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</si>
  <si>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</si>
  <si>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</si>
  <si>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</si>
  <si>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</si>
  <si>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</si>
  <si>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</si>
  <si>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</si>
  <si>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</si>
  <si>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</si>
  <si>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</si>
  <si>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</si>
  <si>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</si>
  <si>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</si>
  <si>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</si>
  <si>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</si>
  <si>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</si>
  <si>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</si>
  <si>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</si>
  <si>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</si>
  <si>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</si>
  <si>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</si>
  <si>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</si>
  <si>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</si>
  <si>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</si>
  <si>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</si>
  <si>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</si>
  <si>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</si>
  <si>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</si>
  <si>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</si>
  <si>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</si>
  <si>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</si>
  <si>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</si>
  <si>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</si>
  <si>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</si>
  <si>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</si>
  <si>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</si>
  <si>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</si>
  <si>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</si>
  <si>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</si>
  <si>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</si>
  <si>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</si>
  <si>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</si>
  <si>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</si>
  <si>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</si>
  <si>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</si>
  <si>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</si>
  <si>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</si>
  <si>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</si>
  <si>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</si>
  <si>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</si>
  <si>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</si>
  <si>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</si>
  <si>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</si>
  <si>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</si>
  <si>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</si>
  <si>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</si>
  <si>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</si>
  <si>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</si>
  <si>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</si>
  <si>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</si>
  <si>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</si>
  <si>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</si>
  <si>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</si>
  <si>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</si>
  <si>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</si>
  <si>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</si>
  <si>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</si>
  <si>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</si>
  <si>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</si>
  <si>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</si>
  <si>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</si>
  <si>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</si>
  <si>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</si>
  <si>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</si>
  <si>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</si>
  <si>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</si>
  <si>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</si>
  <si>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</si>
  <si>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</si>
  <si>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</si>
  <si>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</si>
  <si>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</si>
  <si>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</si>
  <si>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</si>
  <si>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</si>
  <si>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</si>
  <si>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</si>
  <si>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</si>
  <si>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</si>
  <si>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</si>
  <si>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</si>
  <si>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</si>
  <si>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</si>
  <si>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</si>
  <si>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</si>
  <si>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</si>
  <si>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</si>
  <si>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</si>
  <si>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</si>
  <si>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</si>
  <si>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</si>
  <si>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</si>
  <si>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</si>
  <si>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</si>
  <si>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</si>
  <si>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</si>
  <si>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</si>
  <si>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</si>
  <si>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</si>
  <si>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</si>
  <si>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</si>
  <si>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</si>
  <si>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</si>
  <si>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</si>
  <si>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</si>
  <si>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</si>
  <si>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</si>
  <si>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</si>
  <si>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</si>
  <si>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</si>
  <si>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</si>
  <si>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</si>
  <si>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</si>
  <si>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</si>
  <si>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</si>
  <si>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</si>
  <si>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</si>
  <si>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</si>
  <si>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</si>
  <si>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</si>
  <si>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</si>
  <si>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</si>
  <si>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</si>
  <si>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</si>
  <si>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</si>
  <si>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</si>
  <si>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</si>
  <si>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</si>
  <si>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</si>
  <si>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</si>
  <si>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</si>
  <si>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</si>
  <si>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</si>
  <si>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</si>
  <si>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</si>
  <si>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</si>
  <si>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</si>
  <si>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</si>
  <si>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</si>
  <si>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</si>
  <si>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</si>
  <si>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</si>
  <si>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</si>
  <si>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</si>
  <si>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</si>
  <si>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</si>
  <si>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</si>
  <si>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</si>
  <si>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</si>
  <si>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</si>
  <si>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</si>
  <si>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</si>
  <si>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</si>
  <si>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</si>
  <si>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</si>
  <si>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</si>
  <si>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</si>
  <si>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</si>
  <si>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</si>
  <si>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</si>
  <si>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</si>
  <si>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</si>
  <si>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</si>
  <si>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</si>
  <si>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</si>
  <si>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</si>
  <si>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</si>
  <si>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</si>
  <si>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</si>
  <si>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</si>
  <si>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</si>
  <si>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</si>
  <si>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</si>
  <si>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</si>
  <si>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</si>
  <si>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</si>
  <si>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</si>
  <si>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</si>
  <si>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</si>
  <si>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</si>
  <si>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</si>
  <si>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</si>
  <si>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</si>
  <si>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</si>
  <si>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</si>
  <si>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</si>
  <si>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</si>
  <si>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</si>
  <si>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</si>
  <si>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</si>
  <si>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</si>
  <si>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</si>
  <si>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</si>
  <si>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</si>
  <si>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</si>
  <si>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</si>
  <si>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</si>
  <si>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</si>
  <si>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</si>
  <si>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</si>
  <si>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</si>
  <si>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</si>
  <si>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</si>
  <si>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</si>
  <si>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</si>
  <si>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</si>
  <si>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</si>
  <si>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</si>
  <si>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</si>
  <si>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</si>
  <si>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</si>
  <si>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</si>
  <si>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</si>
  <si>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</si>
  <si>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</si>
  <si>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</si>
  <si>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</si>
  <si>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</si>
  <si>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</si>
  <si>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</si>
  <si>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</si>
  <si>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</si>
  <si>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</si>
  <si>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</si>
  <si>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</si>
  <si>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</si>
  <si>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</si>
  <si>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</si>
  <si>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</si>
  <si>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</si>
  <si>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</si>
  <si>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</si>
  <si>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</si>
  <si>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</si>
  <si>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</si>
  <si>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</si>
  <si>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</si>
  <si>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</si>
  <si>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</si>
  <si>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</si>
  <si>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</si>
  <si>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</si>
  <si>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</si>
  <si>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</si>
  <si>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</si>
  <si>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</si>
  <si>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</si>
  <si>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</si>
  <si>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</si>
  <si>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</si>
  <si>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</si>
  <si>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</si>
  <si>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</si>
  <si>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</si>
  <si>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</si>
  <si>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</si>
  <si>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</si>
  <si>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</si>
  <si>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</si>
  <si>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</si>
  <si>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</si>
  <si>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</si>
  <si>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</si>
  <si>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</si>
  <si>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</si>
  <si>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</si>
  <si>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</si>
  <si>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</si>
  <si>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</si>
  <si>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</si>
  <si>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</si>
  <si>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</si>
  <si>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</si>
  <si>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</si>
  <si>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</si>
  <si>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</si>
  <si>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</si>
  <si>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</si>
  <si>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</si>
  <si>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</si>
  <si>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</si>
  <si>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</si>
  <si>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</si>
  <si>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</si>
  <si>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</si>
  <si>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</si>
  <si>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</si>
  <si>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</si>
  <si>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</si>
  <si>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</si>
  <si>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</si>
  <si>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</si>
  <si>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</si>
  <si>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</si>
  <si>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</si>
  <si>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</si>
  <si>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</si>
  <si>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</si>
  <si>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</si>
  <si>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</si>
  <si>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</si>
  <si>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</si>
  <si>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</si>
  <si>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</si>
  <si>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</si>
  <si>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</si>
  <si>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</si>
  <si>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</si>
  <si>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</si>
  <si>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</si>
  <si>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</si>
  <si>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</si>
  <si>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</si>
  <si>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</si>
  <si>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</si>
  <si>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</si>
  <si>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</si>
  <si>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</si>
  <si>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</si>
  <si>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</si>
  <si>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</si>
  <si>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</si>
  <si>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</si>
  <si>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</si>
  <si>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</si>
  <si>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</si>
  <si>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</si>
  <si>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</si>
  <si>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</si>
  <si>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</si>
  <si>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</si>
  <si>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</si>
  <si>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</si>
  <si>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</si>
  <si>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</si>
  <si>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</si>
  <si>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</si>
  <si>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</si>
  <si>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</si>
  <si>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</si>
  <si>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</si>
  <si>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</si>
  <si>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</si>
  <si>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</si>
  <si>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</si>
  <si>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</si>
  <si>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</si>
  <si>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</si>
  <si>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</si>
  <si>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</si>
  <si>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</si>
  <si>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</si>
  <si>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</si>
  <si>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</si>
  <si>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</si>
  <si>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</si>
  <si>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</si>
  <si>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</si>
  <si>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</si>
  <si>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</si>
  <si>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</si>
  <si>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</si>
  <si>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</si>
  <si>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</si>
  <si>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</si>
  <si>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</si>
  <si>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</si>
  <si>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</si>
  <si>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</si>
  <si>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</si>
  <si>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</si>
  <si>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</si>
  <si>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</si>
  <si>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</si>
  <si>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</si>
  <si>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</si>
  <si>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</si>
  <si>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</si>
  <si>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</si>
  <si>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</si>
  <si>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</si>
  <si>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</si>
  <si>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</si>
  <si>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</si>
  <si>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</si>
  <si>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</si>
  <si>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</si>
  <si>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</si>
  <si>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</si>
  <si>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</si>
  <si>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</si>
  <si>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</si>
  <si>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</si>
  <si>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</si>
  <si>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</si>
  <si>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</si>
  <si>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</si>
  <si>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</si>
  <si>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</si>
  <si>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</si>
  <si>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</si>
  <si>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</si>
  <si>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</si>
  <si>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</si>
  <si>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</si>
  <si>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</si>
  <si>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</si>
  <si>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</si>
  <si>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</si>
  <si>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</si>
  <si>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</si>
  <si>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</si>
  <si>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</si>
  <si>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</si>
  <si>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</si>
  <si>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</si>
  <si>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</si>
  <si>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</si>
  <si>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</si>
  <si>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</si>
  <si>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</si>
  <si>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</si>
  <si>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</si>
  <si>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</si>
  <si>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</si>
  <si>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</si>
  <si>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</si>
  <si>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</si>
  <si>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</si>
  <si>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</si>
  <si>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</si>
  <si>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</si>
  <si>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</si>
  <si>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</si>
  <si>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</si>
  <si>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</si>
  <si>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</si>
  <si>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</si>
  <si>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</si>
  <si>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</si>
  <si>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</si>
  <si>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</si>
  <si>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</si>
  <si>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</si>
  <si>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</si>
  <si>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</si>
  <si>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</si>
  <si>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</si>
  <si>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</si>
  <si>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</si>
  <si>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</si>
  <si>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</si>
  <si>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</si>
  <si>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</si>
  <si>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</si>
  <si>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</si>
  <si>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</si>
  <si>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</si>
  <si>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</si>
  <si>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</si>
  <si>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</si>
  <si>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</si>
  <si>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</si>
  <si>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</si>
  <si>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</si>
  <si>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</si>
  <si>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</si>
  <si>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</si>
  <si>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</si>
  <si>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</si>
  <si>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</si>
  <si>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</si>
  <si>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</si>
  <si>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</si>
  <si>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</si>
  <si>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</si>
  <si>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</si>
  <si>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</si>
  <si>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</si>
  <si>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</si>
  <si>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</si>
  <si>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</si>
  <si>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</si>
  <si>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</si>
  <si>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</si>
  <si>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</si>
  <si>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</si>
  <si>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</si>
  <si>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</si>
  <si>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</si>
  <si>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</si>
  <si>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</si>
  <si>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</si>
  <si>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</si>
  <si>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</si>
  <si>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</si>
  <si>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</si>
  <si>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</si>
  <si>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</si>
  <si>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</si>
  <si>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</si>
  <si>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</si>
  <si>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</si>
  <si>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</si>
  <si>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</si>
  <si>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</si>
  <si>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</si>
  <si>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</si>
  <si>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</si>
  <si>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</si>
  <si>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</si>
  <si>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</si>
  <si>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</si>
  <si>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</si>
  <si>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</si>
  <si>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</si>
  <si>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</si>
  <si>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</si>
  <si>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</si>
  <si>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</si>
  <si>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</si>
  <si>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</si>
  <si>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</si>
  <si>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</si>
  <si>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</si>
  <si>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</si>
  <si>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</si>
  <si>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</si>
  <si>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</si>
  <si>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</si>
  <si>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</si>
  <si>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</si>
  <si>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</si>
  <si>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</si>
  <si>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</si>
  <si>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</si>
  <si>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</si>
  <si>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</si>
  <si>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</si>
  <si>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</si>
  <si>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</si>
  <si>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</si>
  <si>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</si>
  <si>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</si>
  <si>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</si>
  <si>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</si>
  <si>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</si>
  <si>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</si>
  <si>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</si>
  <si>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</si>
  <si>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</si>
  <si>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</si>
  <si>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</si>
  <si>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</si>
  <si>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</si>
  <si>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</si>
  <si>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</si>
  <si>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</si>
  <si>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</si>
  <si>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</si>
  <si>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</si>
  <si>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</si>
  <si>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</si>
  <si>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</si>
  <si>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</si>
  <si>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</si>
  <si>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</si>
  <si>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</si>
  <si>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</si>
  <si>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</si>
  <si>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</si>
  <si>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</si>
  <si>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</si>
  <si>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</si>
  <si>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</si>
  <si>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</si>
  <si>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</si>
  <si>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</si>
  <si>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</si>
  <si>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</si>
  <si>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</si>
  <si>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</si>
  <si>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</si>
  <si>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</si>
  <si>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</si>
  <si>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</si>
  <si>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</si>
  <si>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</si>
  <si>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</si>
  <si>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</si>
  <si>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</si>
  <si>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</si>
  <si>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</si>
  <si>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</si>
  <si>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</si>
  <si>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</si>
  <si>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</si>
  <si>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</si>
  <si>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</si>
  <si>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</si>
  <si>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</si>
  <si>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</si>
  <si>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</si>
  <si>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</si>
  <si>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</si>
  <si>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</si>
  <si>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</si>
  <si>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</si>
  <si>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</si>
  <si>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</si>
  <si>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</si>
  <si>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</si>
  <si>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</si>
  <si>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</si>
  <si>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</si>
  <si>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</si>
  <si>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</si>
  <si>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</si>
  <si>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</si>
  <si>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</si>
  <si>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</si>
  <si>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</si>
  <si>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</si>
  <si>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</si>
  <si>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</si>
  <si>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</si>
  <si>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</si>
  <si>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</si>
  <si>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</si>
  <si>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</si>
  <si>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</si>
  <si>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</si>
  <si>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</si>
  <si>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</si>
  <si>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</si>
  <si>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</si>
  <si>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</si>
  <si>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</si>
  <si>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</si>
  <si>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</si>
  <si>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</si>
  <si>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</si>
  <si>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</si>
  <si>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</si>
  <si>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</si>
  <si>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</si>
  <si>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</si>
  <si>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</si>
  <si>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</si>
  <si>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</si>
  <si>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</si>
  <si>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</si>
  <si>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</si>
  <si>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</si>
  <si>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</si>
  <si>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</si>
  <si>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</si>
  <si>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</si>
  <si>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</si>
  <si>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</si>
  <si>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</si>
  <si>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</si>
  <si>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</si>
  <si>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</si>
  <si>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</si>
  <si>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</si>
  <si>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</si>
  <si>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</si>
  <si>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</si>
  <si>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</si>
  <si>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</si>
  <si>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</si>
  <si>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</si>
  <si>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</si>
  <si>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</si>
  <si>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</si>
  <si>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</si>
  <si>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</si>
  <si>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</si>
  <si>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</si>
  <si>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</si>
  <si>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</si>
  <si>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</si>
  <si>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</si>
  <si>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</si>
  <si>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</si>
  <si>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</si>
  <si>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</si>
  <si>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</si>
  <si>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</si>
  <si>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</si>
  <si>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</si>
  <si>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</si>
  <si>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</si>
  <si>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</si>
  <si>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</si>
  <si>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</si>
  <si>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</si>
  <si>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</si>
  <si>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</si>
  <si>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</si>
  <si>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</si>
  <si>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</si>
  <si>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</si>
  <si>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</si>
  <si>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</si>
  <si>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</si>
  <si>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</si>
  <si>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</si>
  <si>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</si>
  <si>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</si>
  <si>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</si>
  <si>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</si>
  <si>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</si>
  <si>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</si>
  <si>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</si>
  <si>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</si>
  <si>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</si>
  <si>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</si>
  <si>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</si>
  <si>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</si>
  <si>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</si>
  <si>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</si>
  <si>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</si>
  <si>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</si>
  <si>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</si>
  <si>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</si>
  <si>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</si>
  <si>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</si>
  <si>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</si>
  <si>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</si>
  <si>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</si>
  <si>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</si>
  <si>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</si>
  <si>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</si>
  <si>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</si>
  <si>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</si>
  <si>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</si>
  <si>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</si>
  <si>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</si>
  <si>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</si>
  <si>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</si>
  <si>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</si>
  <si>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</si>
  <si>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</si>
  <si>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</si>
  <si>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</si>
  <si>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</si>
  <si>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</si>
  <si>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</si>
  <si>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</si>
  <si>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</si>
  <si>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</si>
  <si>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</si>
  <si>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</si>
  <si>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</si>
  <si>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</si>
  <si>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</si>
  <si>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</si>
  <si>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</si>
  <si>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</si>
  <si>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</si>
  <si>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</si>
  <si>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</si>
  <si>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</si>
  <si>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</si>
  <si>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</si>
  <si>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</si>
  <si>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</si>
  <si>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</si>
  <si>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</si>
  <si>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</si>
  <si>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</si>
  <si>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</si>
  <si>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</si>
  <si>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</si>
  <si>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</si>
  <si>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</si>
  <si>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</si>
  <si>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</si>
  <si>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</si>
  <si>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</si>
  <si>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</si>
  <si>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</si>
  <si>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</si>
  <si>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</si>
  <si>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</si>
  <si>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</si>
  <si>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</si>
  <si>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</si>
  <si>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</si>
  <si>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</si>
  <si>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</si>
  <si>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</si>
  <si>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</si>
  <si>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</si>
  <si>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</si>
  <si>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</si>
  <si>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</si>
  <si>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</si>
  <si>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</si>
  <si>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</si>
  <si>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</si>
  <si>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</si>
  <si>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</si>
  <si>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</si>
  <si>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</si>
  <si>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</si>
  <si>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</si>
  <si>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</si>
  <si>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</si>
  <si>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</si>
  <si>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</si>
  <si>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</si>
  <si>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</si>
  <si>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</si>
  <si>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</si>
  <si>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</si>
  <si>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</si>
  <si>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</si>
  <si>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</si>
  <si>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</si>
  <si>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</si>
  <si>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</si>
  <si>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</si>
  <si>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</si>
  <si>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</si>
  <si>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</si>
  <si>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</si>
  <si>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</si>
  <si>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</si>
  <si>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</si>
  <si>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</si>
  <si>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</si>
  <si>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</si>
  <si>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</si>
  <si>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</si>
  <si>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</si>
  <si>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</si>
  <si>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</si>
  <si>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</si>
  <si>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</si>
  <si>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</si>
  <si>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</si>
  <si>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</si>
  <si>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</si>
  <si>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</si>
  <si>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</si>
  <si>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</si>
  <si>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</si>
  <si>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</si>
  <si>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</si>
  <si>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</si>
  <si>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</si>
  <si>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</si>
  <si>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</si>
  <si>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</si>
  <si>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</si>
  <si>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</si>
  <si>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</si>
  <si>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</si>
  <si>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</si>
  <si>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</si>
  <si>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</si>
  <si>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</si>
  <si>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</si>
  <si>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</si>
  <si>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</si>
  <si>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</si>
  <si>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</si>
  <si>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</si>
  <si>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</si>
  <si>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</si>
  <si>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</si>
  <si>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</si>
  <si>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</si>
  <si>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</si>
  <si>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</si>
  <si>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</si>
  <si>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</si>
  <si>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</si>
  <si>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</si>
  <si>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</si>
  <si>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</si>
  <si>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</si>
  <si>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</si>
  <si>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</si>
  <si>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</si>
  <si>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</si>
  <si>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</si>
  <si>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</si>
  <si>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</si>
  <si>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</si>
  <si>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</si>
  <si>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</si>
  <si>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</si>
  <si>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</si>
  <si>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</si>
  <si>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</si>
  <si>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</si>
  <si>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</si>
  <si>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</si>
  <si>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</si>
  <si>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</si>
  <si>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</si>
  <si>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</si>
  <si>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</si>
  <si>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</si>
  <si>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</si>
  <si>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</si>
  <si>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</si>
  <si>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</si>
  <si>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</si>
  <si>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</si>
  <si>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</si>
  <si>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</si>
  <si>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</si>
  <si>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</si>
  <si>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</si>
  <si>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</si>
  <si>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</si>
  <si>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</si>
  <si>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</si>
  <si>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</si>
  <si>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</si>
  <si>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</si>
  <si>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</si>
  <si>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</si>
  <si>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</si>
  <si>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</si>
  <si>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</si>
  <si>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</si>
  <si>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</si>
  <si>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</si>
  <si>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</si>
  <si>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</si>
  <si>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</si>
  <si>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</si>
  <si>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</si>
  <si>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</si>
  <si>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</si>
  <si>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</si>
  <si>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</si>
  <si>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</si>
  <si>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</si>
  <si>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</si>
  <si>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</si>
  <si>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</si>
  <si>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</si>
  <si>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</si>
  <si>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</si>
  <si>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</si>
  <si>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</si>
  <si>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</si>
  <si>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</si>
  <si>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</si>
  <si>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</si>
  <si>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</si>
  <si>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</si>
  <si>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</si>
  <si>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</si>
  <si>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</si>
  <si>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</si>
  <si>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</si>
  <si>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</si>
  <si>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</si>
  <si>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</si>
  <si>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</si>
  <si>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</si>
  <si>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</si>
  <si>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</si>
  <si>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</si>
  <si>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</si>
  <si>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</si>
  <si>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</si>
  <si>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</si>
  <si>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</si>
  <si>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</si>
  <si>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</si>
  <si>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</si>
  <si>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</si>
  <si>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</si>
  <si>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</si>
  <si>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</si>
  <si>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</si>
  <si>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</si>
  <si>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</si>
  <si>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</si>
  <si>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</si>
  <si>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</si>
  <si>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</si>
  <si>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</si>
  <si>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</si>
  <si>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</si>
  <si>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</si>
  <si>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</si>
  <si>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</si>
  <si>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</si>
  <si>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</si>
  <si>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</si>
  <si>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</si>
  <si>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</si>
  <si>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</si>
  <si>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</si>
  <si>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</si>
  <si>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</si>
  <si>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</si>
  <si>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</si>
  <si>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</si>
  <si>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</si>
  <si>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</si>
  <si>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</si>
  <si>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</si>
  <si>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</si>
  <si>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</si>
  <si>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</si>
  <si>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</si>
  <si>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</si>
  <si>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</si>
  <si>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</si>
  <si>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</si>
  <si>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</si>
  <si>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</si>
  <si>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</si>
  <si>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</si>
  <si>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</si>
  <si>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</si>
  <si>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</si>
  <si>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</si>
  <si>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</si>
  <si>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</si>
  <si>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</si>
  <si>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</si>
  <si>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</si>
  <si>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</si>
  <si>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</si>
  <si>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</si>
  <si>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</si>
  <si>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</si>
  <si>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</si>
  <si>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</si>
  <si>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</si>
  <si>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</si>
  <si>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</si>
  <si>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</si>
  <si>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</si>
  <si>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</si>
  <si>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</si>
  <si>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</si>
  <si>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</si>
  <si>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</si>
  <si>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</si>
  <si>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</si>
  <si>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</si>
  <si>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</si>
  <si>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</si>
  <si>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</si>
  <si>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</si>
  <si>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</si>
  <si>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</si>
  <si>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</si>
  <si>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</si>
  <si>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</si>
  <si>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</si>
  <si>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</si>
  <si>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</si>
  <si>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</si>
  <si>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</si>
  <si>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</si>
  <si>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</si>
  <si>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</si>
  <si>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</si>
  <si>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</si>
  <si>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</si>
  <si>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</si>
  <si>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</si>
  <si>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</si>
  <si>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</si>
  <si>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</si>
  <si>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</si>
  <si>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</si>
  <si>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</si>
  <si>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</si>
  <si>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</si>
  <si>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</si>
  <si>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</si>
  <si>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</si>
  <si>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</si>
  <si>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</si>
  <si>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</si>
  <si>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</si>
  <si>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</si>
  <si>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</si>
  <si>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</si>
  <si>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</si>
  <si>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</si>
  <si>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</si>
  <si>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</si>
  <si>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</si>
  <si>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</si>
  <si>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</si>
  <si>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</si>
  <si>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</si>
  <si>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</si>
  <si>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</si>
  <si>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</si>
  <si>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</si>
  <si>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</si>
  <si>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</si>
  <si>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</si>
  <si>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</si>
  <si>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</si>
  <si>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</si>
  <si>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</si>
  <si>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</si>
  <si>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</si>
  <si>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</si>
  <si>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</si>
  <si>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</si>
  <si>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</si>
  <si>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</si>
  <si>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</si>
  <si>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</si>
  <si>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</si>
  <si>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</si>
  <si>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</si>
  <si>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</si>
  <si>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</si>
  <si>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</si>
  <si>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</si>
  <si>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</si>
  <si>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</si>
  <si>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</si>
  <si>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</si>
  <si>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</si>
  <si>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</si>
  <si>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</si>
  <si>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</si>
  <si>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</si>
  <si>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</si>
  <si>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</si>
  <si>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</si>
  <si>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</si>
  <si>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</si>
  <si>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</si>
  <si>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</si>
  <si>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</si>
  <si>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</si>
  <si>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</si>
  <si>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</si>
  <si>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</si>
  <si>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</si>
  <si>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</si>
  <si>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</si>
  <si>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</si>
  <si>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</si>
  <si>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</si>
  <si>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</si>
  <si>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</si>
  <si>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</si>
  <si>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</si>
  <si>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</si>
  <si>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</si>
  <si>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</si>
  <si>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</si>
  <si>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</si>
  <si>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</si>
  <si>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</si>
  <si>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</si>
  <si>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</si>
  <si>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</si>
  <si>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</si>
  <si>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</si>
  <si>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</si>
  <si>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</si>
  <si>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</si>
  <si>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</si>
  <si>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</si>
  <si>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</si>
  <si>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</si>
  <si>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</si>
  <si>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</si>
  <si>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</si>
  <si>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</si>
  <si>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</si>
  <si>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</si>
  <si>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</si>
  <si>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</si>
  <si>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</si>
  <si>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</si>
  <si>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</si>
  <si>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</si>
  <si>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</si>
  <si>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</si>
  <si>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</si>
  <si>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</si>
  <si>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</si>
  <si>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</si>
  <si>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</si>
  <si>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</si>
  <si>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</si>
  <si>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</si>
  <si>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</si>
  <si>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</si>
  <si>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</si>
  <si>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</si>
  <si>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</si>
  <si>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</si>
  <si>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</si>
  <si>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</si>
  <si>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</si>
  <si>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</si>
  <si>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</si>
  <si>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</si>
  <si>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</si>
  <si>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</si>
  <si>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</si>
  <si>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</si>
  <si>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</si>
  <si>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</si>
  <si>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</si>
  <si>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</si>
  <si>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</si>
  <si>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</si>
  <si>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</si>
  <si>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</si>
  <si>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</si>
  <si>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</si>
  <si>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</si>
  <si>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</si>
  <si>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</si>
  <si>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</si>
  <si>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</si>
  <si>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</si>
  <si>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</si>
  <si>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</si>
  <si>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</si>
  <si>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</si>
  <si>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</si>
  <si>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</si>
  <si>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</si>
  <si>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</si>
  <si>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</si>
  <si>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</si>
  <si>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</si>
  <si>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</si>
  <si>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</si>
  <si>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</si>
  <si>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</si>
  <si>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</si>
  <si>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</si>
  <si>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</si>
  <si>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</si>
  <si>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</si>
  <si>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</si>
  <si>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</si>
  <si>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</si>
  <si>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</si>
  <si>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</si>
  <si>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</si>
  <si>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</si>
  <si>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</si>
  <si>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</si>
  <si>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</si>
  <si>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</si>
  <si>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</si>
  <si>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</si>
  <si>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</si>
  <si>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</si>
  <si>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</si>
  <si>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</si>
  <si>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</si>
  <si>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</si>
  <si>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</si>
  <si>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</si>
  <si>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</si>
  <si>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</si>
  <si>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</si>
  <si>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</si>
  <si>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</si>
  <si>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</si>
  <si>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</si>
  <si>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</si>
  <si>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</si>
  <si>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</si>
  <si>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</si>
  <si>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</si>
  <si>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</si>
  <si>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</si>
  <si>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</si>
  <si>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</si>
  <si>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</si>
  <si>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</si>
  <si>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</si>
  <si>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</si>
  <si>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</si>
  <si>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</si>
  <si>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</si>
  <si>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</si>
  <si>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</si>
  <si>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</si>
  <si>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</si>
  <si>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</si>
  <si>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</si>
  <si>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</si>
  <si>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</si>
  <si>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</si>
  <si>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</si>
  <si>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</si>
  <si>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</si>
  <si>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</si>
  <si>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</si>
  <si>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</si>
  <si>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</si>
  <si>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</si>
  <si>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</si>
  <si>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</si>
  <si>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</si>
  <si>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</si>
  <si>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</si>
  <si>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</si>
  <si>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</si>
  <si>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</si>
  <si>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</si>
  <si>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</si>
  <si>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</si>
  <si>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</si>
  <si>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</si>
  <si>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</si>
  <si>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</si>
  <si>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</si>
  <si>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</si>
  <si>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</si>
  <si>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</si>
  <si>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</si>
  <si>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</si>
  <si>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</si>
  <si>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</si>
  <si>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</si>
  <si>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</si>
  <si>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</si>
  <si>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</si>
  <si>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</si>
  <si>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</si>
  <si>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</si>
  <si>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</si>
  <si>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</si>
  <si>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</si>
  <si>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</si>
  <si>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</si>
  <si>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</si>
  <si>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</si>
  <si>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</si>
  <si>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</si>
  <si>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</si>
  <si>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</si>
  <si>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</si>
  <si>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</si>
  <si>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</si>
  <si>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</si>
  <si>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</si>
  <si>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</si>
  <si>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</si>
  <si>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</si>
  <si>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</si>
  <si>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</si>
  <si>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</si>
  <si>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</si>
  <si>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</si>
  <si>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</si>
  <si>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</si>
  <si>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</si>
  <si>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</si>
  <si>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</si>
  <si>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</si>
  <si>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</si>
  <si>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</si>
  <si>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</si>
  <si>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</si>
  <si>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</si>
  <si>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</si>
  <si>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</si>
  <si>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</si>
  <si>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</si>
  <si>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</si>
  <si>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</si>
  <si>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</si>
  <si>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</si>
  <si>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</si>
  <si>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</si>
  <si>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</si>
  <si>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</si>
  <si>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</si>
  <si>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</si>
  <si>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</si>
  <si>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</si>
  <si>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</si>
  <si>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</si>
  <si>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</si>
  <si>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</si>
  <si>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</si>
  <si>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</si>
  <si>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</si>
  <si>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</si>
  <si>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</si>
  <si>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</si>
  <si>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</si>
  <si>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</si>
  <si>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</si>
  <si>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</si>
  <si>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</si>
  <si>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</si>
  <si>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</si>
  <si>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</si>
  <si>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</si>
  <si>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</si>
  <si>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</si>
  <si>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</si>
  <si>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</si>
  <si>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</si>
  <si>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</si>
  <si>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</si>
  <si>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</si>
  <si>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</si>
  <si>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</si>
  <si>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</si>
  <si>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</si>
  <si>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</si>
  <si>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</si>
  <si>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</si>
  <si>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</si>
  <si>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</si>
  <si>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</si>
  <si>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</si>
  <si>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</si>
  <si>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</si>
  <si>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</si>
  <si>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</si>
  <si>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</si>
  <si>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</si>
  <si>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</si>
  <si>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</si>
  <si>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</si>
  <si>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</si>
  <si>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</si>
  <si>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</si>
  <si>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</si>
  <si>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</si>
  <si>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</si>
  <si>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</si>
  <si>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</si>
  <si>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</si>
  <si>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</si>
  <si>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</si>
  <si>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</si>
  <si>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</si>
  <si>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</si>
  <si>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</si>
  <si>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</si>
  <si>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</si>
  <si>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</si>
  <si>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</si>
  <si>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</si>
  <si>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</si>
  <si>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</si>
  <si>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</si>
  <si>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</si>
  <si>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</si>
  <si>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</si>
  <si>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</si>
  <si>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</si>
  <si>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</si>
  <si>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</si>
  <si>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</si>
  <si>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</si>
  <si>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</si>
  <si>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</si>
  <si>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</si>
  <si>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</si>
  <si>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</si>
  <si>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</si>
  <si>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</si>
  <si>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</si>
  <si>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</si>
  <si>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</si>
  <si>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</si>
  <si>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</si>
  <si>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</si>
  <si>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</si>
  <si>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</si>
  <si>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</si>
  <si>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</si>
  <si>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</si>
  <si>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</si>
  <si>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</si>
  <si>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</si>
  <si>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</si>
  <si>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</si>
  <si>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</si>
  <si>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</si>
  <si>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</si>
  <si>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</si>
  <si>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</si>
  <si>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</si>
  <si>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</si>
  <si>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</si>
  <si>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</si>
  <si>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</si>
  <si>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</si>
  <si>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</si>
  <si>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</si>
  <si>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</si>
  <si>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</si>
  <si>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</si>
  <si>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</si>
  <si>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</si>
  <si>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</si>
  <si>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</si>
  <si>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</si>
  <si>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</si>
  <si>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</si>
  <si>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</si>
  <si>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</si>
  <si>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</si>
  <si>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</si>
  <si>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</si>
  <si>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</si>
  <si>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</si>
  <si>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</si>
  <si>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</si>
  <si>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</si>
  <si>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</si>
  <si>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</si>
  <si>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</si>
  <si>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</si>
  <si>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</si>
  <si>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</si>
  <si>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</si>
  <si>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</si>
  <si>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</si>
  <si>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</si>
  <si>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</si>
  <si>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</si>
  <si>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</si>
  <si>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</si>
  <si>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</si>
  <si>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</si>
  <si>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</si>
  <si>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</si>
  <si>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</si>
  <si>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</si>
  <si>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</si>
  <si>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</si>
  <si>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</si>
  <si>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</si>
  <si>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</si>
  <si>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</si>
  <si>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</si>
  <si>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</si>
  <si>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</si>
  <si>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</si>
  <si>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</si>
  <si>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</si>
  <si>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</si>
  <si>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</si>
  <si>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</si>
  <si>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</si>
  <si>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</si>
  <si>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</si>
  <si>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</si>
  <si>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</si>
  <si>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</si>
  <si>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</si>
  <si>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</si>
  <si>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</si>
  <si>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</si>
  <si>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</si>
  <si>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</si>
  <si>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</si>
  <si>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</si>
  <si>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</si>
  <si>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</si>
  <si>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</si>
  <si>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</si>
  <si>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</si>
  <si>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</si>
  <si>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</si>
  <si>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</si>
  <si>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</si>
  <si>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</si>
  <si>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</si>
  <si>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</si>
  <si>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</si>
  <si>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</si>
  <si>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</si>
  <si>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</si>
  <si>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</si>
  <si>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</si>
  <si>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</si>
  <si>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</si>
  <si>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</si>
  <si>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</si>
  <si>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</si>
  <si>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</si>
  <si>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</si>
  <si>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</si>
  <si>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</si>
  <si>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</si>
  <si>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</si>
  <si>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</si>
  <si>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</si>
  <si>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</si>
  <si>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</si>
  <si>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</si>
  <si>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</si>
  <si>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</si>
  <si>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</si>
  <si>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</si>
  <si>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</si>
  <si>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</si>
  <si>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</si>
  <si>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</si>
  <si>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</si>
  <si>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</si>
  <si>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</si>
  <si>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</si>
  <si>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</si>
  <si>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</si>
  <si>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</si>
  <si>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</si>
  <si>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</si>
  <si>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</si>
  <si>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</si>
  <si>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</si>
  <si>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</si>
  <si>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</si>
  <si>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</si>
  <si>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</si>
  <si>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</si>
  <si>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</si>
  <si>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</si>
  <si>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</si>
  <si>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</si>
  <si>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</si>
  <si>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</si>
  <si>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</si>
  <si>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</si>
  <si>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</si>
  <si>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</si>
  <si>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</si>
  <si>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</si>
  <si>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</si>
  <si>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</si>
  <si>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</si>
  <si>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</si>
  <si>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</si>
  <si>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</si>
  <si>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</si>
  <si>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</si>
  <si>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</si>
  <si>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</si>
  <si>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</si>
  <si>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</si>
  <si>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</si>
  <si>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</si>
  <si>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</si>
  <si>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</si>
  <si>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</si>
  <si>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</si>
  <si>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</si>
  <si>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</si>
  <si>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</si>
  <si>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</si>
  <si>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</si>
  <si>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</si>
  <si>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</si>
  <si>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</si>
  <si>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</si>
  <si>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</si>
  <si>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</si>
  <si>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</si>
  <si>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</si>
  <si>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</si>
  <si>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</si>
  <si>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</si>
  <si>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</si>
  <si>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</si>
  <si>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</si>
  <si>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</si>
  <si>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</si>
  <si>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</si>
  <si>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</si>
  <si>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</si>
  <si>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</si>
  <si>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</si>
  <si>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</si>
  <si>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</si>
  <si>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</si>
  <si>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</si>
  <si>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</si>
  <si>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</si>
  <si>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</si>
  <si>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</si>
  <si>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</si>
  <si>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</si>
  <si>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</si>
  <si>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</si>
  <si>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</si>
  <si>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</si>
  <si>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</si>
  <si>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</si>
  <si>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</si>
  <si>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</si>
  <si>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</si>
  <si>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</si>
  <si>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</si>
  <si>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</si>
  <si>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</si>
  <si>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</si>
  <si>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</si>
  <si>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</si>
  <si>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</si>
  <si>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</si>
  <si>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</si>
  <si>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</si>
  <si>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</si>
  <si>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</si>
  <si>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</si>
  <si>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</si>
  <si>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</si>
  <si>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</si>
  <si>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</si>
  <si>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</si>
  <si>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</si>
  <si>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</si>
  <si>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</si>
  <si>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</si>
  <si>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</si>
  <si>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</si>
  <si>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</si>
  <si>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</si>
  <si>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</si>
  <si>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</si>
  <si>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</si>
  <si>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</si>
  <si>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</si>
  <si>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</si>
  <si>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</si>
  <si>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</si>
  <si>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</si>
  <si>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</si>
  <si>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</si>
  <si>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</si>
  <si>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</si>
  <si>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</si>
  <si>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</si>
  <si>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</si>
  <si>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</si>
  <si>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</si>
  <si>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</si>
  <si>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</si>
  <si>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</si>
  <si>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</si>
  <si>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</si>
  <si>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</si>
  <si>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</si>
  <si>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</si>
  <si>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</si>
  <si>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</si>
  <si>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</si>
  <si>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</si>
  <si>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</si>
  <si>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</si>
  <si>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</si>
  <si>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</si>
  <si>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</si>
  <si>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</si>
  <si>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</si>
  <si>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</si>
  <si>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</si>
  <si>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</si>
  <si>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</si>
  <si>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</si>
  <si>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</si>
  <si>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</si>
  <si>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</si>
  <si>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</si>
  <si>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</si>
  <si>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</si>
  <si>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</si>
  <si>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</si>
  <si>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</si>
  <si>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</si>
  <si>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</si>
  <si>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</si>
  <si>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</si>
  <si>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</si>
  <si>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</si>
  <si>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</si>
  <si>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</si>
  <si>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</si>
  <si>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</si>
  <si>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</si>
  <si>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</si>
  <si>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</si>
  <si>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</si>
  <si>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</si>
  <si>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</si>
  <si>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</si>
  <si>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</si>
  <si>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</si>
  <si>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</si>
  <si>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</si>
  <si>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</si>
  <si>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</si>
  <si>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</si>
  <si>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</si>
  <si>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</si>
  <si>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</si>
  <si>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</si>
  <si>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</si>
  <si>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</si>
  <si>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</si>
  <si>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</si>
  <si>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</si>
  <si>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</si>
  <si>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</si>
  <si>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</si>
  <si>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</si>
  <si>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</si>
  <si>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</si>
  <si>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</si>
  <si>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</si>
  <si>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</si>
  <si>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</si>
  <si>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</si>
  <si>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</si>
  <si>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</si>
  <si>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</si>
  <si>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</si>
  <si>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</si>
  <si>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</si>
  <si>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</si>
  <si>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</si>
  <si>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</si>
  <si>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</si>
  <si>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</si>
  <si>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</si>
  <si>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</si>
  <si>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</si>
  <si>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</si>
  <si>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</si>
  <si>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</si>
  <si>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</si>
  <si>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</si>
  <si>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</si>
  <si>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</si>
  <si>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</si>
  <si>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</si>
  <si>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</si>
  <si>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</si>
  <si>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</si>
  <si>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</si>
  <si>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</si>
  <si>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</si>
  <si>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</si>
  <si>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</si>
  <si>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</si>
  <si>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</si>
  <si>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</si>
  <si>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</si>
  <si>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</si>
  <si>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</si>
  <si>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</si>
  <si>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</si>
  <si>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</si>
  <si>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</si>
  <si>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</si>
  <si>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</si>
  <si>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</si>
  <si>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</si>
  <si>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</si>
  <si>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</si>
  <si>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</si>
  <si>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</si>
  <si>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</si>
  <si>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</si>
  <si>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</si>
  <si>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</si>
  <si>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</si>
  <si>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</si>
  <si>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</si>
  <si>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</si>
  <si>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</si>
  <si>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</si>
  <si>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</si>
  <si>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</si>
  <si>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</si>
  <si>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</si>
  <si>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</si>
  <si>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</si>
  <si>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</si>
  <si>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</si>
  <si>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</si>
  <si>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</si>
  <si>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</si>
  <si>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</si>
  <si>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</si>
  <si>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</si>
  <si>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</si>
  <si>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</si>
  <si>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</si>
  <si>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</si>
  <si>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</si>
  <si>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</si>
  <si>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</si>
  <si>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</si>
  <si>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</si>
  <si>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</si>
  <si>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</si>
  <si>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</si>
  <si>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</si>
  <si>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</si>
  <si>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</si>
  <si>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</si>
  <si>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</si>
  <si>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</si>
  <si>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</si>
  <si>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</si>
  <si>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</si>
  <si>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</si>
  <si>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</si>
  <si>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</si>
  <si>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</si>
  <si>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</si>
  <si>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</si>
  <si>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</si>
  <si>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</si>
  <si>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</si>
  <si>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</si>
  <si>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</si>
  <si>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</si>
  <si>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</si>
  <si>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</si>
  <si>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</si>
  <si>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</si>
  <si>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</si>
  <si>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</si>
  <si>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</si>
  <si>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</si>
  <si>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</si>
  <si>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</si>
  <si>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</si>
  <si>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</si>
  <si>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</si>
  <si>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</si>
  <si>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</si>
  <si>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</si>
  <si>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</si>
  <si>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</si>
  <si>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</si>
  <si>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</si>
  <si>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</si>
  <si>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</si>
  <si>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</si>
  <si>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</si>
  <si>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</si>
  <si>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</si>
  <si>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</si>
  <si>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</si>
  <si>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</si>
  <si>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</si>
  <si>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</si>
  <si>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</si>
  <si>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</si>
  <si>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</si>
  <si>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</si>
  <si>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</si>
  <si>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</si>
  <si>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</si>
  <si>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</si>
  <si>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</si>
  <si>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</si>
  <si>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</si>
  <si>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</si>
  <si>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</si>
  <si>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</si>
  <si>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</si>
  <si>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</si>
  <si>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</si>
  <si>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</si>
  <si>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</si>
  <si>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</si>
  <si>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</si>
  <si>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</si>
  <si>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</si>
  <si>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</si>
  <si>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</si>
  <si>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</si>
  <si>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</si>
  <si>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</si>
  <si>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</si>
  <si>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</si>
  <si>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</si>
  <si>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</si>
  <si>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</si>
  <si>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</si>
  <si>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</si>
  <si>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</si>
  <si>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</si>
  <si>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</si>
  <si>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</si>
  <si>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</si>
  <si>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</si>
  <si>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</si>
  <si>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</si>
  <si>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</si>
  <si>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</si>
  <si>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</si>
  <si>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</si>
  <si>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</si>
  <si>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</si>
  <si>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</si>
  <si>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</si>
  <si>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</si>
  <si>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</si>
  <si>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</si>
  <si>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</si>
  <si>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</si>
  <si>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</si>
  <si>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</si>
  <si>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</si>
  <si>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</si>
  <si>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</si>
  <si>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</si>
  <si>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</si>
  <si>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</si>
  <si>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</si>
  <si>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</si>
  <si>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</si>
  <si>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</si>
  <si>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</si>
  <si>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</si>
  <si>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</si>
  <si>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</si>
  <si>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</si>
  <si>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</si>
  <si>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</si>
  <si>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</si>
  <si>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</si>
  <si>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</si>
  <si>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</si>
  <si>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</si>
  <si>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</si>
  <si>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</si>
  <si>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</si>
  <si>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</si>
  <si>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</si>
  <si>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</si>
  <si>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</si>
  <si>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</si>
  <si>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</si>
  <si>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</si>
  <si>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</si>
  <si>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</si>
  <si>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</si>
  <si>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</si>
  <si>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</si>
  <si>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</si>
  <si>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</si>
  <si>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</si>
  <si>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</si>
  <si>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</si>
  <si>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</si>
  <si>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</si>
  <si>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</si>
  <si>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</si>
  <si>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</si>
  <si>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</si>
  <si>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</si>
  <si>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</si>
  <si>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</si>
  <si>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</si>
  <si>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</si>
  <si>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</si>
  <si>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</si>
  <si>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</si>
  <si>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</si>
  <si>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</si>
  <si>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</si>
  <si>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</si>
  <si>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</si>
  <si>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</si>
  <si>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</si>
  <si>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</si>
  <si>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</si>
  <si>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</si>
  <si>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</si>
  <si>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</si>
  <si>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</si>
  <si>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</si>
  <si>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</si>
  <si>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</si>
  <si>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</si>
  <si>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</si>
  <si>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</si>
  <si>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</si>
  <si>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</si>
  <si>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</si>
  <si>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</si>
  <si>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</si>
  <si>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</si>
  <si>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</si>
  <si>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</si>
  <si>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</si>
  <si>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</si>
  <si>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</si>
  <si>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</si>
  <si>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</si>
  <si>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</si>
  <si>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</si>
  <si>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</si>
  <si>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</si>
  <si>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</si>
  <si>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</si>
  <si>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</si>
  <si>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</si>
  <si>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</si>
  <si>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</si>
  <si>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</si>
  <si>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</si>
  <si>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</si>
  <si>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</si>
  <si>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</si>
  <si>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</si>
  <si>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</si>
  <si>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</si>
  <si>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</si>
  <si>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</si>
  <si>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</si>
  <si>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</si>
  <si>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</si>
  <si>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</si>
  <si>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</si>
  <si>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</si>
  <si>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</si>
  <si>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</si>
  <si>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</si>
  <si>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</si>
  <si>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</si>
  <si>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</si>
  <si>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</si>
  <si>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</si>
  <si>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</si>
  <si>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</si>
  <si>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</si>
  <si>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</si>
  <si>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</si>
  <si>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</si>
  <si>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</si>
  <si>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</si>
  <si>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</si>
  <si>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</si>
  <si>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</si>
  <si>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</si>
  <si>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</si>
  <si>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</si>
  <si>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</si>
  <si>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</si>
  <si>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</si>
  <si>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</si>
  <si>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</si>
  <si>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</si>
  <si>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</si>
  <si>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</si>
  <si>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</si>
  <si>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</si>
  <si>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</si>
  <si>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</si>
  <si>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</si>
  <si>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</si>
  <si>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</si>
  <si>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</si>
  <si>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</si>
  <si>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</si>
  <si>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</si>
  <si>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</si>
  <si>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</si>
  <si>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</si>
  <si>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</si>
  <si>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</si>
  <si>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</si>
  <si>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</si>
  <si>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</si>
  <si>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</si>
  <si>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</si>
  <si>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</si>
  <si>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</si>
  <si>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</si>
  <si>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</si>
  <si>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</si>
  <si>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</si>
  <si>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</si>
  <si>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</si>
  <si>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</si>
  <si>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</si>
  <si>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</si>
  <si>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</si>
  <si>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</si>
  <si>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</si>
  <si>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</si>
  <si>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</si>
  <si>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</si>
  <si>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</si>
  <si>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</si>
  <si>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</si>
  <si>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</si>
  <si>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</si>
  <si>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</si>
  <si>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</si>
  <si>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</si>
  <si>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</si>
  <si>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</si>
  <si>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</si>
  <si>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</si>
  <si>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</si>
  <si>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</si>
  <si>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</si>
  <si>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</si>
  <si>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</si>
  <si>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</si>
  <si>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</si>
  <si>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</si>
  <si>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</si>
  <si>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</si>
  <si>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</si>
  <si>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</si>
  <si>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</si>
  <si>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</si>
  <si>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</si>
  <si>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</si>
  <si>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</si>
  <si>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</si>
  <si>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</si>
  <si>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</si>
  <si>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</si>
  <si>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</si>
  <si>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</si>
  <si>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</si>
  <si>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</si>
  <si>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</si>
  <si>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</si>
  <si>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</si>
  <si>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</si>
  <si>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</si>
  <si>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</si>
  <si>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</si>
  <si>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</si>
  <si>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</si>
  <si>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</si>
  <si>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</si>
  <si>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</si>
  <si>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</si>
  <si>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</si>
  <si>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</si>
  <si>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</si>
  <si>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</si>
  <si>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</si>
  <si>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</si>
  <si>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</si>
  <si>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</si>
  <si>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</si>
  <si>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</si>
  <si>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</si>
  <si>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</si>
  <si>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</si>
  <si>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</si>
  <si>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</si>
  <si>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</si>
  <si>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</si>
  <si>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</si>
  <si>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</si>
  <si>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</si>
  <si>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</si>
  <si>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</si>
  <si>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</si>
  <si>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</si>
  <si>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</si>
  <si>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</si>
  <si>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</si>
  <si>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</si>
  <si>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</si>
  <si>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</si>
  <si>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</si>
  <si>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</si>
  <si>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</si>
  <si>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</si>
  <si>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</si>
  <si>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</si>
  <si>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</si>
  <si>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</si>
  <si>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</si>
  <si>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</si>
  <si>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</si>
  <si>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</si>
  <si>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</si>
  <si>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</si>
  <si>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</si>
  <si>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</si>
  <si>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</si>
  <si>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</si>
  <si>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</si>
  <si>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</si>
  <si>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</si>
  <si>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</si>
  <si>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</si>
  <si>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</si>
  <si>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</si>
  <si>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</si>
  <si>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</si>
  <si>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</si>
  <si>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</si>
  <si>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</si>
  <si>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</si>
  <si>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</si>
  <si>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</si>
  <si>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</si>
  <si>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</si>
  <si>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</si>
  <si>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</si>
  <si>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</si>
  <si>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</si>
  <si>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</si>
  <si>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</si>
  <si>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</si>
  <si>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</si>
  <si>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</si>
  <si>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</si>
  <si>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</si>
  <si>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</si>
  <si>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</si>
  <si>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</si>
  <si>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</si>
  <si>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</si>
  <si>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</si>
  <si>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</si>
  <si>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</si>
  <si>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</si>
  <si>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</si>
  <si>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</si>
  <si>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</si>
  <si>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</si>
  <si>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</si>
  <si>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</si>
  <si>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</si>
  <si>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</si>
  <si>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</si>
  <si>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</si>
  <si>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</si>
  <si>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</si>
  <si>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</si>
  <si>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</si>
  <si>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</si>
  <si>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</si>
  <si>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</si>
  <si>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</si>
  <si>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</si>
  <si>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</si>
  <si>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</si>
  <si>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</si>
  <si>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</si>
  <si>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</si>
  <si>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</si>
  <si>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</si>
  <si>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</si>
  <si>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</si>
  <si>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</si>
  <si>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</si>
  <si>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</si>
  <si>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</si>
  <si>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</si>
  <si>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</si>
  <si>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</si>
  <si>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</si>
  <si>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</si>
  <si>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</si>
  <si>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</si>
  <si>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</si>
  <si>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</si>
  <si>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</si>
  <si>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</si>
  <si>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</si>
  <si>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</si>
  <si>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</si>
  <si>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</si>
  <si>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</si>
  <si>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</si>
  <si>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</si>
  <si>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</si>
  <si>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</si>
  <si>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</si>
  <si>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</si>
  <si>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</si>
  <si>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</si>
  <si>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</si>
  <si>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</si>
  <si>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</si>
  <si>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</si>
  <si>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</si>
  <si>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</si>
  <si>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</si>
  <si>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</si>
  <si>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</si>
  <si>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</si>
  <si>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</si>
  <si>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</si>
  <si>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</si>
  <si>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</si>
  <si>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</si>
  <si>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</si>
  <si>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</si>
  <si>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</si>
  <si>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</si>
  <si>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</si>
  <si>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</si>
  <si>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</si>
  <si>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</si>
  <si>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</si>
  <si>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</si>
  <si>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</si>
  <si>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</si>
  <si>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</si>
  <si>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</si>
  <si>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</si>
  <si>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</si>
  <si>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</si>
  <si>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</si>
  <si>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</si>
  <si>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</si>
  <si>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</si>
  <si>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</si>
  <si>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</si>
  <si>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</si>
  <si>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</si>
  <si>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</si>
  <si>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</si>
  <si>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</si>
  <si>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</si>
  <si>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</si>
  <si>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</si>
  <si>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</si>
  <si>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</si>
  <si>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</si>
  <si>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</si>
  <si>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</si>
  <si>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</si>
  <si>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</si>
  <si>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</si>
  <si>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</si>
  <si>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</si>
  <si>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</si>
  <si>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</si>
  <si>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</si>
  <si>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</si>
  <si>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</si>
  <si>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</si>
  <si>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</si>
  <si>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</si>
  <si>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</si>
  <si>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</si>
  <si>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</si>
  <si>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</si>
  <si>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</si>
  <si>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</si>
  <si>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</si>
  <si>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</si>
  <si>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</si>
  <si>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</si>
  <si>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</si>
  <si>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</si>
  <si>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</si>
  <si>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</si>
  <si>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</si>
  <si>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</si>
  <si>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</si>
  <si>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</si>
  <si>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</si>
  <si>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</si>
  <si>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</si>
  <si>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</si>
  <si>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</si>
  <si>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</si>
  <si>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</si>
  <si>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</si>
  <si>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</si>
  <si>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</si>
  <si>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</si>
  <si>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</si>
  <si>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</si>
  <si>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</si>
  <si>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</si>
  <si>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</si>
  <si>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</si>
  <si>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</si>
  <si>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</si>
  <si>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</si>
  <si>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</si>
  <si>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</si>
  <si>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</si>
  <si>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</si>
  <si>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</si>
  <si>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</si>
  <si>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</si>
  <si>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</si>
  <si>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</si>
  <si>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</si>
  <si>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</si>
  <si>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</si>
  <si>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</si>
  <si>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</si>
  <si>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</si>
  <si>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</si>
  <si>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</si>
  <si>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</si>
  <si>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</si>
  <si>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</si>
  <si>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</si>
  <si>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</si>
  <si>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</si>
  <si>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</si>
  <si>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</si>
  <si>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</si>
  <si>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</si>
  <si>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</si>
  <si>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</si>
  <si>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</si>
  <si>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</si>
  <si>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</si>
  <si>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</si>
  <si>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</si>
  <si>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</si>
  <si>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</si>
  <si>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</si>
  <si>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</si>
  <si>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</si>
  <si>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</si>
  <si>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</si>
  <si>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</si>
  <si>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</si>
  <si>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</si>
  <si>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</si>
  <si>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</si>
  <si>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</si>
  <si>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</si>
  <si>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</si>
  <si>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</si>
  <si>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</si>
  <si>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</si>
  <si>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</si>
  <si>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</si>
  <si>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</si>
  <si>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</si>
  <si>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</si>
  <si>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</si>
  <si>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</si>
  <si>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</si>
  <si>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</si>
  <si>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</si>
  <si>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</si>
  <si>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</si>
  <si>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</si>
  <si>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</si>
  <si>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</si>
  <si>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</si>
  <si>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</si>
  <si>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</si>
  <si>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</si>
  <si>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</si>
  <si>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</si>
  <si>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</si>
  <si>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</si>
  <si>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</si>
  <si>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</si>
  <si>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</si>
  <si>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</si>
  <si>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</si>
  <si>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</si>
  <si>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</si>
  <si>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</si>
  <si>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</si>
  <si>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</si>
  <si>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</si>
  <si>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</si>
  <si>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</si>
  <si>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</si>
  <si>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</si>
  <si>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</si>
  <si>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</si>
  <si>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</si>
  <si>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</si>
  <si>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</si>
  <si>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</si>
  <si>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</si>
  <si>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</si>
  <si>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</si>
  <si>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</si>
  <si>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</si>
  <si>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</si>
  <si>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</si>
  <si>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</si>
  <si>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</si>
  <si>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</si>
  <si>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</si>
  <si>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</si>
  <si>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</si>
  <si>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</si>
  <si>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</si>
  <si>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</si>
  <si>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</si>
  <si>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</si>
  <si>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</si>
  <si>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</si>
  <si>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</si>
  <si>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</si>
  <si>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</si>
  <si>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</si>
  <si>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</si>
  <si>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</si>
  <si>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</si>
  <si>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</si>
  <si>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</si>
  <si>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</si>
  <si>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</si>
  <si>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</si>
  <si>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</si>
  <si>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</si>
  <si>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</si>
  <si>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</si>
  <si>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</si>
  <si>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</si>
  <si>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</si>
  <si>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</si>
  <si>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</si>
  <si>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</si>
  <si>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</si>
  <si>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</si>
  <si>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</si>
  <si>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</si>
  <si>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</si>
  <si>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</si>
  <si>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</si>
  <si>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</si>
  <si>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</si>
  <si>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</si>
  <si>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</si>
  <si>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</si>
  <si>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</si>
  <si>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</si>
  <si>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</si>
  <si>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</si>
  <si>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</si>
  <si>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</si>
  <si>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</si>
  <si>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</si>
  <si>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</si>
  <si>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</si>
  <si>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</si>
  <si>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</si>
  <si>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</si>
  <si>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</si>
  <si>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</si>
  <si>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</si>
  <si>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</si>
  <si>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</si>
  <si>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</si>
  <si>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</si>
  <si>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</si>
  <si>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</si>
  <si>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</si>
  <si>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</si>
  <si>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</si>
  <si>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</si>
  <si>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</si>
  <si>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</si>
  <si>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</si>
  <si>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</si>
  <si>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</si>
  <si>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</si>
  <si>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</si>
  <si>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</si>
  <si>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</si>
  <si>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</si>
  <si>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</si>
  <si>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</si>
  <si>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</si>
  <si>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</si>
  <si>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</si>
  <si>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</si>
  <si>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</si>
  <si>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</si>
  <si>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</si>
  <si>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</si>
  <si>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</si>
  <si>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</si>
  <si>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</si>
  <si>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</si>
  <si>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</si>
  <si>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</si>
  <si>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</si>
  <si>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</si>
  <si>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</si>
  <si>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</si>
  <si>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</si>
  <si>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</si>
  <si>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</si>
  <si>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</si>
  <si>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</si>
  <si>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</si>
  <si>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</si>
  <si>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</si>
  <si>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</si>
  <si>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</si>
  <si>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</si>
  <si>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</si>
  <si>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</si>
  <si>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</si>
  <si>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</si>
  <si>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</si>
  <si>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</si>
  <si>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</si>
  <si>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</si>
  <si>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</si>
  <si>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</si>
  <si>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</si>
  <si>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</si>
  <si>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</si>
  <si>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</si>
  <si>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</si>
  <si>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</si>
  <si>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</si>
  <si>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</si>
  <si>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</si>
  <si>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</si>
  <si>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</si>
  <si>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</si>
  <si>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</si>
  <si>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</si>
  <si>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</si>
  <si>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</si>
  <si>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</si>
  <si>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</si>
  <si>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</si>
  <si>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</si>
  <si>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</si>
  <si>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</si>
  <si>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</si>
  <si>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</si>
  <si>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</si>
  <si>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</si>
  <si>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</si>
  <si>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</si>
  <si>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</si>
  <si>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</si>
  <si>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</si>
  <si>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</si>
  <si>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</si>
  <si>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</si>
  <si>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</si>
  <si>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</si>
  <si>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</si>
  <si>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</si>
  <si>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</si>
  <si>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</si>
  <si>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</si>
  <si>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</si>
  <si>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</si>
  <si>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</si>
  <si>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</si>
  <si>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</si>
  <si>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</si>
  <si>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</si>
  <si>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</si>
  <si>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</si>
  <si>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</si>
  <si>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</si>
  <si>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</si>
  <si>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</si>
  <si>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</si>
  <si>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</si>
  <si>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</si>
  <si>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</si>
  <si>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</si>
  <si>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</si>
  <si>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</si>
  <si>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</si>
  <si>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</si>
  <si>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</si>
  <si>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</si>
  <si>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</si>
  <si>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</si>
  <si>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</si>
  <si>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</si>
  <si>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</si>
  <si>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</si>
  <si>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</si>
  <si>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</si>
  <si>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</si>
  <si>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</si>
  <si>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</si>
  <si>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</si>
  <si>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</si>
  <si>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</si>
  <si>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</si>
  <si>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</si>
  <si>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</si>
  <si>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</si>
  <si>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</si>
  <si>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</si>
  <si>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</si>
  <si>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</si>
  <si>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</si>
  <si>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</si>
  <si>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</si>
  <si>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</si>
  <si>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</si>
  <si>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</si>
  <si>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</si>
  <si>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</si>
  <si>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</si>
  <si>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</si>
  <si>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</si>
  <si>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</si>
  <si>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</si>
  <si>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</si>
  <si>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</si>
  <si>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</si>
  <si>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</si>
  <si>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</si>
  <si>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</si>
  <si>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</si>
  <si>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</si>
  <si>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</si>
  <si>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</si>
  <si>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</si>
  <si>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</si>
  <si>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</si>
  <si>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</si>
  <si>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</si>
  <si>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</si>
  <si>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</si>
  <si>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</si>
  <si>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</si>
  <si>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</si>
  <si>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</si>
  <si>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</si>
  <si>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</si>
  <si>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</si>
  <si>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</si>
  <si>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</si>
  <si>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</si>
  <si>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</si>
  <si>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</si>
  <si>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</si>
  <si>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</si>
  <si>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</si>
  <si>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</si>
  <si>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</si>
  <si>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</si>
  <si>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</si>
  <si>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</si>
  <si>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</si>
  <si>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</si>
  <si>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</si>
  <si>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</si>
  <si>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</si>
  <si>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</si>
  <si>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</si>
  <si>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</si>
  <si>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</si>
  <si>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</si>
  <si>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</si>
  <si>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</si>
  <si>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</si>
  <si>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</si>
  <si>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</si>
  <si>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</si>
  <si>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</si>
  <si>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</si>
  <si>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</si>
  <si>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</si>
  <si>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</si>
  <si>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</si>
  <si>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</si>
  <si>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</si>
  <si>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</si>
  <si>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</si>
  <si>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</si>
  <si>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</si>
  <si>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</si>
  <si>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</si>
  <si>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</si>
  <si>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</si>
  <si>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</si>
  <si>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</si>
  <si>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</si>
  <si>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</si>
  <si>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</si>
  <si>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</si>
  <si>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</si>
  <si>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</si>
  <si>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</si>
  <si>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</si>
  <si>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</si>
  <si>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</si>
  <si>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</si>
  <si>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</si>
  <si>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</si>
  <si>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</si>
  <si>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</si>
  <si>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</si>
  <si>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</si>
  <si>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</si>
  <si>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</si>
  <si>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</si>
  <si>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</si>
  <si>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</si>
  <si>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</si>
  <si>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</si>
  <si>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</si>
  <si>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</si>
  <si>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</si>
  <si>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</si>
  <si>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</si>
  <si>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</si>
  <si>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</si>
  <si>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</si>
  <si>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</si>
  <si>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</si>
  <si>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</si>
  <si>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</si>
  <si>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</si>
  <si>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</si>
  <si>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</si>
  <si>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</si>
  <si>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</si>
  <si>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</si>
  <si>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</si>
  <si>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</si>
  <si>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</si>
  <si>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</si>
  <si>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</si>
  <si>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</si>
  <si>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</si>
  <si>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</si>
  <si>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</si>
  <si>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</si>
  <si>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</si>
  <si>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</si>
  <si>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</si>
  <si>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</si>
  <si>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</si>
  <si>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</si>
  <si>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</si>
  <si>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</si>
  <si>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</si>
  <si>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</si>
  <si>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</si>
  <si>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</si>
  <si>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</si>
  <si>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</si>
  <si>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</si>
  <si>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</si>
  <si>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</si>
  <si>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</si>
  <si>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</si>
  <si>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</si>
  <si>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</si>
  <si>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</si>
  <si>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</si>
  <si>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</si>
  <si>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</si>
  <si>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</si>
  <si>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</si>
  <si>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</si>
  <si>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</si>
  <si>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</si>
  <si>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</si>
  <si>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</si>
  <si>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</si>
  <si>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</si>
  <si>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</si>
  <si>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</si>
  <si>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</si>
  <si>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</si>
  <si>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</si>
  <si>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</si>
  <si>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</si>
  <si>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</si>
  <si>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</si>
  <si>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</si>
  <si>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</si>
  <si>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</si>
  <si>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</si>
  <si>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</si>
  <si>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</si>
  <si>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</si>
  <si>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</si>
  <si>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</si>
  <si>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</si>
  <si>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</si>
  <si>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</si>
  <si>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</si>
  <si>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</si>
  <si>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</si>
  <si>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</si>
  <si>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</si>
  <si>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</si>
  <si>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</si>
  <si>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</si>
  <si>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</si>
  <si>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</si>
  <si>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</si>
  <si>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</si>
  <si>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</si>
  <si>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</si>
  <si>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</si>
  <si>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</si>
  <si>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</si>
  <si>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</si>
  <si>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</si>
  <si>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</si>
  <si>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</si>
  <si>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</si>
  <si>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</si>
  <si>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</si>
  <si>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</si>
  <si>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</si>
  <si>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</si>
  <si>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</si>
  <si>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</si>
  <si>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</si>
  <si>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</si>
  <si>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</si>
  <si>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</si>
  <si>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</si>
  <si>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</si>
  <si>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</si>
  <si>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</si>
  <si>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</si>
  <si>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</si>
  <si>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</si>
  <si>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</si>
  <si>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</si>
  <si>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</si>
  <si>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</si>
  <si>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</si>
  <si>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</si>
  <si>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</si>
  <si>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</si>
  <si>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</si>
  <si>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</si>
  <si>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</si>
  <si>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</si>
  <si>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</si>
  <si>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</si>
  <si>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</si>
  <si>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</si>
  <si>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</si>
  <si>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</si>
  <si>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</si>
  <si>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</si>
  <si>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</si>
  <si>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</si>
  <si>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</si>
  <si>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</si>
  <si>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</si>
  <si>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</si>
  <si>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</si>
  <si>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</si>
  <si>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</si>
  <si>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</si>
  <si>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</si>
  <si>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</si>
  <si>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</si>
  <si>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</si>
  <si>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</si>
  <si>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</si>
  <si>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</si>
  <si>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</si>
  <si>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</si>
  <si>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</si>
  <si>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</si>
  <si>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</si>
  <si>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</si>
  <si>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</si>
  <si>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</si>
  <si>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</si>
  <si>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</si>
  <si>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</si>
  <si>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</si>
  <si>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</si>
  <si>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</si>
  <si>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</si>
  <si>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</si>
  <si>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</si>
  <si>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</si>
  <si>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</si>
  <si>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</si>
  <si>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</si>
  <si>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</si>
  <si>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</si>
  <si>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</si>
  <si>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</si>
  <si>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</si>
  <si>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</si>
  <si>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</si>
  <si>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</si>
  <si>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</si>
  <si>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</si>
  <si>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</si>
  <si>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</si>
  <si>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</si>
  <si>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</si>
  <si>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</si>
  <si>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</si>
  <si>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</si>
  <si>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</si>
  <si>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</si>
  <si>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</si>
  <si>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</si>
  <si>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</si>
  <si>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</si>
  <si>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</si>
  <si>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</si>
  <si>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</si>
  <si>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</si>
  <si>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</si>
  <si>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</si>
  <si>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</si>
  <si>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</si>
  <si>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</si>
  <si>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</si>
  <si>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</si>
  <si>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</si>
  <si>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</si>
  <si>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</si>
  <si>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</si>
  <si>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</si>
  <si>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</si>
  <si>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</si>
  <si>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</si>
  <si>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</si>
  <si>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</si>
  <si>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</si>
  <si>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</si>
  <si>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</si>
  <si>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</si>
  <si>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</si>
  <si>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</si>
  <si>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</si>
  <si>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</si>
  <si>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</si>
  <si>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</si>
  <si>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</si>
  <si>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</si>
  <si>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</si>
  <si>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</si>
  <si>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</si>
  <si>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</si>
  <si>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</si>
  <si>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</si>
  <si>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</si>
  <si>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</si>
  <si>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</si>
  <si>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</si>
  <si>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</si>
  <si>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</si>
  <si>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</si>
  <si>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</si>
  <si>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</si>
  <si>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</si>
  <si>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</si>
  <si>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</si>
  <si>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</si>
  <si>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</si>
  <si>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</si>
  <si>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</si>
  <si>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</si>
  <si>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</si>
  <si>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</si>
  <si>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</si>
  <si>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</si>
  <si>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</si>
  <si>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</si>
  <si>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</si>
  <si>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</si>
  <si>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</si>
  <si>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</si>
  <si>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</si>
  <si>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</si>
  <si>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</si>
  <si>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</si>
  <si>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</si>
  <si>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</si>
  <si>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</si>
  <si>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</si>
  <si>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</si>
  <si>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</si>
  <si>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</si>
  <si>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</si>
  <si>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</si>
  <si>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</si>
  <si>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</si>
  <si>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</si>
  <si>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</si>
  <si>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</si>
  <si>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</si>
  <si>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</si>
  <si>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</si>
  <si>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</si>
  <si>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</si>
  <si>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</si>
  <si>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</si>
  <si>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</si>
  <si>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</si>
  <si>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</si>
  <si>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</si>
  <si>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</si>
  <si>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</si>
  <si>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</si>
  <si>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</si>
  <si>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</si>
  <si>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</si>
  <si>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</si>
  <si>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</si>
  <si>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</si>
  <si>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</si>
  <si>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</si>
  <si>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</si>
  <si>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</si>
  <si>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</si>
  <si>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</si>
  <si>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</si>
  <si>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</si>
  <si>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</si>
  <si>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</si>
  <si>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</si>
  <si>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</si>
  <si>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</si>
  <si>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</si>
  <si>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</si>
  <si>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</si>
  <si>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</si>
  <si>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</si>
  <si>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</si>
  <si>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</si>
  <si>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</si>
  <si>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</si>
  <si>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</si>
  <si>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</si>
  <si>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</si>
  <si>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</si>
  <si>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</si>
  <si>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</si>
  <si>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</si>
  <si>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</si>
  <si>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</si>
  <si>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</si>
  <si>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</si>
  <si>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</si>
  <si>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</si>
  <si>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</si>
  <si>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</si>
  <si>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</si>
  <si>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</si>
  <si>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</si>
  <si>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</si>
  <si>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</si>
  <si>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</si>
  <si>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</si>
  <si>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</si>
  <si>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</si>
  <si>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</si>
  <si>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</si>
  <si>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</si>
  <si>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</si>
  <si>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</si>
  <si>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</si>
  <si>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</si>
  <si>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</si>
  <si>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</si>
  <si>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</si>
  <si>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</si>
  <si>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</si>
  <si>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</si>
  <si>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</si>
  <si>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</si>
  <si>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</si>
  <si>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</si>
  <si>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</si>
  <si>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</si>
  <si>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</si>
  <si>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</si>
  <si>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</si>
  <si>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</si>
  <si>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</si>
  <si>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</si>
  <si>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</si>
  <si>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</si>
  <si>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</si>
  <si>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</si>
  <si>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</si>
  <si>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</si>
  <si>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</si>
  <si>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</si>
  <si>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</si>
  <si>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</si>
  <si>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</si>
  <si>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</si>
  <si>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</si>
  <si>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</si>
  <si>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</si>
  <si>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</si>
  <si>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</si>
  <si>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</si>
  <si>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</si>
  <si>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</si>
  <si>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</si>
  <si>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</si>
  <si>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</si>
  <si>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</si>
  <si>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</si>
  <si>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</si>
  <si>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</si>
  <si>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</si>
  <si>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</si>
  <si>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</si>
  <si>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</si>
  <si>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</si>
  <si>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</si>
  <si>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</si>
  <si>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</si>
  <si>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</si>
  <si>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</si>
  <si>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</si>
  <si>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</si>
  <si>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</si>
  <si>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</si>
  <si>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</si>
  <si>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</si>
  <si>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</si>
  <si>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</si>
  <si>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</si>
  <si>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</si>
  <si>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</si>
  <si>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</si>
  <si>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</si>
  <si>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</si>
  <si>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</si>
  <si>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</si>
  <si>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</si>
  <si>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</si>
  <si>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</si>
  <si>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</si>
  <si>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</si>
  <si>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</si>
  <si>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</si>
  <si>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</si>
  <si>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</si>
  <si>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</si>
  <si>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</si>
  <si>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</si>
  <si>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</si>
  <si>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</si>
  <si>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</si>
  <si>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</si>
  <si>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</si>
  <si>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</si>
  <si>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</si>
  <si>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</si>
  <si>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</si>
  <si>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</si>
  <si>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</si>
  <si>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</si>
  <si>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</si>
  <si>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</si>
  <si>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</si>
  <si>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</si>
  <si>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</si>
  <si>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</si>
  <si>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</si>
  <si>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</si>
  <si>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</si>
  <si>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</si>
  <si>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</si>
  <si>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</si>
  <si>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</si>
  <si>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</si>
  <si>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</si>
  <si>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</si>
  <si>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</si>
  <si>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</si>
  <si>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</si>
  <si>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</si>
  <si>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</si>
  <si>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</si>
  <si>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</si>
  <si>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</si>
  <si>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</si>
  <si>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</si>
  <si>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</si>
  <si>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</si>
  <si>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</si>
  <si>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</si>
  <si>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</si>
  <si>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</si>
  <si>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</si>
  <si>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</si>
  <si>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</si>
  <si>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</si>
  <si>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</si>
  <si>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</si>
  <si>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</si>
  <si>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</si>
  <si>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</si>
  <si>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</si>
  <si>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</si>
  <si>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</si>
  <si>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</si>
  <si>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</si>
  <si>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</si>
  <si>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</si>
  <si>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</si>
  <si>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</si>
  <si>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</si>
  <si>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</si>
  <si>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</si>
  <si>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</si>
  <si>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</si>
  <si>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</si>
  <si>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</si>
  <si>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</si>
  <si>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</si>
  <si>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</si>
  <si>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</si>
  <si>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</si>
  <si>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</si>
  <si>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</si>
  <si>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</si>
  <si>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</si>
  <si>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</si>
  <si>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</si>
  <si>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</si>
  <si>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</si>
  <si>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</si>
  <si>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</si>
  <si>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</si>
  <si>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</si>
  <si>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</si>
  <si>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</si>
  <si>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</si>
  <si>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</si>
  <si>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</si>
  <si>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</si>
  <si>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</si>
  <si>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</si>
  <si>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</si>
  <si>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</si>
  <si>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</si>
  <si>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</si>
  <si>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C:\ВИДЕОНАБЛЮДЕНИЕ\19 Хронометраж\captrue\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</si>
  <si>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</si>
  <si>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</si>
  <si>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</si>
  <si>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</si>
  <si>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</si>
  <si>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</si>
  <si>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</si>
  <si>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</si>
  <si>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</si>
  <si>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</si>
  <si>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</si>
  <si>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</si>
  <si>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</si>
  <si>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</si>
  <si>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</si>
  <si>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</si>
  <si>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</si>
  <si>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</si>
  <si>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</si>
  <si>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</si>
  <si>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</si>
  <si>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</si>
  <si>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</si>
  <si>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</si>
  <si>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</si>
  <si>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</si>
  <si>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</si>
  <si>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</si>
  <si>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</si>
  <si>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</si>
  <si>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</si>
  <si>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</si>
  <si>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</si>
  <si>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</si>
  <si>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</si>
  <si>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</si>
  <si>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</si>
  <si>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</si>
  <si>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</si>
  <si>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</si>
  <si>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</si>
  <si>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</si>
  <si>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</si>
  <si>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</si>
  <si>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</si>
  <si>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</si>
  <si>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</si>
  <si>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</si>
  <si>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</si>
  <si>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</si>
  <si>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</si>
  <si>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</si>
  <si>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</si>
  <si>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</si>
  <si>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</si>
  <si>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</si>
  <si>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</si>
  <si>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</si>
  <si>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</si>
  <si>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</si>
  <si>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</si>
  <si>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</si>
  <si>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</si>
  <si>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</si>
  <si>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</si>
  <si>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</si>
  <si>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</si>
  <si>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</si>
  <si>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</si>
  <si>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</si>
  <si>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</si>
  <si>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</si>
  <si>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</si>
  <si>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</si>
  <si>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</si>
  <si>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</si>
  <si>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</si>
  <si>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</si>
  <si>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</si>
  <si>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</si>
  <si>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</si>
  <si>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</si>
  <si>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</si>
  <si>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</si>
  <si>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</si>
  <si>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</si>
  <si>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</si>
  <si>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</si>
  <si>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</si>
  <si>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</si>
  <si>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</si>
  <si>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</si>
  <si>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</si>
  <si>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</si>
  <si>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</si>
  <si>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</si>
  <si>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</si>
  <si>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</si>
  <si>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</si>
  <si>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</si>
  <si>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</si>
  <si>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</si>
  <si>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</si>
  <si>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</si>
  <si>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</si>
  <si>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</si>
  <si>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</si>
  <si>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</si>
  <si>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</si>
  <si>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</si>
  <si>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</si>
  <si>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</si>
  <si>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</si>
  <si>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</si>
  <si>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</si>
  <si>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</si>
  <si>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</si>
  <si>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</si>
  <si>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</si>
  <si>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</si>
  <si>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</si>
  <si>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</si>
  <si>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</si>
  <si>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</si>
  <si>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</si>
  <si>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</si>
  <si>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</si>
  <si>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</si>
  <si>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</si>
  <si>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</si>
  <si>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</si>
  <si>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</si>
  <si>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</si>
  <si>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</si>
  <si>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</si>
  <si>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</si>
  <si>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</si>
  <si>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</si>
  <si>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</si>
  <si>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</si>
  <si>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</si>
  <si>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</si>
  <si>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</si>
  <si>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</si>
  <si>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</si>
  <si>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</si>
  <si>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</si>
  <si>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</si>
  <si>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</si>
  <si>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</si>
  <si>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</si>
  <si>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</si>
  <si>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</si>
  <si>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</si>
  <si>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</si>
  <si>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</si>
  <si>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</si>
  <si>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</si>
  <si>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</si>
  <si>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</si>
  <si>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</si>
  <si>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</si>
  <si>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</si>
  <si>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</si>
  <si>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</si>
  <si>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</si>
  <si>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</si>
  <si>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</si>
  <si>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</si>
  <si>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</si>
  <si>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</si>
  <si>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</si>
  <si>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</si>
  <si>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</si>
  <si>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</si>
  <si>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</si>
  <si>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</si>
  <si>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</si>
  <si>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</si>
  <si>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</si>
  <si>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</si>
  <si>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</si>
  <si>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</si>
  <si>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</si>
  <si>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</si>
  <si>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</si>
  <si>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</si>
  <si>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</si>
  <si>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</si>
  <si>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</si>
  <si>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</si>
  <si>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</si>
  <si>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</si>
  <si>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</si>
  <si>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</si>
  <si>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</si>
  <si>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</si>
  <si>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</si>
  <si>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</si>
  <si>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</si>
  <si>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</si>
  <si>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</si>
  <si>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</si>
  <si>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</si>
  <si>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</si>
  <si>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</si>
  <si>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</si>
  <si>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</si>
  <si>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</si>
  <si>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</si>
  <si>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</si>
  <si>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</si>
  <si>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</si>
  <si>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</si>
  <si>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</si>
  <si>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</si>
  <si>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</si>
  <si>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</si>
  <si>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</si>
  <si>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</si>
  <si>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</si>
  <si>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</si>
  <si>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</si>
  <si>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</si>
  <si>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</si>
  <si>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</si>
  <si>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</si>
  <si>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</si>
  <si>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</si>
  <si>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</si>
  <si>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</si>
  <si>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</si>
  <si>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</si>
  <si>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</si>
  <si>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</si>
  <si>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</si>
  <si>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</si>
  <si>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</si>
  <si>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</si>
  <si>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</si>
  <si>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</si>
  <si>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</si>
  <si>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</si>
  <si>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</si>
  <si>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</si>
  <si>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</si>
  <si>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</si>
  <si>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</si>
  <si>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</si>
  <si>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</si>
  <si>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</si>
  <si>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</si>
  <si>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</si>
  <si>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</si>
  <si>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</si>
  <si>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</si>
  <si>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</si>
  <si>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</si>
  <si>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</si>
  <si>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</si>
  <si>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</si>
  <si>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</si>
  <si>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</si>
  <si>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</si>
  <si>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</si>
  <si>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</si>
  <si>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</si>
  <si>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</si>
  <si>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</si>
  <si>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</si>
  <si>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</si>
  <si>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</si>
  <si>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</si>
  <si>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</si>
  <si>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</si>
  <si>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</si>
  <si>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</si>
  <si>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</si>
  <si>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</si>
  <si>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</si>
  <si>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</si>
  <si>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</si>
  <si>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</si>
  <si>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</si>
  <si>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</si>
  <si>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</si>
  <si>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</si>
  <si>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</si>
  <si>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</si>
  <si>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</si>
  <si>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</si>
  <si>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</si>
  <si>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</si>
  <si>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</si>
  <si>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</si>
  <si>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</si>
  <si>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</si>
  <si>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</si>
  <si>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</si>
  <si>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</si>
  <si>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</si>
  <si>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</si>
  <si>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</si>
  <si>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</si>
  <si>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</si>
  <si>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</si>
  <si>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</si>
  <si>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</si>
  <si>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</si>
  <si>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</si>
  <si>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</si>
  <si>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</si>
  <si>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</si>
  <si>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</si>
  <si>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</si>
  <si>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</si>
  <si>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</si>
  <si>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</si>
  <si>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</si>
  <si>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</si>
  <si>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</si>
  <si>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</si>
  <si>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</si>
  <si>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</si>
  <si>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</si>
  <si>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</si>
  <si>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</si>
  <si>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</si>
  <si>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</si>
  <si>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</si>
  <si>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</si>
  <si>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</si>
  <si>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</si>
  <si>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</si>
  <si>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</si>
  <si>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</si>
  <si>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</si>
  <si>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</si>
  <si>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</si>
  <si>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</si>
  <si>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</si>
  <si>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</si>
  <si>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</si>
  <si>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</si>
  <si>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</si>
  <si>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</si>
  <si>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</si>
  <si>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</si>
  <si>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</si>
  <si>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</si>
  <si>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</si>
  <si>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</si>
  <si>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</si>
  <si>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</si>
  <si>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</si>
  <si>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</si>
  <si>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</si>
  <si>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</si>
  <si>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</si>
  <si>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</si>
  <si>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</si>
  <si>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</si>
  <si>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</si>
  <si>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</si>
  <si>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</si>
  <si>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</si>
  <si>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</si>
  <si>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</si>
  <si>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</si>
  <si>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</si>
  <si>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</si>
  <si>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</si>
  <si>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</si>
  <si>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</si>
  <si>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</si>
  <si>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</si>
  <si>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</si>
  <si>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</si>
  <si>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</si>
  <si>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</si>
  <si>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</si>
  <si>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</si>
  <si>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</si>
  <si>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</si>
  <si>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</si>
  <si>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</si>
  <si>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</si>
  <si>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</si>
  <si>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</si>
  <si>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</si>
  <si>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</si>
  <si>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</si>
  <si>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</si>
  <si>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</si>
  <si>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</si>
  <si>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</si>
  <si>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</si>
  <si>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</si>
  <si>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</si>
  <si>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</si>
  <si>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</si>
  <si>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</si>
  <si>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</si>
  <si>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</si>
  <si>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</si>
  <si>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</si>
  <si>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</si>
  <si>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</si>
  <si>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</si>
  <si>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</si>
  <si>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</si>
  <si>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</si>
  <si>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</si>
  <si>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</si>
  <si>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</si>
  <si>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</si>
  <si>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</si>
  <si>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</si>
  <si>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</si>
  <si>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</si>
  <si>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</si>
  <si>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</si>
  <si>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</si>
  <si>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</si>
  <si>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</si>
  <si>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</si>
  <si>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</si>
  <si>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</si>
  <si>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</si>
  <si>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</si>
  <si>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</si>
  <si>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</si>
  <si>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</si>
  <si>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</si>
  <si>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</si>
  <si>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</si>
  <si>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</si>
  <si>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</si>
  <si>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</si>
  <si>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</si>
  <si>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</si>
  <si>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</si>
  <si>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</si>
  <si>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</si>
  <si>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</si>
  <si>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</si>
  <si>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</si>
  <si>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</si>
  <si>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</si>
  <si>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</si>
  <si>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</si>
  <si>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</si>
  <si>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</si>
  <si>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</si>
  <si>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</si>
  <si>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</si>
  <si>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</si>
  <si>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</si>
  <si>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</si>
  <si>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</si>
  <si>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</si>
  <si>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</si>
  <si>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</si>
  <si>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</si>
  <si>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</si>
  <si>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</si>
  <si>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</si>
  <si>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</si>
  <si>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</si>
  <si>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</si>
  <si>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</si>
  <si>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</si>
  <si>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</si>
  <si>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</si>
  <si>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</si>
  <si>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</si>
  <si>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</si>
  <si>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</si>
  <si>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</si>
  <si>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</si>
  <si>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</si>
  <si>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</si>
  <si>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</si>
  <si>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</si>
  <si>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</si>
  <si>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</si>
  <si>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</si>
  <si>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</si>
  <si>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</si>
  <si>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</si>
  <si>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</si>
  <si>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</si>
  <si>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</si>
  <si>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</si>
  <si>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</si>
  <si>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</si>
  <si>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</si>
  <si>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</si>
  <si>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</si>
  <si>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</si>
  <si>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</si>
  <si>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</si>
  <si>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</si>
  <si>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</si>
  <si>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</si>
  <si>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</si>
  <si>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</si>
  <si>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</si>
  <si>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</si>
  <si>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</si>
  <si>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</si>
  <si>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</si>
  <si>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</si>
  <si>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</si>
  <si>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</si>
  <si>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</si>
  <si>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</si>
  <si>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</si>
  <si>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</si>
  <si>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</si>
  <si>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</si>
  <si>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</si>
  <si>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</si>
  <si>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</si>
  <si>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</si>
  <si>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</si>
  <si>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</si>
  <si>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</si>
  <si>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</si>
  <si>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</si>
  <si>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</si>
  <si>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</si>
  <si>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</si>
  <si>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</si>
  <si>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</si>
  <si>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</si>
  <si>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</si>
  <si>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</si>
  <si>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</si>
  <si>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</si>
  <si>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</si>
  <si>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</si>
  <si>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</si>
  <si>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</si>
  <si>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</si>
  <si>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</si>
  <si>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</si>
  <si>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</si>
  <si>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</si>
  <si>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</si>
  <si>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</si>
  <si>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</si>
  <si>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</si>
  <si>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</si>
  <si>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</si>
  <si>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</si>
  <si>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</si>
  <si>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</si>
  <si>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</si>
  <si>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</si>
  <si>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</si>
  <si>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</si>
  <si>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</si>
  <si>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</si>
  <si>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</si>
  <si>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</si>
  <si>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</si>
  <si>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</si>
  <si>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</si>
  <si>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</si>
  <si>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</si>
  <si>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</si>
  <si>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</si>
  <si>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</si>
  <si>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</si>
  <si>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</si>
  <si>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</si>
  <si>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</si>
  <si>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</si>
  <si>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</si>
  <si>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</si>
  <si>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</si>
  <si>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</si>
  <si>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</si>
  <si>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</si>
  <si>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</si>
  <si>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</si>
  <si>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</si>
  <si>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</si>
  <si>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</si>
  <si>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</si>
  <si>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</si>
  <si>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</si>
  <si>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</si>
  <si>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</si>
  <si>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</si>
  <si>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</si>
  <si>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</si>
  <si>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</si>
  <si>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</si>
  <si>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</si>
  <si>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</si>
  <si>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</si>
  <si>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</si>
  <si>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</si>
  <si>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</si>
  <si>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</si>
  <si>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</si>
  <si>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</si>
  <si>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</si>
  <si>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</si>
  <si>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</si>
  <si>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</si>
  <si>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</si>
  <si>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</si>
  <si>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</si>
  <si>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</si>
  <si>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</si>
  <si>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</si>
  <si>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</si>
  <si>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</si>
  <si>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</si>
  <si>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</si>
  <si>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</si>
  <si>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</si>
  <si>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</si>
  <si>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</si>
  <si>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</si>
  <si>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</si>
  <si>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</si>
  <si>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</si>
  <si>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</si>
  <si>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</si>
  <si>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</si>
  <si>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</si>
  <si>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</si>
  <si>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</si>
  <si>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</si>
  <si>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</si>
  <si>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</si>
  <si>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</si>
  <si>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</si>
  <si>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</si>
  <si>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</si>
  <si>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</si>
  <si>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</si>
  <si>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</si>
  <si>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</si>
  <si>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</si>
  <si>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</si>
  <si>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</si>
  <si>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</si>
  <si>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</si>
  <si>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</si>
  <si>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</si>
  <si>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</si>
  <si>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</si>
  <si>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</si>
  <si>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</si>
  <si>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</si>
  <si>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</si>
  <si>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</si>
  <si>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</si>
  <si>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</si>
  <si>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</si>
  <si>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</si>
  <si>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</si>
  <si>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</si>
  <si>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</si>
  <si>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</si>
  <si>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</si>
  <si>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</si>
  <si>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</si>
  <si>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</si>
  <si>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</si>
  <si>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</si>
  <si>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</si>
  <si>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</si>
  <si>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</si>
  <si>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</si>
  <si>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</si>
  <si>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</si>
  <si>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</si>
  <si>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</si>
  <si>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</si>
  <si>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</si>
  <si>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</si>
  <si>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</si>
  <si>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</si>
  <si>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</si>
  <si>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</si>
  <si>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</si>
  <si>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</si>
  <si>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</si>
  <si>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</si>
  <si>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</si>
  <si>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</si>
  <si>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</si>
  <si>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</si>
  <si>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</si>
  <si>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</si>
  <si>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</si>
  <si>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</si>
  <si>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</si>
  <si>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</si>
  <si>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</si>
  <si>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</si>
  <si>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</si>
  <si>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</si>
  <si>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</si>
  <si>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</si>
  <si>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</si>
  <si>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</si>
  <si>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</si>
  <si>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</si>
  <si>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</si>
  <si>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</si>
  <si>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</si>
  <si>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</si>
  <si>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</si>
  <si>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</si>
  <si>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</si>
  <si>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</si>
  <si>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</si>
  <si>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</si>
  <si>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</si>
  <si>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</si>
  <si>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</si>
  <si>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</si>
  <si>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</si>
  <si>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</si>
  <si>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</si>
  <si>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</si>
  <si>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</si>
  <si>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</si>
  <si>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</si>
  <si>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</si>
  <si>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</si>
  <si>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</si>
  <si>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</si>
  <si>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</si>
  <si>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</si>
  <si>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</si>
  <si>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</si>
  <si>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</si>
  <si>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</si>
  <si>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</si>
  <si>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</si>
  <si>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</si>
  <si>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</si>
  <si>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</si>
  <si>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</si>
  <si>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</si>
  <si>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</si>
  <si>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</si>
  <si>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</si>
  <si>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</si>
  <si>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</si>
  <si>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</si>
  <si>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</si>
  <si>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</si>
  <si>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</si>
  <si>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</si>
  <si>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</si>
  <si>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</si>
  <si>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</si>
  <si>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</si>
  <si>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</si>
  <si>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</si>
  <si>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</si>
  <si>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</si>
  <si>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</si>
  <si>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</si>
  <si>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</si>
  <si>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</si>
  <si>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</si>
  <si>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</si>
  <si>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</si>
  <si>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</si>
  <si>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</si>
  <si>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</si>
  <si>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</si>
  <si>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</si>
  <si>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</si>
  <si>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</si>
  <si>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</si>
  <si>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</si>
  <si>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</si>
  <si>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</si>
  <si>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</si>
  <si>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</si>
  <si>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</si>
  <si>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</si>
  <si>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</si>
  <si>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</si>
  <si>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</si>
  <si>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</si>
  <si>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</si>
  <si>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</si>
  <si>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</si>
  <si>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</si>
  <si>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</si>
  <si>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</si>
  <si>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</si>
  <si>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</si>
  <si>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</si>
  <si>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</si>
  <si>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</si>
  <si>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</si>
  <si>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</si>
  <si>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</si>
  <si>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</si>
  <si>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</si>
  <si>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</si>
  <si>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</si>
  <si>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</si>
  <si>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</si>
  <si>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</si>
  <si>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</si>
  <si>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</si>
  <si>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</si>
  <si>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</si>
  <si>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</si>
  <si>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</si>
  <si>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</si>
  <si>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</si>
  <si>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</si>
  <si>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</si>
  <si>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</si>
  <si>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</si>
  <si>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</si>
  <si>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</si>
  <si>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</si>
  <si>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</si>
  <si>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</si>
  <si>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</si>
  <si>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</si>
  <si>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</si>
  <si>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</si>
  <si>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</si>
  <si>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</si>
  <si>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</si>
  <si>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</si>
  <si>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</si>
  <si>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</si>
  <si>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</si>
  <si>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</si>
  <si>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</si>
  <si>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</si>
  <si>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</si>
  <si>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</si>
  <si>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</si>
  <si>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</si>
  <si>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</si>
  <si>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</si>
  <si>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</si>
  <si>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</si>
  <si>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</si>
  <si>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</si>
  <si>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</si>
  <si>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</si>
  <si>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</si>
  <si>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</si>
  <si>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</si>
  <si>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</si>
  <si>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</si>
  <si>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</si>
  <si>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</si>
  <si>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</si>
  <si>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</si>
  <si>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</si>
  <si>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</si>
  <si>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</si>
  <si>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</si>
  <si>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</si>
  <si>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</si>
  <si>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</si>
  <si>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</si>
  <si>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</si>
  <si>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</si>
  <si>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</si>
  <si>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</si>
  <si>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</si>
  <si>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</si>
  <si>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</si>
  <si>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</si>
  <si>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</si>
  <si>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</si>
  <si>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</si>
  <si>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</si>
  <si>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</si>
  <si>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</si>
  <si>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</si>
  <si>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</si>
  <si>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</si>
  <si>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</si>
  <si>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</si>
  <si>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</si>
  <si>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</si>
  <si>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</si>
  <si>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</si>
  <si>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</si>
  <si>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</si>
  <si>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</si>
  <si>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</si>
  <si>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</si>
  <si>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</si>
  <si>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</si>
  <si>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</si>
  <si>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</si>
  <si>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</si>
  <si>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</si>
  <si>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</si>
  <si>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</si>
  <si>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</si>
  <si>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</si>
  <si>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</si>
  <si>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</si>
  <si>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</si>
  <si>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</si>
  <si>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</si>
  <si>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</si>
  <si>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</si>
  <si>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</si>
  <si>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</si>
  <si>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</si>
  <si>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</si>
  <si>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</si>
  <si>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</si>
  <si>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</si>
  <si>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</si>
  <si>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</si>
  <si>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</si>
  <si>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</si>
  <si>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</si>
  <si>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</si>
  <si>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</si>
  <si>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</si>
  <si>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</si>
  <si>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</si>
  <si>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</si>
  <si>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</si>
  <si>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</si>
  <si>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</si>
  <si>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</si>
  <si>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</si>
  <si>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</si>
  <si>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</si>
  <si>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</si>
  <si>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</si>
  <si>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</si>
  <si>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</si>
  <si>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</si>
  <si>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</si>
  <si>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</si>
  <si>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</si>
  <si>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</si>
  <si>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</si>
  <si>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</si>
  <si>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</si>
  <si>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</si>
  <si>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</si>
  <si>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</si>
  <si>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</si>
  <si>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</si>
  <si>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</si>
  <si>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</si>
  <si>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</si>
  <si>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</si>
  <si>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</si>
  <si>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</si>
  <si>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</si>
  <si>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</si>
  <si>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</si>
  <si>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</si>
  <si>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</si>
  <si>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</si>
  <si>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</si>
  <si>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</si>
  <si>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</si>
  <si>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</si>
  <si>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</si>
  <si>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</si>
  <si>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</si>
  <si>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</si>
  <si>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</si>
  <si>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</si>
  <si>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</si>
  <si>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</si>
  <si>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</si>
  <si>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</si>
  <si>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</si>
  <si>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</si>
  <si>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</si>
  <si>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</si>
  <si>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</si>
  <si>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</si>
  <si>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</si>
  <si>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</si>
  <si>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</si>
  <si>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</si>
  <si>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</si>
  <si>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</si>
  <si>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</si>
  <si>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</si>
  <si>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</si>
  <si>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</si>
  <si>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</si>
  <si>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</si>
  <si>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</si>
  <si>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</si>
  <si>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</si>
  <si>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</si>
  <si>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</si>
  <si>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</si>
  <si>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</si>
  <si>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</si>
  <si>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</si>
  <si>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</si>
  <si>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</si>
  <si>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</si>
  <si>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</si>
  <si>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</si>
  <si>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</si>
  <si>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</si>
  <si>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</si>
  <si>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</si>
  <si>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</si>
  <si>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</si>
  <si>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</si>
  <si>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</si>
  <si>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</si>
  <si>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</si>
  <si>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</si>
  <si>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</si>
  <si>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</si>
  <si>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</si>
  <si>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</si>
  <si>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</si>
  <si>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</si>
  <si>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</si>
  <si>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</si>
  <si>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</si>
  <si>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</si>
  <si>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</si>
  <si>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</si>
  <si>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</si>
  <si>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</si>
  <si>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</si>
  <si>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</si>
  <si>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</si>
  <si>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</si>
  <si>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</si>
  <si>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</si>
  <si>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</si>
  <si>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</si>
  <si>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</si>
  <si>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</si>
  <si>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</si>
  <si>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</si>
  <si>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</si>
  <si>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</si>
  <si>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</si>
  <si>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</si>
  <si>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</si>
  <si>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</si>
  <si>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</si>
  <si>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</si>
  <si>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</si>
  <si>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</si>
  <si>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</si>
  <si>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</si>
  <si>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</si>
  <si>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</si>
  <si>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</si>
  <si>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</si>
  <si>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</si>
  <si>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</si>
  <si>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</si>
  <si>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</si>
  <si>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</si>
  <si>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</si>
  <si>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</si>
  <si>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</si>
  <si>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</si>
  <si>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</si>
  <si>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</si>
  <si>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</si>
  <si>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</si>
  <si>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</si>
  <si>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</si>
  <si>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</si>
  <si>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</si>
  <si>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</si>
  <si>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</si>
  <si>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</si>
  <si>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</si>
  <si>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</si>
  <si>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</si>
  <si>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</si>
  <si>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</si>
  <si>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</si>
  <si>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</si>
  <si>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</si>
  <si>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</si>
  <si>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</si>
  <si>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</si>
  <si>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</si>
  <si>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</si>
  <si>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</si>
  <si>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</si>
  <si>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</si>
  <si>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</si>
  <si>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</si>
  <si>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</si>
  <si>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</si>
  <si>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</si>
  <si>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</si>
  <si>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</si>
  <si>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</si>
  <si>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</si>
  <si>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</si>
  <si>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</si>
  <si>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</si>
  <si>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</si>
  <si>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</si>
  <si>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</si>
  <si>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</si>
  <si>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</si>
  <si>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</si>
  <si>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</si>
  <si>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</si>
  <si>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</si>
  <si>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</si>
  <si>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</si>
  <si>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</si>
  <si>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</si>
  <si>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</si>
  <si>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</si>
  <si>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</si>
  <si>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</si>
  <si>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</si>
  <si>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</si>
  <si>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</si>
  <si>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</si>
  <si>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</si>
  <si>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</si>
  <si>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</si>
  <si>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</si>
  <si>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</si>
  <si>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</si>
  <si>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</si>
  <si>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</si>
  <si>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</si>
  <si>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</si>
  <si>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</si>
  <si>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</si>
  <si>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</si>
  <si>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</si>
  <si>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</si>
  <si>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</si>
  <si>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</si>
  <si>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</si>
  <si>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</si>
  <si>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</si>
  <si>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</si>
  <si>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</si>
  <si>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</si>
  <si>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</si>
  <si>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</si>
  <si>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</si>
  <si>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</si>
  <si>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</si>
  <si>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</si>
  <si>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</si>
  <si>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</si>
  <si>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</si>
  <si>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</si>
  <si>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</si>
  <si>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</si>
  <si>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</si>
  <si>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</si>
  <si>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</si>
  <si>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</si>
  <si>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</si>
  <si>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</si>
  <si>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</si>
  <si>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</si>
  <si>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</si>
  <si>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</si>
  <si>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</si>
  <si>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</si>
  <si>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</si>
  <si>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</si>
  <si>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</si>
  <si>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</si>
  <si>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</si>
  <si>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</si>
  <si>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</si>
  <si>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</si>
  <si>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</si>
  <si>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</si>
  <si>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</si>
  <si>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</si>
  <si>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</si>
  <si>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</si>
  <si>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</si>
  <si>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</si>
  <si>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</si>
  <si>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</si>
  <si>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</si>
  <si>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</si>
  <si>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</si>
  <si>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</si>
  <si>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</si>
  <si>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</si>
  <si>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</si>
  <si>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</si>
  <si>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</si>
  <si>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</si>
  <si>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</si>
  <si>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</si>
  <si>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</si>
  <si>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</si>
  <si>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</si>
  <si>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</si>
  <si>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</si>
  <si>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</si>
  <si>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</si>
  <si>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</si>
  <si>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</si>
  <si>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</si>
  <si>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</si>
  <si>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</si>
  <si>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</si>
  <si>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</si>
  <si>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</si>
  <si>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</si>
  <si>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</si>
  <si>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</si>
  <si>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</si>
  <si>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</si>
  <si>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</si>
  <si>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</si>
  <si>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</si>
  <si>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</si>
  <si>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</si>
  <si>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</si>
  <si>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</si>
  <si>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</si>
  <si>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</si>
  <si>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</si>
  <si>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</si>
  <si>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</si>
  <si>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</si>
  <si>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</si>
  <si>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</si>
  <si>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</si>
  <si>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</si>
  <si>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</si>
  <si>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</si>
  <si>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</si>
  <si>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</si>
  <si>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</si>
  <si>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</si>
  <si>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</si>
  <si>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</si>
  <si>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</si>
  <si>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</si>
  <si>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</si>
  <si>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</si>
  <si>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</si>
  <si>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</si>
  <si>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</si>
  <si>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</si>
  <si>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</si>
  <si>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</si>
  <si>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</si>
  <si>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</si>
  <si>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</si>
  <si>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</si>
  <si>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</si>
  <si>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</si>
  <si>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</si>
  <si>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</si>
  <si>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</si>
  <si>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</si>
  <si>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</si>
  <si>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</si>
  <si>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</si>
  <si>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</si>
  <si>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</si>
  <si>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</si>
  <si>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</si>
  <si>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</si>
  <si>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</si>
  <si>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</si>
  <si>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</si>
  <si>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</si>
  <si>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</si>
  <si>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</si>
  <si>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</si>
  <si>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</si>
  <si>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</si>
  <si>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</si>
  <si>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</si>
  <si>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</si>
  <si>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</si>
  <si>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</si>
  <si>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</si>
  <si>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</si>
  <si>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</si>
  <si>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</si>
  <si>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</si>
  <si>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</si>
  <si>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</si>
  <si>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</si>
  <si>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</si>
  <si>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</si>
  <si>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</si>
  <si>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</si>
  <si>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</si>
  <si>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</si>
  <si>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</si>
  <si>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</si>
  <si>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</si>
  <si>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</si>
  <si>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</si>
  <si>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</si>
  <si>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</si>
  <si>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</si>
  <si>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</si>
  <si>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</si>
  <si>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</si>
  <si>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</si>
  <si>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</si>
  <si>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</si>
  <si>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</si>
  <si>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</si>
  <si>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</si>
  <si>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</si>
  <si>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</si>
  <si>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</si>
  <si>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</si>
  <si>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</si>
  <si>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</si>
  <si>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</si>
  <si>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</si>
  <si>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</si>
  <si>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</si>
  <si>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</si>
  <si>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</si>
  <si>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</si>
  <si>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</si>
  <si>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</si>
  <si>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</si>
  <si>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</si>
  <si>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</si>
  <si>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</si>
  <si>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</si>
  <si>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</si>
  <si>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</si>
  <si>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</si>
  <si>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</si>
  <si>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</si>
  <si>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</si>
  <si>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</si>
  <si>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</si>
  <si>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</si>
  <si>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</si>
  <si>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</si>
  <si>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</si>
  <si>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</si>
  <si>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</si>
  <si>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</si>
  <si>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</si>
  <si>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</si>
  <si>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</si>
  <si>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</si>
  <si>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</si>
  <si>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</si>
  <si>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</si>
  <si>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</si>
  <si>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</si>
  <si>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</si>
  <si>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</si>
  <si>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</si>
  <si>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</si>
  <si>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</si>
  <si>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</si>
  <si>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</si>
  <si>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</si>
  <si>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</si>
  <si>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</si>
  <si>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</si>
  <si>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</si>
  <si>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</si>
  <si>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</si>
  <si>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</si>
  <si>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</si>
  <si>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</si>
  <si>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</si>
  <si>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</si>
  <si>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</si>
  <si>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</si>
  <si>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</si>
  <si>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</si>
  <si>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</si>
  <si>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</si>
  <si>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</si>
  <si>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</si>
  <si>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</si>
  <si>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</si>
  <si>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</si>
  <si>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</si>
  <si>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</si>
  <si>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</si>
  <si>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</si>
  <si>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</si>
  <si>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</si>
  <si>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</si>
  <si>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</si>
  <si>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</si>
  <si>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</si>
  <si>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</si>
  <si>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</si>
  <si>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</si>
  <si>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</si>
  <si>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</si>
  <si>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</si>
  <si>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</si>
  <si>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</si>
  <si>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</si>
  <si>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</si>
  <si>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</si>
  <si>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</si>
  <si>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</si>
  <si>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</si>
  <si>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</si>
  <si>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</si>
  <si>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</si>
  <si>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</si>
  <si>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</si>
  <si>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</si>
  <si>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</si>
  <si>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</si>
  <si>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</si>
  <si>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</si>
  <si>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</si>
  <si>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</si>
  <si>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</si>
  <si>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</si>
  <si>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</si>
  <si>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</si>
  <si>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</si>
  <si>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</si>
  <si>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</si>
  <si>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</si>
  <si>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</si>
  <si>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</si>
  <si>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</si>
  <si>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</si>
  <si>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</si>
  <si>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</si>
  <si>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</si>
  <si>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</si>
  <si>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</si>
  <si>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</si>
  <si>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</si>
  <si>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</si>
  <si>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</si>
  <si>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</si>
  <si>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</si>
  <si>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</si>
  <si>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</si>
  <si>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</si>
  <si>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</si>
  <si>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</si>
  <si>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</si>
  <si>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</si>
  <si>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</si>
  <si>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</si>
  <si>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</si>
  <si>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</si>
  <si>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</si>
  <si>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</si>
  <si>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</si>
  <si>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</si>
  <si>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</si>
  <si>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</si>
  <si>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</si>
  <si>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</si>
  <si>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</si>
  <si>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</si>
  <si>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</si>
  <si>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</si>
  <si>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</si>
  <si>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</si>
  <si>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</si>
  <si>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</si>
  <si>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</si>
  <si>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</si>
  <si>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</si>
  <si>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</si>
  <si>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</si>
  <si>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</si>
  <si>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</si>
  <si>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</si>
  <si>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</si>
  <si>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</si>
  <si>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</si>
  <si>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</si>
  <si>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</si>
  <si>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</si>
  <si>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</si>
  <si>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</si>
  <si>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</si>
  <si>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</si>
  <si>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</si>
  <si>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</si>
  <si>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</si>
  <si>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</si>
  <si>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</si>
  <si>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</si>
  <si>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</si>
  <si>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</si>
  <si>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</si>
  <si>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</si>
  <si>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</si>
  <si>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</si>
  <si>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</si>
  <si>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</si>
  <si>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</si>
  <si>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</si>
  <si>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</si>
  <si>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</si>
  <si>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</si>
  <si>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</si>
  <si>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</si>
  <si>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</si>
  <si>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</si>
  <si>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</si>
  <si>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</si>
  <si>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</si>
  <si>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</si>
  <si>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</si>
  <si>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</si>
  <si>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</si>
  <si>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</si>
  <si>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</si>
  <si>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</si>
  <si>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</si>
  <si>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</si>
  <si>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</si>
  <si>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</si>
  <si>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</si>
  <si>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</si>
  <si>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</si>
  <si>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</si>
  <si>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</si>
  <si>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</si>
  <si>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</si>
  <si>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</si>
  <si>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</si>
  <si>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</si>
  <si>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</si>
  <si>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</si>
  <si>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</si>
  <si>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</si>
  <si>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</si>
  <si>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</si>
  <si>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</si>
  <si>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</si>
  <si>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</si>
  <si>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</si>
  <si>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</si>
  <si>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</si>
  <si>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</si>
  <si>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</si>
  <si>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GA3948333_10_20260304T094343Z.jpg</t>
  </si>
  <si>
    <t>17 Площадка с навесом\GA3948333_10_20260304T094343Z.jpg</t>
  </si>
  <si>
    <t>ср 04.03.2026 — 09:43:43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</si>
  <si>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</si>
  <si>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</si>
  <si>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</si>
  <si>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</si>
  <si>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</si>
  <si>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</si>
  <si>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</si>
  <si>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</si>
  <si>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</si>
  <si>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</si>
  <si>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</si>
  <si>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</si>
  <si>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GA3948333_10_20260304T171007Z.jpg</t>
  </si>
  <si>
    <t>17 Площадка с навесом\GA3948333_10_20260304T171007Z.jpg</t>
  </si>
  <si>
    <t>ср 04.03.2026 — 17:10:07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</si>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</sst>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064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71" tableType="queryTable" totalsRowShown="0">
  <autoFilter ref="A1:N271" xr:uid="{B468AF39-21AE-47BD-BA18-EADB2FC1D520}"/>
  <tableColumns count="14">
    <tableColumn id="11" xr3:uid="{6F8E650D-029B-40AD-86B4-92C160128A4F}" uniqueName="11" name="День нед" queryTableFieldId="39" dataDxfId="86"/>
    <tableColumn id="8" xr3:uid="{7C2AA400-8F21-45B7-B47D-9CF2CFB5DD00}" uniqueName="8" name="Дата" queryTableFieldId="19" dataDxfId="85"/>
    <tableColumn id="9" xr3:uid="{7CB7ABF0-C98D-49E4-A494-985A43D5F40F}" uniqueName="9" name="Время" queryTableFieldId="20" dataDxfId="84"/>
    <tableColumn id="5" xr3:uid="{613A944B-9245-4C6D-9CCE-5037AD552DED}" uniqueName="5" name="Событие" queryTableFieldId="27" dataDxfId="1063"/>
    <tableColumn id="7" xr3:uid="{FFEA85A5-3527-4483-91CE-57F760AB9F33}" uniqueName="7" name="Объект" queryTableFieldId="29" dataDxfId="1062"/>
    <tableColumn id="10" xr3:uid="{A2E2C27E-C1B2-4B74-A427-E1854B0E2C76}" uniqueName="10" name="Груз" queryTableFieldId="30" dataDxfId="106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60"/>
    <tableColumn id="4" xr3:uid="{B2B57637-8A7D-4C5F-A6F8-E38F3EA43620}" uniqueName="4" name="Name" queryTableFieldId="14" dataDxfId="1059"/>
    <tableColumn id="1" xr3:uid="{79275791-6385-434B-9F1B-8BDC003824A7}" uniqueName="1" name="Folder Path" queryTableFieldId="11" dataDxfId="105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5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98" tableType="queryTable" totalsRowShown="0">
  <autoFilter ref="A1:M298" xr:uid="{B468AF39-21AE-47BD-BA18-EADB2FC1D520}"/>
  <tableColumns count="13">
    <tableColumn id="11" xr3:uid="{6804E693-7D64-41A5-9B58-B7D348C4DC92}" uniqueName="11" name="День нед" queryTableFieldId="39" dataDxfId="31"/>
    <tableColumn id="8" xr3:uid="{40827FD9-94EC-4CF6-B212-59CF3E913897}" uniqueName="8" name="Дата" queryTableFieldId="19" dataDxfId="30"/>
    <tableColumn id="9" xr3:uid="{1F8E8ADE-5BFB-4171-9A0A-859E22042D3B}" uniqueName="9" name="Время" queryTableFieldId="20" dataDxfId="29"/>
    <tableColumn id="5" xr3:uid="{9D19F2E1-3C70-4F2F-8ED7-6D41C17A9366}" uniqueName="5" name="Событие" queryTableFieldId="27" dataDxfId="1056"/>
    <tableColumn id="7" xr3:uid="{8C8CC69A-BA0A-4417-AE7D-B89E26F69F9B}" uniqueName="7" name="Объект" queryTableFieldId="29" dataDxfId="1055"/>
    <tableColumn id="10" xr3:uid="{375C36FB-077D-4AA3-B6F7-74ACE46C2638}" uniqueName="10" name="Груз" queryTableFieldId="30" dataDxfId="105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53"/>
    <tableColumn id="4" xr3:uid="{4A5BB282-D54C-4C68-A1D9-B3A819F9FCF6}" uniqueName="4" name="Name" queryTableFieldId="14" dataDxfId="1052"/>
    <tableColumn id="1" xr3:uid="{7BD19058-41FF-4EFE-8283-68501A5B1623}" uniqueName="1" name="Folder Path" queryTableFieldId="11" dataDxfId="105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2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02" tableType="queryTable" totalsRowShown="0">
  <autoFilter ref="A1:M202" xr:uid="{B468AF39-21AE-47BD-BA18-EADB2FC1D520}"/>
  <tableColumns count="13">
    <tableColumn id="11" xr3:uid="{8C7989A8-AE95-4BFB-859E-9F3F94DCD873}" uniqueName="11" name="День нед" queryTableFieldId="39" dataDxfId="82"/>
    <tableColumn id="8" xr3:uid="{B651DAE5-1AB7-4761-9820-CB58DA0D9C46}" uniqueName="8" name="Дата" queryTableFieldId="19" dataDxfId="81"/>
    <tableColumn id="9" xr3:uid="{22B6AE73-6E8B-4F81-B85C-3D141AD4D773}" uniqueName="9" name="Время" queryTableFieldId="20" dataDxfId="80"/>
    <tableColumn id="5" xr3:uid="{CB5AF0FF-A861-4F29-BFD9-751A47066C68}" uniqueName="5" name="Событие" queryTableFieldId="27" dataDxfId="1050"/>
    <tableColumn id="7" xr3:uid="{63916370-0910-4B95-ABB4-D88865AA9E43}" uniqueName="7" name="Объект" queryTableFieldId="29" dataDxfId="1049"/>
    <tableColumn id="10" xr3:uid="{DDC7656E-7390-4778-A2CE-EEC7AC518263}" uniqueName="10" name="Груз" queryTableFieldId="30" dataDxfId="104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47"/>
    <tableColumn id="4" xr3:uid="{96665EED-E1B8-437C-869A-35CB5BA419D3}" uniqueName="4" name="Name" queryTableFieldId="14" dataDxfId="1046"/>
    <tableColumn id="1" xr3:uid="{1F225BD8-B59D-4058-9D99-17124C1F38FB}" uniqueName="1" name="Folder Path" queryTableFieldId="11" dataDxfId="104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86" tableType="queryTable" totalsRowShown="0">
  <tableColumns count="13">
    <tableColumn id="11" xr3:uid="{F25D1388-C4DF-49FB-9BF5-0132CEDCCAEA}" uniqueName="11" name="День нед" queryTableFieldId="39" dataDxfId="27"/>
    <tableColumn id="8" xr3:uid="{9EDCCA26-9FD6-4F66-9134-186F89CA663B}" uniqueName="8" name="Дата" queryTableFieldId="19" dataDxfId="26"/>
    <tableColumn id="9" xr3:uid="{FB005DB9-8D3C-48A5-94F1-246606C665DD}" uniqueName="9" name="Время" queryTableFieldId="20" dataDxfId="25"/>
    <tableColumn id="5" xr3:uid="{6D19407C-64CF-4FC5-95E7-163AA12EB226}" uniqueName="5" name="Событие" queryTableFieldId="27" dataDxfId="1044"/>
    <tableColumn id="7" xr3:uid="{007BF834-0BCB-4416-8941-11DA4EDFCE5B}" uniqueName="7" name="Объект" queryTableFieldId="29" dataDxfId="1043"/>
    <tableColumn id="10" xr3:uid="{E896F002-4451-441D-B0CB-52AD69A6E5C3}" uniqueName="10" name="Груз" queryTableFieldId="30" dataDxfId="104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41"/>
    <tableColumn id="4" xr3:uid="{9F6560FA-27F8-4BE9-BA58-3B0E40F582E5}" uniqueName="4" name="Name" queryTableFieldId="14" dataDxfId="1040"/>
    <tableColumn id="1" xr3:uid="{44892CD0-9118-4535-9434-E49462140346}" uniqueName="1" name="Folder Path" queryTableFieldId="11" dataDxfId="103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2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75" tableType="queryTable" totalsRowShown="0">
  <tableColumns count="13">
    <tableColumn id="11" xr3:uid="{390CB009-E9E0-4C0F-93C3-AF6B408B816B}" uniqueName="11" name="День нед" queryTableFieldId="39" dataDxfId="23"/>
    <tableColumn id="8" xr3:uid="{E0A1C296-A368-479C-9A74-85306B3C03D4}" uniqueName="8" name="Дата" queryTableFieldId="19" dataDxfId="22"/>
    <tableColumn id="9" xr3:uid="{86401298-83EB-49D3-ACBA-E743586F5CCB}" uniqueName="9" name="Время" queryTableFieldId="20" dataDxfId="21"/>
    <tableColumn id="5" xr3:uid="{FFB4F03A-A400-4544-A729-2375A1F7D5E8}" uniqueName="5" name="Событие" queryTableFieldId="27" dataDxfId="1038"/>
    <tableColumn id="7" xr3:uid="{D96DCF3C-D325-4D0C-94A1-DBE97CC5C9DC}" uniqueName="7" name="Объект" queryTableFieldId="29" dataDxfId="1037"/>
    <tableColumn id="10" xr3:uid="{76D99262-42F5-447E-95AC-9C2A84BF344C}" uniqueName="10" name="Груз" queryTableFieldId="30" dataDxfId="103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35"/>
    <tableColumn id="4" xr3:uid="{D16AEB37-7A8A-406F-8ED7-B8D53BAA9BD9}" uniqueName="4" name="Name" queryTableFieldId="14" dataDxfId="1034"/>
    <tableColumn id="1" xr3:uid="{1746BE5F-089A-476F-AE8D-5F2B27E9AEEA}" uniqueName="1" name="Folder Path" queryTableFieldId="11" dataDxfId="103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2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33" tableType="queryTable" totalsRowShown="0">
  <tableColumns count="13">
    <tableColumn id="11" xr3:uid="{45D23538-AB74-404E-8577-E2B7A36436AF}" uniqueName="11" name="День нед" queryTableFieldId="39" dataDxfId="78"/>
    <tableColumn id="8" xr3:uid="{40B01B94-168F-4547-A2BC-AA7F91350AB3}" uniqueName="8" name="Дата" queryTableFieldId="19" dataDxfId="77"/>
    <tableColumn id="9" xr3:uid="{A2C94EFB-3081-4BA9-85C2-DFF0455AFA43}" uniqueName="9" name="Время" queryTableFieldId="20" dataDxfId="76"/>
    <tableColumn id="5" xr3:uid="{244D3D34-C9EC-4B9C-BE81-12A0C0BB4342}" uniqueName="5" name="Событие" queryTableFieldId="27" dataDxfId="1032"/>
    <tableColumn id="7" xr3:uid="{C449A112-E8A8-4956-B85C-2BA12316F170}" uniqueName="7" name="Объект" queryTableFieldId="29" dataDxfId="1031"/>
    <tableColumn id="10" xr3:uid="{C8411557-C312-4542-93DA-DF5949399E11}" uniqueName="10" name="Груз" queryTableFieldId="30" dataDxfId="103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29"/>
    <tableColumn id="4" xr3:uid="{6A396D44-0898-4737-A4C1-8D6D40981793}" uniqueName="4" name="Name" queryTableFieldId="14" dataDxfId="1028"/>
    <tableColumn id="1" xr3:uid="{328F21C9-48B9-4081-9B8C-BBD168BD38D1}" uniqueName="1" name="Folder Path" queryTableFieldId="11" dataDxfId="102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5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60" tableType="queryTable" totalsRowShown="0">
  <tableColumns count="13">
    <tableColumn id="11" xr3:uid="{2311EAC9-4673-4BE2-ADB0-E8CEB0BD9945}" uniqueName="11" name="День нед" queryTableFieldId="39" dataDxfId="74"/>
    <tableColumn id="8" xr3:uid="{F1C9804A-F8E7-4755-B717-859265C587A2}" uniqueName="8" name="Дата" queryTableFieldId="19" dataDxfId="73"/>
    <tableColumn id="9" xr3:uid="{1C2BA522-8D4F-4713-849C-1F60357B476E}" uniqueName="9" name="Время" queryTableFieldId="20" dataDxfId="72"/>
    <tableColumn id="5" xr3:uid="{6E084A00-DC62-4E93-8ABC-4651FD4D2408}" uniqueName="5" name="Событие" queryTableFieldId="27" dataDxfId="1026"/>
    <tableColumn id="7" xr3:uid="{C9F6EF14-DBE7-4655-9D20-5B253923C11E}" uniqueName="7" name="Объект" queryTableFieldId="29" dataDxfId="1025"/>
    <tableColumn id="10" xr3:uid="{0ADEC0F9-9FE9-4E92-BD38-0B8CDDE1BDBD}" uniqueName="10" name="Груз" queryTableFieldId="30" dataDxfId="102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23"/>
    <tableColumn id="4" xr3:uid="{FE606B6B-0A78-44A2-B44F-54FBA553BAD6}" uniqueName="4" name="Name" queryTableFieldId="14" dataDxfId="1022"/>
    <tableColumn id="1" xr3:uid="{34274AB2-665A-4EF1-8C79-4944C9C122A7}" uniqueName="1" name="Folder Path" queryTableFieldId="11" dataDxfId="102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377" tableType="queryTable" totalsRowShown="0">
  <tableColumns count="13">
    <tableColumn id="11" xr3:uid="{72CE202A-C56C-4D63-9F9F-0DFF72BB5190}" uniqueName="11" name="День нед" queryTableFieldId="39" dataDxfId="70"/>
    <tableColumn id="8" xr3:uid="{0D9F5C4C-70B0-46E2-9E29-649E206B6616}" uniqueName="8" name="Дата" queryTableFieldId="19" dataDxfId="69"/>
    <tableColumn id="9" xr3:uid="{7C8561D4-BD7D-493F-BC95-213F2D55F3FD}" uniqueName="9" name="Время" queryTableFieldId="20" dataDxfId="68"/>
    <tableColumn id="5" xr3:uid="{E48795B2-2732-4E4A-81E8-B1585581420B}" uniqueName="5" name="Событие" queryTableFieldId="27" dataDxfId="1020"/>
    <tableColumn id="7" xr3:uid="{F684EE24-0636-4EC2-AB94-A65EA5355534}" uniqueName="7" name="Объект" queryTableFieldId="29" dataDxfId="1019"/>
    <tableColumn id="10" xr3:uid="{0C1B5273-277F-4438-B52D-9F868AD13DEE}" uniqueName="10" name="Груз" queryTableFieldId="30" dataDxfId="101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17"/>
    <tableColumn id="4" xr3:uid="{729433F6-F4FD-435B-851D-D34CC9060068}" uniqueName="4" name="Name" queryTableFieldId="14" dataDxfId="1016"/>
    <tableColumn id="1" xr3:uid="{7A9B9B80-B872-4A82-9D9D-98A75E20F89B}" uniqueName="1" name="Folder Path" queryTableFieldId="11" dataDxfId="101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69" tableType="queryTable" totalsRowShown="0">
  <tableColumns count="13">
    <tableColumn id="11" xr3:uid="{2CE691F0-1D02-41BD-8E81-7716875609CD}" uniqueName="11" name="День нед" queryTableFieldId="39" dataDxfId="66"/>
    <tableColumn id="8" xr3:uid="{1A2A3B97-F602-468E-8AD3-5DD492638A71}" uniqueName="8" name="Дата" queryTableFieldId="19" dataDxfId="65"/>
    <tableColumn id="9" xr3:uid="{E8725BDD-FF6C-47C3-9100-825160B93721}" uniqueName="9" name="Время" queryTableFieldId="20" dataDxfId="64"/>
    <tableColumn id="5" xr3:uid="{F68EB906-7F6F-4765-A5C8-9B40064179BE}" uniqueName="5" name="Событие" queryTableFieldId="27" dataDxfId="1014"/>
    <tableColumn id="7" xr3:uid="{812FE0F9-0D7E-497C-893A-B104BA069155}" uniqueName="7" name="Объект" queryTableFieldId="29" dataDxfId="1013"/>
    <tableColumn id="10" xr3:uid="{1679E688-A047-4936-9EBC-9BDCFEA4CD95}" uniqueName="10" name="Груз" queryTableFieldId="30" dataDxfId="1012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11"/>
    <tableColumn id="4" xr3:uid="{F9F7F55E-2CCF-4A6B-892F-1C76C0668832}" uniqueName="4" name="Name" queryTableFieldId="14" dataDxfId="1010"/>
    <tableColumn id="1" xr3:uid="{0AF9B05B-8D0E-4B8A-81D0-358A18429CE8}" uniqueName="1" name="Folder Path" queryTableFieldId="11" dataDxfId="1009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94" tableType="queryTable" totalsRowShown="0">
  <tableColumns count="13">
    <tableColumn id="11" xr3:uid="{96A6BDDB-7ED5-4607-80F3-3FD842EAEE0A}" uniqueName="11" name="День нед" queryTableFieldId="39" dataDxfId="62"/>
    <tableColumn id="8" xr3:uid="{FBEC9ECA-BD5C-442E-BB86-7CCAEF9464D2}" uniqueName="8" name="Дата" queryTableFieldId="19" dataDxfId="61"/>
    <tableColumn id="9" xr3:uid="{68242AF7-BC60-4380-843B-35A6CC4A66E6}" uniqueName="9" name="Время" queryTableFieldId="20" dataDxfId="60"/>
    <tableColumn id="5" xr3:uid="{C98BCFD6-9DE9-4A28-B769-F5737933429D}" uniqueName="5" name="Событие" queryTableFieldId="27" dataDxfId="1008"/>
    <tableColumn id="7" xr3:uid="{4D44F8D4-93A4-4851-894E-AC8CDD93BD71}" uniqueName="7" name="Объект" queryTableFieldId="29" dataDxfId="1007"/>
    <tableColumn id="10" xr3:uid="{0A838B00-A88A-40EE-A542-7E8E08968D89}" uniqueName="10" name="Груз" queryTableFieldId="30" dataDxfId="100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05"/>
    <tableColumn id="4" xr3:uid="{4FA2E248-D5A3-4824-875F-C328FA9AC2F9}" uniqueName="4" name="Name" queryTableFieldId="14" dataDxfId="1004"/>
    <tableColumn id="1" xr3:uid="{B01A6B83-82C4-4172-AD5B-D2AF410DBE1B}" uniqueName="1" name="Folder Path" queryTableFieldId="11" dataDxfId="100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47" tableType="queryTable" totalsRowShown="0">
  <tableColumns count="13">
    <tableColumn id="11" xr3:uid="{2AD64508-44AB-4871-8C82-4C5A1E5A5DD2}" uniqueName="11" name="День нед" queryTableFieldId="39" dataDxfId="58"/>
    <tableColumn id="8" xr3:uid="{C788117B-4896-492B-97B3-B2502F0537D8}" uniqueName="8" name="Дата" queryTableFieldId="19" dataDxfId="57"/>
    <tableColumn id="9" xr3:uid="{E3EF5757-6705-492A-BD76-A47D414757C0}" uniqueName="9" name="Время" queryTableFieldId="20" dataDxfId="56"/>
    <tableColumn id="5" xr3:uid="{EF049B28-F832-4F3D-AB4F-3C396920BF5B}" uniqueName="5" name="Событие" queryTableFieldId="27" dataDxfId="1002"/>
    <tableColumn id="7" xr3:uid="{DDB63E42-2809-4377-A568-A326109989E9}" uniqueName="7" name="Объект" queryTableFieldId="29" dataDxfId="1001"/>
    <tableColumn id="10" xr3:uid="{A4FCF3D3-582A-4DEF-8FB8-9D050C82517D}" uniqueName="10" name="Груз" queryTableFieldId="30" dataDxfId="100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99"/>
    <tableColumn id="4" xr3:uid="{DA63B8EC-3587-40B4-A86A-92B91C78723D}" uniqueName="4" name="Name" queryTableFieldId="14" dataDxfId="998"/>
    <tableColumn id="1" xr3:uid="{360C7476-DEC6-4377-8E95-D472C6673B12}" uniqueName="1" name="Folder Path" queryTableFieldId="11" dataDxfId="99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94" tableType="queryTable" totalsRowShown="0">
  <tableColumns count="13">
    <tableColumn id="11" xr3:uid="{C40005DE-8CA6-428A-9DF2-E715CC943F02}" uniqueName="11" name="День нед" queryTableFieldId="39" dataDxfId="54"/>
    <tableColumn id="8" xr3:uid="{55C75F47-F14F-483C-9C7A-95288D9463D6}" uniqueName="8" name="Дата" queryTableFieldId="19" dataDxfId="53"/>
    <tableColumn id="9" xr3:uid="{79D3981C-638A-4D64-BACB-D64D85DAC855}" uniqueName="9" name="Время" queryTableFieldId="20" dataDxfId="52"/>
    <tableColumn id="5" xr3:uid="{B0B848B5-29B2-4292-89A5-7DE5A2F72D15}" uniqueName="5" name="Событие" queryTableFieldId="27" dataDxfId="996"/>
    <tableColumn id="7" xr3:uid="{A9E0C8AC-2336-4969-BC3E-110E6C33529C}" uniqueName="7" name="Объект" queryTableFieldId="29" dataDxfId="995"/>
    <tableColumn id="10" xr3:uid="{F8691CA5-2689-452F-9550-C52E06B35BD6}" uniqueName="10" name="Груз" queryTableFieldId="30" dataDxfId="99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93"/>
    <tableColumn id="4" xr3:uid="{E9716AC2-8439-4E67-8698-BA6CD84F7B9C}" uniqueName="4" name="Name" queryTableFieldId="14" dataDxfId="992"/>
    <tableColumn id="1" xr3:uid="{9AB30DEC-91E3-4633-A156-B937B586CECB}" uniqueName="1" name="Folder Path" queryTableFieldId="11" dataDxfId="99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5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32" tableType="queryTable" totalsRowShown="0">
  <tableColumns count="13">
    <tableColumn id="11" xr3:uid="{B21CFC33-55C8-4073-BBD2-E0A5154A10D6}" uniqueName="11" name="День нед" queryTableFieldId="39" dataDxfId="50"/>
    <tableColumn id="8" xr3:uid="{004370C0-0D3C-4162-A392-32C741C3A58B}" uniqueName="8" name="Дата" queryTableFieldId="19" dataDxfId="49"/>
    <tableColumn id="9" xr3:uid="{6537DA5E-247D-44FB-ACE3-933B3C9B9408}" uniqueName="9" name="Время" queryTableFieldId="20" dataDxfId="48"/>
    <tableColumn id="5" xr3:uid="{4FA9309D-407E-48C1-B1F9-C33DEA7645B1}" uniqueName="5" name="Событие" queryTableFieldId="27" dataDxfId="990"/>
    <tableColumn id="7" xr3:uid="{76E54E9E-D730-4C99-9BF5-96E9384FF63C}" uniqueName="7" name="Объект" queryTableFieldId="29" dataDxfId="989"/>
    <tableColumn id="10" xr3:uid="{B9F78DE2-7938-486B-9BE2-F824D0E7A6C4}" uniqueName="10" name="Груз" queryTableFieldId="30" dataDxfId="988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87"/>
    <tableColumn id="4" xr3:uid="{921D28C1-5761-48A7-B447-6A4446F87545}" uniqueName="4" name="Name" queryTableFieldId="14" dataDxfId="986"/>
    <tableColumn id="1" xr3:uid="{F1A648C1-8DB5-4DEF-B011-BD85E17FCAA3}" uniqueName="1" name="Folder Path" queryTableFieldId="11" dataDxfId="985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73" tableType="queryTable" totalsRowShown="0">
  <tableColumns count="13">
    <tableColumn id="11" xr3:uid="{326CF8DE-8E4F-4540-A010-20CF489342A6}" uniqueName="11" name="День нед" queryTableFieldId="39" dataDxfId="46"/>
    <tableColumn id="8" xr3:uid="{B803C26B-EDF7-4F4B-99B7-759FDE206BB4}" uniqueName="8" name="Дата" queryTableFieldId="19" dataDxfId="45"/>
    <tableColumn id="9" xr3:uid="{691C5FBB-50CD-4B8E-845B-069A5BEF4054}" uniqueName="9" name="Время" queryTableFieldId="20" dataDxfId="44"/>
    <tableColumn id="5" xr3:uid="{963AEB35-E363-4027-9FA3-EA15F072700D}" uniqueName="5" name="Событие" queryTableFieldId="27" dataDxfId="984"/>
    <tableColumn id="7" xr3:uid="{9C2F1BAF-3932-43E9-9155-EA713BB0011D}" uniqueName="7" name="Объект" queryTableFieldId="29" dataDxfId="983"/>
    <tableColumn id="10" xr3:uid="{5D4CEE63-A195-4AD7-9985-38CAADCF8E9D}" uniqueName="10" name="Груз" queryTableFieldId="30" dataDxfId="982"/>
    <tableColumn id="13" xr3:uid="{7298E84C-ACAB-4631-8905-CF20AC72E0EA}" uniqueName="13" name="Кол-во" queryTableFieldId="31" dataDxfId="43"/>
    <tableColumn id="14" xr3:uid="{7C8EF3A5-15A6-4571-8EB7-C981C6BEB025}" uniqueName="14" name="Примечание" queryTableFieldId="32" dataDxfId="981"/>
    <tableColumn id="4" xr3:uid="{D4638119-06B9-4DD4-899F-6281EFBF2A28}" uniqueName="4" name="Name" queryTableFieldId="14" dataDxfId="980"/>
    <tableColumn id="1" xr3:uid="{53F21A0B-EBC8-48C0-B8DE-B46C5D45C7AE}" uniqueName="1" name="Folder Path" queryTableFieldId="11" dataDxfId="97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4" tableType="queryTable" totalsRowShown="0">
  <tableColumns count="13">
    <tableColumn id="11" xr3:uid="{0CFDC447-3A1C-4713-8714-972F5D0CA073}" uniqueName="11" name="День нед" queryTableFieldId="39" dataDxfId="41"/>
    <tableColumn id="8" xr3:uid="{0C391974-E2F5-4A95-A1CF-60789D499629}" uniqueName="8" name="Дата" queryTableFieldId="19" dataDxfId="40"/>
    <tableColumn id="9" xr3:uid="{FA3DAD09-E88C-4F5F-BF0D-4C339BEA0379}" uniqueName="9" name="Время" queryTableFieldId="20" dataDxfId="39"/>
    <tableColumn id="5" xr3:uid="{A64C6221-99CB-4F4A-8D59-9A565B539E8F}" uniqueName="5" name="Событие" queryTableFieldId="27" dataDxfId="978"/>
    <tableColumn id="7" xr3:uid="{A450DCE6-DF8B-4086-A9AC-461A34512F32}" uniqueName="7" name="Объект" queryTableFieldId="29" dataDxfId="977"/>
    <tableColumn id="10" xr3:uid="{10063D90-AC03-4F75-A11D-AC21D3D60004}" uniqueName="10" name="Груз" queryTableFieldId="30" dataDxfId="976"/>
    <tableColumn id="13" xr3:uid="{181B76AA-1C08-4D33-806D-1F2F74743310}" uniqueName="13" name="Кол-во" queryTableFieldId="31" dataDxfId="38"/>
    <tableColumn id="14" xr3:uid="{4521D51C-620E-4319-B053-8C6D64C3EDE6}" uniqueName="14" name="Примечание" queryTableFieldId="32" dataDxfId="975"/>
    <tableColumn id="4" xr3:uid="{D15D4B57-C607-4304-9179-11BE299FB124}" uniqueName="4" name="Name" queryTableFieldId="14" dataDxfId="974"/>
    <tableColumn id="1" xr3:uid="{A0C0E586-D0B7-448D-928A-8F553900221D}" uniqueName="1" name="Folder Path" queryTableFieldId="11" dataDxfId="973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85" tableType="queryTable" totalsRowShown="0">
  <tableColumns count="13">
    <tableColumn id="11" xr3:uid="{DBE515D3-C915-413E-AB17-4F456480DC24}" uniqueName="11" name="День нед" queryTableFieldId="39" dataDxfId="36"/>
    <tableColumn id="8" xr3:uid="{3F87D45A-256D-42F9-A0B8-BE1BF846E410}" uniqueName="8" name="Дата" queryTableFieldId="19" dataDxfId="35"/>
    <tableColumn id="9" xr3:uid="{465B1309-C725-4992-B63E-A70188E91281}" uniqueName="9" name="Время" queryTableFieldId="20" dataDxfId="34"/>
    <tableColumn id="5" xr3:uid="{50C1A202-1B56-40A2-AB13-2511D2291499}" uniqueName="5" name="Событие" queryTableFieldId="27" dataDxfId="972"/>
    <tableColumn id="7" xr3:uid="{FDB3318C-D13D-4B0B-9853-1EF40B58299A}" uniqueName="7" name="Объект" queryTableFieldId="29" dataDxfId="971"/>
    <tableColumn id="10" xr3:uid="{1CEBC306-6BF1-49C1-A704-CC239C79F10B}" uniqueName="10" name="Груз" queryTableFieldId="30" dataDxfId="970"/>
    <tableColumn id="13" xr3:uid="{3EE0C05E-6FF0-490E-B1B0-19B341DAD03E}" uniqueName="13" name="Кол-во" queryTableFieldId="31" dataDxfId="33"/>
    <tableColumn id="14" xr3:uid="{2D68CF85-753C-481D-8DC1-3B9EC9B7EC53}" uniqueName="14" name="Примечание" queryTableFieldId="32" dataDxfId="969"/>
    <tableColumn id="4" xr3:uid="{C8B35D61-7E66-45AB-93A9-51E52D8140C2}" uniqueName="4" name="Name" queryTableFieldId="14" dataDxfId="968"/>
    <tableColumn id="1" xr3:uid="{7D5853A1-56B3-42B3-9B8D-B85E9D9A2D1A}" uniqueName="1" name="Folder Path" queryTableFieldId="11" dataDxfId="96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32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900" totalsRowShown="0">
  <autoFilter ref="A1:G4900" xr:uid="{803833C3-A4ED-4039-95A7-46694D1CE00F}">
    <filterColumn colId="6">
      <filters>
        <filter val="Столярк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63" tableType="queryTable" totalsRowShown="0">
  <tableColumns count="13">
    <tableColumn id="11" xr3:uid="{C2F51F72-E32B-452E-A758-54D19EA7554C}" uniqueName="11" name="День нед" queryTableFieldId="39" dataDxfId="19"/>
    <tableColumn id="8" xr3:uid="{5605969B-3DDA-4935-9901-BA1373284B0A}" uniqueName="8" name="Дата" queryTableFieldId="19" dataDxfId="18"/>
    <tableColumn id="9" xr3:uid="{D9EC7471-58C0-46C9-8780-F73898B23AC2}" uniqueName="9" name="Время" queryTableFieldId="20" dataDxfId="17"/>
    <tableColumn id="5" xr3:uid="{96518AE6-7E5C-4C8D-B54C-F54D11234D6C}" uniqueName="5" name="Событие" queryTableFieldId="27" dataDxfId="966"/>
    <tableColumn id="7" xr3:uid="{F862865E-2F4F-4BAD-8D28-E2820B418659}" uniqueName="7" name="Объект" queryTableFieldId="29" dataDxfId="965"/>
    <tableColumn id="10" xr3:uid="{476FE760-4B7E-4311-B61C-EB76222CEA80}" uniqueName="10" name="Груз" queryTableFieldId="30" dataDxfId="964"/>
    <tableColumn id="13" xr3:uid="{E29E2A9C-9B65-42B8-A282-C804C29C0986}" uniqueName="13" name="Кол-во" queryTableFieldId="31" dataDxfId="16"/>
    <tableColumn id="14" xr3:uid="{410D0DD1-9316-49BC-A307-70ADAE7FB021}" uniqueName="14" name="Примечание" queryTableFieldId="32" dataDxfId="963"/>
    <tableColumn id="4" xr3:uid="{F032B895-AD2B-487F-A174-968F9099A5EC}" uniqueName="4" name="Name" queryTableFieldId="14" dataDxfId="962"/>
    <tableColumn id="1" xr3:uid="{EDB0C229-E24E-4FEA-A0EA-4864FD102E8A}" uniqueName="1" name="Folder Path" queryTableFieldId="11" dataDxfId="96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4"/>
    <tableColumn id="8" xr3:uid="{60928C38-9593-43BD-B23F-A707A8BA6BF4}" uniqueName="8" name="Дата" queryTableFieldId="19" dataDxfId="13"/>
    <tableColumn id="9" xr3:uid="{9E5D4465-E1ED-428A-B708-C10ADDB65305}" uniqueName="9" name="Время" queryTableFieldId="20" dataDxfId="12"/>
    <tableColumn id="5" xr3:uid="{A9911CA3-0E83-4156-B13A-725D5483CB80}" uniqueName="5" name="Событие" queryTableFieldId="27" dataDxfId="960"/>
    <tableColumn id="7" xr3:uid="{22ACAF1F-F285-43EB-B67C-1DAA0609E04C}" uniqueName="7" name="Объект" queryTableFieldId="29" dataDxfId="959"/>
    <tableColumn id="10" xr3:uid="{8E679C38-5159-496B-8534-CDFA63A95BDF}" uniqueName="10" name="Груз" queryTableFieldId="30" dataDxfId="958"/>
    <tableColumn id="13" xr3:uid="{A06491EC-5198-4E5F-9576-1A3B2FF455BF}" uniqueName="13" name="Кол-во" queryTableFieldId="31" dataDxfId="11"/>
    <tableColumn id="14" xr3:uid="{881B0B85-064A-4D8F-922A-E2F2D20FE30E}" uniqueName="14" name="Примечание" queryTableFieldId="32" dataDxfId="957"/>
    <tableColumn id="4" xr3:uid="{83859021-3431-4733-9E28-9475D80139E8}" uniqueName="4" name="Name" queryTableFieldId="14" dataDxfId="956"/>
    <tableColumn id="1" xr3:uid="{F6AD7BBE-7CE0-4E30-97C2-B8AA8EFFB52B}" uniqueName="1" name="Folder Path" queryTableFieldId="11" dataDxfId="955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63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6"/>
    <tableColumn id="10" xr3:uid="{37082223-0A57-495F-97B8-0BCE1F173A2E}" uniqueName="10" name="Folder Path" queryTableFieldId="10" dataDxfId="5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7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954"/>
    <tableColumn id="10" xr3:uid="{2646CF32-E994-4A14-AEA5-9E938118AF27}" uniqueName="10" name="Folder Path" queryTableFieldId="10" dataDxfId="953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71"/>
  <sheetViews>
    <sheetView zoomScale="90" zoomScaleNormal="90" workbookViewId="0">
      <pane ySplit="1" topLeftCell="A246" activePane="bottomLeft" state="frozen"/>
      <selection pane="bottomLeft" activeCell="E267" sqref="E26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13485</v>
      </c>
      <c r="J260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13488</v>
      </c>
      <c r="J261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13843</v>
      </c>
      <c r="F262" t="s">
        <v>51</v>
      </c>
      <c r="H262" t="s">
        <v>13844</v>
      </c>
      <c r="I262" t="s">
        <v>13840</v>
      </c>
      <c r="J262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E263" t="s">
        <v>8</v>
      </c>
      <c r="I263" t="s">
        <v>13912</v>
      </c>
      <c r="J263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E264" t="s">
        <v>8</v>
      </c>
      <c r="I264" t="s">
        <v>13915</v>
      </c>
      <c r="J264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11066</v>
      </c>
      <c r="F265" t="s">
        <v>4070</v>
      </c>
      <c r="I265" t="s">
        <v>14078</v>
      </c>
      <c r="J265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11066</v>
      </c>
      <c r="F266" t="s">
        <v>4070</v>
      </c>
      <c r="I266" t="s">
        <v>14081</v>
      </c>
      <c r="J266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16184</v>
      </c>
      <c r="E267" t="s">
        <v>9597</v>
      </c>
      <c r="F267" t="s">
        <v>4070</v>
      </c>
      <c r="I267" t="s">
        <v>14084</v>
      </c>
      <c r="J267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9597</v>
      </c>
      <c r="I268" t="s">
        <v>14087</v>
      </c>
      <c r="J26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16185</v>
      </c>
      <c r="H269" t="s">
        <v>16186</v>
      </c>
      <c r="I269" t="s">
        <v>14090</v>
      </c>
      <c r="J26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16185</v>
      </c>
      <c r="H270" t="s">
        <v>16186</v>
      </c>
      <c r="I270" t="s">
        <v>16187</v>
      </c>
      <c r="J270" t="s">
        <v>12645</v>
      </c>
      <c r="K270" t="s">
        <v>16188</v>
      </c>
      <c r="L270" t="s">
        <v>16189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16185</v>
      </c>
      <c r="H271" t="s">
        <v>16186</v>
      </c>
      <c r="I271" t="s">
        <v>14093</v>
      </c>
      <c r="J271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</sheetData>
  <phoneticPr fontId="2" type="noConversion"/>
  <conditionalFormatting sqref="E272:E285 D272:D282 G2:H271 D2:E271">
    <cfRule type="containsText" dxfId="952" priority="23" operator="containsText" text="Выезд с территории">
      <formula>NOT(ISERROR(SEARCH("Выезд с территории",D2)))</formula>
    </cfRule>
  </conditionalFormatting>
  <conditionalFormatting sqref="F2:F759">
    <cfRule type="notContainsText" dxfId="951" priority="21" operator="notContains" text="порожний">
      <formula>ISERROR(SEARCH("порожний",F2))</formula>
    </cfRule>
  </conditionalFormatting>
  <conditionalFormatting sqref="E2:E285">
    <cfRule type="containsText" dxfId="950" priority="12" operator="containsText" text="Газель базы">
      <formula>NOT(ISERROR(SEARCH("Газель базы",E2)))</formula>
    </cfRule>
    <cfRule type="containsText" dxfId="949" priority="13" operator="containsText" text="Погрузчик базы">
      <formula>NOT(ISERROR(SEARCH("Погрузчик базы",E2)))</formula>
    </cfRule>
  </conditionalFormatting>
  <conditionalFormatting sqref="E2:E285">
    <cfRule type="containsText" dxfId="948" priority="11" operator="containsText" text="Трактор базы">
      <formula>NOT(ISERROR(SEARCH("Трактор базы",E2)))</formula>
    </cfRule>
  </conditionalFormatting>
  <conditionalFormatting sqref="A2:C271">
    <cfRule type="expression" dxfId="947" priority="9">
      <formula>$A2="пн"</formula>
    </cfRule>
  </conditionalFormatting>
  <conditionalFormatting sqref="A2:C273">
    <cfRule type="expression" dxfId="946" priority="3">
      <formula>$A2="вс"</formula>
    </cfRule>
    <cfRule type="expression" dxfId="945" priority="4">
      <formula>$A2="сб"</formula>
    </cfRule>
    <cfRule type="expression" dxfId="944" priority="5">
      <formula>$A2="пт"</formula>
    </cfRule>
    <cfRule type="expression" dxfId="943" priority="6">
      <formula>$A2="чт"</formula>
    </cfRule>
    <cfRule type="expression" dxfId="942" priority="7">
      <formula>$A2="ср"</formula>
    </cfRule>
    <cfRule type="expression" dxfId="941" priority="8">
      <formula>$A2="вт"</formula>
    </cfRule>
  </conditionalFormatting>
  <conditionalFormatting sqref="D2:D282">
    <cfRule type="containsText" dxfId="9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2">
    <cfRule type="containsText" dxfId="9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98"/>
  <sheetViews>
    <sheetView zoomScale="90" zoomScaleNormal="90" workbookViewId="0">
      <pane ySplit="1" topLeftCell="A264" activePane="bottomLeft" state="frozen"/>
      <selection pane="bottomLeft" activeCell="I287" sqref="I287:I29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1607</v>
      </c>
      <c r="E282" t="s">
        <v>8</v>
      </c>
      <c r="I282" t="s">
        <v>13491</v>
      </c>
      <c r="J282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13845</v>
      </c>
      <c r="E283" t="s">
        <v>86</v>
      </c>
      <c r="I283" t="s">
        <v>13494</v>
      </c>
      <c r="J283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13846</v>
      </c>
      <c r="E284" t="s">
        <v>86</v>
      </c>
      <c r="I284" t="s">
        <v>13497</v>
      </c>
      <c r="J284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1607</v>
      </c>
      <c r="E285" t="s">
        <v>8</v>
      </c>
      <c r="I285" t="s">
        <v>13906</v>
      </c>
      <c r="J285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1607</v>
      </c>
      <c r="E286" t="s">
        <v>8</v>
      </c>
      <c r="I286" t="s">
        <v>13909</v>
      </c>
      <c r="J286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16658</v>
      </c>
      <c r="I287" t="s">
        <v>14096</v>
      </c>
      <c r="J287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16659</v>
      </c>
      <c r="I288" t="s">
        <v>14099</v>
      </c>
      <c r="J28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9140</v>
      </c>
      <c r="E289" t="s">
        <v>86</v>
      </c>
      <c r="I289" t="s">
        <v>14102</v>
      </c>
      <c r="J28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1607</v>
      </c>
      <c r="E290" t="s">
        <v>8</v>
      </c>
      <c r="I290" t="s">
        <v>14105</v>
      </c>
      <c r="J290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1607</v>
      </c>
      <c r="E291" t="s">
        <v>8</v>
      </c>
      <c r="I291" t="s">
        <v>14108</v>
      </c>
      <c r="J291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16658</v>
      </c>
      <c r="I292" t="s">
        <v>14111</v>
      </c>
      <c r="J292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1607</v>
      </c>
      <c r="E293" t="s">
        <v>8</v>
      </c>
      <c r="I293" t="s">
        <v>14114</v>
      </c>
      <c r="J293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1607</v>
      </c>
      <c r="E294" t="s">
        <v>8</v>
      </c>
      <c r="I294" t="s">
        <v>14117</v>
      </c>
      <c r="J294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16658</v>
      </c>
      <c r="I295" t="s">
        <v>14120</v>
      </c>
      <c r="J295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1607</v>
      </c>
      <c r="E296" t="s">
        <v>8</v>
      </c>
      <c r="I296" t="s">
        <v>14123</v>
      </c>
      <c r="J296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14126</v>
      </c>
      <c r="J297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1607</v>
      </c>
      <c r="E298" t="s">
        <v>8</v>
      </c>
      <c r="I298" t="s">
        <v>14129</v>
      </c>
      <c r="J29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</sheetData>
  <conditionalFormatting sqref="D299:D309 E299:E312 G2:H298 D2:E298">
    <cfRule type="containsText" dxfId="938" priority="14" operator="containsText" text="Выезд с территории">
      <formula>NOT(ISERROR(SEARCH("Выезд с территории",D2)))</formula>
    </cfRule>
  </conditionalFormatting>
  <conditionalFormatting sqref="F2:F298">
    <cfRule type="notContainsText" dxfId="937" priority="13" operator="notContains" text="порожний">
      <formula>ISERROR(SEARCH("порожний",F2))</formula>
    </cfRule>
  </conditionalFormatting>
  <conditionalFormatting sqref="E2:E312">
    <cfRule type="containsText" dxfId="936" priority="11" operator="containsText" text="Газель базы">
      <formula>NOT(ISERROR(SEARCH("Газель базы",E2)))</formula>
    </cfRule>
    <cfRule type="containsText" dxfId="935" priority="12" operator="containsText" text="Погрузчик базы">
      <formula>NOT(ISERROR(SEARCH("Погрузчик базы",E2)))</formula>
    </cfRule>
  </conditionalFormatting>
  <conditionalFormatting sqref="E2:E312">
    <cfRule type="containsText" dxfId="934" priority="10" operator="containsText" text="Трактор базы">
      <formula>NOT(ISERROR(SEARCH("Трактор базы",E2)))</formula>
    </cfRule>
  </conditionalFormatting>
  <conditionalFormatting sqref="A2:C298">
    <cfRule type="expression" dxfId="933" priority="9">
      <formula>$A2="пн"</formula>
    </cfRule>
  </conditionalFormatting>
  <conditionalFormatting sqref="A2:C300">
    <cfRule type="expression" dxfId="932" priority="3">
      <formula>$A2="вс"</formula>
    </cfRule>
    <cfRule type="expression" dxfId="931" priority="4">
      <formula>$A2="сб"</formula>
    </cfRule>
    <cfRule type="expression" dxfId="930" priority="5">
      <formula>$A2="пт"</formula>
    </cfRule>
    <cfRule type="expression" dxfId="929" priority="6">
      <formula>$A2="чт"</formula>
    </cfRule>
    <cfRule type="expression" dxfId="928" priority="7">
      <formula>$A2="ср"</formula>
    </cfRule>
    <cfRule type="expression" dxfId="927" priority="8">
      <formula>$A2="вт"</formula>
    </cfRule>
  </conditionalFormatting>
  <conditionalFormatting sqref="D2:D309">
    <cfRule type="containsText" dxfId="9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9">
    <cfRule type="containsText" dxfId="9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02"/>
  <sheetViews>
    <sheetView zoomScale="90" zoomScaleNormal="90" workbookViewId="0">
      <pane ySplit="1" topLeftCell="A164" activePane="bottomLeft" state="frozen"/>
      <selection pane="bottomLeft" activeCell="E207" sqref="E20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7045</v>
      </c>
      <c r="I164" t="s">
        <v>13608</v>
      </c>
      <c r="J164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7045</v>
      </c>
      <c r="I165" t="s">
        <v>13611</v>
      </c>
      <c r="J165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1607</v>
      </c>
      <c r="E166" t="s">
        <v>8</v>
      </c>
      <c r="I166" t="s">
        <v>13933</v>
      </c>
      <c r="J166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1607</v>
      </c>
      <c r="E167" t="s">
        <v>8</v>
      </c>
      <c r="I167" t="s">
        <v>13936</v>
      </c>
      <c r="J167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7045</v>
      </c>
      <c r="I168" t="s">
        <v>14313</v>
      </c>
      <c r="J16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7045</v>
      </c>
      <c r="I169" t="s">
        <v>14316</v>
      </c>
      <c r="J16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7045</v>
      </c>
      <c r="I170" t="s">
        <v>16190</v>
      </c>
      <c r="J170" t="s">
        <v>10903</v>
      </c>
      <c r="K170" t="s">
        <v>16191</v>
      </c>
      <c r="L170" t="s">
        <v>16192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7045</v>
      </c>
      <c r="I171" t="s">
        <v>14319</v>
      </c>
      <c r="J171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7045</v>
      </c>
      <c r="I172" t="s">
        <v>14322</v>
      </c>
      <c r="J172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7045</v>
      </c>
      <c r="I173" t="s">
        <v>14325</v>
      </c>
      <c r="J173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14328</v>
      </c>
      <c r="J174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11066</v>
      </c>
      <c r="I175" t="s">
        <v>14331</v>
      </c>
      <c r="J175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16660</v>
      </c>
      <c r="I176" t="s">
        <v>14334</v>
      </c>
      <c r="J176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16661</v>
      </c>
      <c r="E177" t="s">
        <v>16660</v>
      </c>
      <c r="H177" t="s">
        <v>16662</v>
      </c>
      <c r="I177" t="s">
        <v>14337</v>
      </c>
      <c r="J177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587</v>
      </c>
      <c r="E178" t="s">
        <v>16660</v>
      </c>
      <c r="I178" t="s">
        <v>14340</v>
      </c>
      <c r="J17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3390</v>
      </c>
      <c r="E179" t="s">
        <v>86</v>
      </c>
      <c r="I179" t="s">
        <v>14343</v>
      </c>
      <c r="J17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14346</v>
      </c>
      <c r="J180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14349</v>
      </c>
      <c r="J181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7045</v>
      </c>
      <c r="I182" t="s">
        <v>14352</v>
      </c>
      <c r="J182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7045</v>
      </c>
      <c r="I183" t="s">
        <v>14355</v>
      </c>
      <c r="J183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16663</v>
      </c>
      <c r="I184" t="s">
        <v>14358</v>
      </c>
      <c r="J184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7045</v>
      </c>
      <c r="I185" t="s">
        <v>14361</v>
      </c>
      <c r="J185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14364</v>
      </c>
      <c r="J186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1273</v>
      </c>
      <c r="E187" t="s">
        <v>16668</v>
      </c>
      <c r="I187" t="s">
        <v>14367</v>
      </c>
      <c r="J187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9596</v>
      </c>
      <c r="E188" t="s">
        <v>16668</v>
      </c>
      <c r="I188" t="s">
        <v>14370</v>
      </c>
      <c r="J18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587</v>
      </c>
      <c r="E189" t="s">
        <v>16668</v>
      </c>
      <c r="F189" t="s">
        <v>16664</v>
      </c>
      <c r="I189" t="s">
        <v>14373</v>
      </c>
      <c r="J18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14376</v>
      </c>
      <c r="J190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1273</v>
      </c>
      <c r="E191" t="s">
        <v>70</v>
      </c>
      <c r="I191" t="s">
        <v>14379</v>
      </c>
      <c r="J191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16665</v>
      </c>
      <c r="E192" t="s">
        <v>70</v>
      </c>
      <c r="I192" t="s">
        <v>14382</v>
      </c>
      <c r="J192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16665</v>
      </c>
      <c r="E193" t="s">
        <v>70</v>
      </c>
      <c r="H193" t="s">
        <v>2352</v>
      </c>
      <c r="I193" t="s">
        <v>14385</v>
      </c>
      <c r="J193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587</v>
      </c>
      <c r="E194" t="s">
        <v>70</v>
      </c>
      <c r="I194" t="s">
        <v>14388</v>
      </c>
      <c r="J194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14391</v>
      </c>
      <c r="J195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16666</v>
      </c>
      <c r="E196" t="s">
        <v>86</v>
      </c>
      <c r="I196" t="s">
        <v>14394</v>
      </c>
      <c r="J196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16666</v>
      </c>
      <c r="E197" t="s">
        <v>86</v>
      </c>
      <c r="H197" t="s">
        <v>2352</v>
      </c>
      <c r="I197" t="s">
        <v>14397</v>
      </c>
      <c r="J197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1273</v>
      </c>
      <c r="E198" t="s">
        <v>70</v>
      </c>
      <c r="I198" t="s">
        <v>14400</v>
      </c>
      <c r="J19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16667</v>
      </c>
      <c r="E199" t="s">
        <v>70</v>
      </c>
      <c r="I199" t="s">
        <v>14403</v>
      </c>
      <c r="J19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16666</v>
      </c>
      <c r="E200" t="s">
        <v>86</v>
      </c>
      <c r="I200" t="s">
        <v>14406</v>
      </c>
      <c r="J200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16666</v>
      </c>
      <c r="E201" t="s">
        <v>86</v>
      </c>
      <c r="H201" t="s">
        <v>2352</v>
      </c>
      <c r="I201" t="s">
        <v>14409</v>
      </c>
      <c r="J201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587</v>
      </c>
      <c r="E202" t="s">
        <v>70</v>
      </c>
      <c r="I202" t="s">
        <v>14412</v>
      </c>
      <c r="J202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</sheetData>
  <conditionalFormatting sqref="D203:D213 E203:E216 G2:H202 D2:E202">
    <cfRule type="containsText" dxfId="924" priority="14" operator="containsText" text="Выезд с территории">
      <formula>NOT(ISERROR(SEARCH("Выезд с территории",D2)))</formula>
    </cfRule>
  </conditionalFormatting>
  <conditionalFormatting sqref="F2:F202">
    <cfRule type="notContainsText" dxfId="923" priority="13" operator="notContains" text="порожний">
      <formula>ISERROR(SEARCH("порожний",F2))</formula>
    </cfRule>
  </conditionalFormatting>
  <conditionalFormatting sqref="E2:E216">
    <cfRule type="containsText" dxfId="922" priority="11" operator="containsText" text="Газель базы">
      <formula>NOT(ISERROR(SEARCH("Газель базы",E2)))</formula>
    </cfRule>
    <cfRule type="containsText" dxfId="921" priority="12" operator="containsText" text="Погрузчик базы">
      <formula>NOT(ISERROR(SEARCH("Погрузчик базы",E2)))</formula>
    </cfRule>
  </conditionalFormatting>
  <conditionalFormatting sqref="E2:E216">
    <cfRule type="containsText" dxfId="920" priority="10" operator="containsText" text="Трактор базы">
      <formula>NOT(ISERROR(SEARCH("Трактор базы",E2)))</formula>
    </cfRule>
  </conditionalFormatting>
  <conditionalFormatting sqref="A2:C202">
    <cfRule type="expression" dxfId="919" priority="9">
      <formula>$A2="пн"</formula>
    </cfRule>
  </conditionalFormatting>
  <conditionalFormatting sqref="A2:C204">
    <cfRule type="expression" dxfId="918" priority="3">
      <formula>$A2="вс"</formula>
    </cfRule>
    <cfRule type="expression" dxfId="917" priority="4">
      <formula>$A2="сб"</formula>
    </cfRule>
    <cfRule type="expression" dxfId="916" priority="5">
      <formula>$A2="пт"</formula>
    </cfRule>
    <cfRule type="expression" dxfId="915" priority="6">
      <formula>$A2="чт"</formula>
    </cfRule>
    <cfRule type="expression" dxfId="914" priority="7">
      <formula>$A2="ср"</formula>
    </cfRule>
    <cfRule type="expression" dxfId="913" priority="8">
      <formula>$A2="вт"</formula>
    </cfRule>
  </conditionalFormatting>
  <conditionalFormatting sqref="D2:D213">
    <cfRule type="containsText" dxfId="9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9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86"/>
  <sheetViews>
    <sheetView zoomScale="90" zoomScaleNormal="90" workbookViewId="0">
      <pane ySplit="1" topLeftCell="A259" activePane="bottomLeft" state="frozen"/>
      <selection pane="bottomLeft" activeCell="E282" sqref="E282:F2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4</v>
      </c>
      <c r="E108" t="s">
        <v>3358</v>
      </c>
      <c r="F108" t="s">
        <v>4070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1607</v>
      </c>
      <c r="E109" t="s">
        <v>8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11067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11067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11068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11068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11068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11068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11068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11068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11068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11068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11068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11068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11068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11068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11068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11068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11068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11068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11068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11068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11068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11068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11068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11068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11068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11068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11068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13847</v>
      </c>
      <c r="E261" t="s">
        <v>468</v>
      </c>
      <c r="I261" t="s">
        <v>13753</v>
      </c>
      <c r="J261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13848</v>
      </c>
      <c r="E262" t="s">
        <v>86</v>
      </c>
      <c r="I262" t="s">
        <v>13756</v>
      </c>
      <c r="J262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13849</v>
      </c>
      <c r="E263" t="s">
        <v>86</v>
      </c>
      <c r="I263" t="s">
        <v>13759</v>
      </c>
      <c r="J263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13847</v>
      </c>
      <c r="E264" t="s">
        <v>468</v>
      </c>
      <c r="I264" t="s">
        <v>13762</v>
      </c>
      <c r="J264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13765</v>
      </c>
      <c r="J265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13768</v>
      </c>
      <c r="J266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13847</v>
      </c>
      <c r="E267" t="s">
        <v>468</v>
      </c>
      <c r="I267" t="s">
        <v>13771</v>
      </c>
      <c r="J267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13774</v>
      </c>
      <c r="J26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13918</v>
      </c>
      <c r="J26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13921</v>
      </c>
      <c r="J270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13924</v>
      </c>
      <c r="J271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14867</v>
      </c>
      <c r="J272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14870</v>
      </c>
      <c r="J273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14873</v>
      </c>
      <c r="J274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14876</v>
      </c>
      <c r="J275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14879</v>
      </c>
      <c r="J276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14882</v>
      </c>
      <c r="J277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14885</v>
      </c>
      <c r="J27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16660</v>
      </c>
      <c r="I279" t="s">
        <v>14888</v>
      </c>
      <c r="J27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14891</v>
      </c>
      <c r="J280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16668</v>
      </c>
      <c r="F281" t="s">
        <v>51</v>
      </c>
      <c r="I281" t="s">
        <v>14894</v>
      </c>
      <c r="J281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16668</v>
      </c>
      <c r="F282" t="s">
        <v>16664</v>
      </c>
      <c r="I282" t="s">
        <v>14897</v>
      </c>
      <c r="J282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14900</v>
      </c>
      <c r="J283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16669</v>
      </c>
      <c r="E284" t="s">
        <v>86</v>
      </c>
      <c r="I284" t="s">
        <v>14903</v>
      </c>
      <c r="J284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14906</v>
      </c>
      <c r="J285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14909</v>
      </c>
      <c r="J286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</sheetData>
  <conditionalFormatting sqref="D287:D297 E287:E300 G2:H286 D2:E286">
    <cfRule type="containsText" dxfId="910" priority="14" operator="containsText" text="Выезд с территории">
      <formula>NOT(ISERROR(SEARCH("Выезд с территории",D2)))</formula>
    </cfRule>
  </conditionalFormatting>
  <conditionalFormatting sqref="F2:F286">
    <cfRule type="notContainsText" dxfId="909" priority="13" operator="notContains" text="порожний">
      <formula>ISERROR(SEARCH("порожний",F2))</formula>
    </cfRule>
  </conditionalFormatting>
  <conditionalFormatting sqref="E2:E300">
    <cfRule type="containsText" dxfId="908" priority="11" operator="containsText" text="Газель базы">
      <formula>NOT(ISERROR(SEARCH("Газель базы",E2)))</formula>
    </cfRule>
    <cfRule type="containsText" dxfId="907" priority="12" operator="containsText" text="Погрузчик базы">
      <formula>NOT(ISERROR(SEARCH("Погрузчик базы",E2)))</formula>
    </cfRule>
  </conditionalFormatting>
  <conditionalFormatting sqref="E2:E300">
    <cfRule type="containsText" dxfId="906" priority="10" operator="containsText" text="Трактор базы">
      <formula>NOT(ISERROR(SEARCH("Трактор базы",E2)))</formula>
    </cfRule>
  </conditionalFormatting>
  <conditionalFormatting sqref="A2:C286">
    <cfRule type="expression" dxfId="905" priority="9">
      <formula>$A2="пн"</formula>
    </cfRule>
  </conditionalFormatting>
  <conditionalFormatting sqref="A2:C288">
    <cfRule type="expression" dxfId="904" priority="3">
      <formula>$A2="вс"</formula>
    </cfRule>
    <cfRule type="expression" dxfId="903" priority="4">
      <formula>$A2="сб"</formula>
    </cfRule>
    <cfRule type="expression" dxfId="902" priority="5">
      <formula>$A2="пт"</formula>
    </cfRule>
    <cfRule type="expression" dxfId="901" priority="6">
      <formula>$A2="чт"</formula>
    </cfRule>
    <cfRule type="expression" dxfId="900" priority="7">
      <formula>$A2="ср"</formula>
    </cfRule>
    <cfRule type="expression" dxfId="899" priority="8">
      <formula>$A2="вт"</formula>
    </cfRule>
  </conditionalFormatting>
  <conditionalFormatting sqref="D2:D297">
    <cfRule type="containsText" dxfId="8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7">
    <cfRule type="containsText" dxfId="8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75"/>
  <sheetViews>
    <sheetView zoomScale="90" zoomScaleNormal="90" workbookViewId="0">
      <pane ySplit="1" topLeftCell="A346" activePane="bottomLeft" state="frozen"/>
      <selection pane="bottomLeft" activeCell="I364" sqref="I364:I3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1607</v>
      </c>
      <c r="E14" t="s">
        <v>8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226</v>
      </c>
      <c r="E15" t="s">
        <v>67</v>
      </c>
      <c r="F15" t="s">
        <v>405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11072</v>
      </c>
      <c r="I354" t="s">
        <v>10692</v>
      </c>
      <c r="J354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11072</v>
      </c>
      <c r="I355" t="s">
        <v>10695</v>
      </c>
      <c r="J355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11073</v>
      </c>
      <c r="I356" t="s">
        <v>10698</v>
      </c>
      <c r="J356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11073</v>
      </c>
      <c r="I357" t="s">
        <v>10701</v>
      </c>
      <c r="J357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10704</v>
      </c>
      <c r="J35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13500</v>
      </c>
      <c r="J35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2352</v>
      </c>
      <c r="I360" t="s">
        <v>13503</v>
      </c>
      <c r="J360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13506</v>
      </c>
      <c r="J361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1607</v>
      </c>
      <c r="E362" t="s">
        <v>8</v>
      </c>
      <c r="I362" t="s">
        <v>14044</v>
      </c>
      <c r="J362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1607</v>
      </c>
      <c r="E363" t="s">
        <v>8</v>
      </c>
      <c r="I363" t="s">
        <v>14047</v>
      </c>
      <c r="J363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14132</v>
      </c>
      <c r="J364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14135</v>
      </c>
      <c r="J365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14138</v>
      </c>
      <c r="J366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14141</v>
      </c>
      <c r="J367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14144</v>
      </c>
      <c r="J36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14147</v>
      </c>
      <c r="J36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9603</v>
      </c>
      <c r="E370" t="s">
        <v>86</v>
      </c>
      <c r="I370" t="s">
        <v>14150</v>
      </c>
      <c r="J370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588</v>
      </c>
      <c r="E371" t="s">
        <v>86</v>
      </c>
      <c r="I371" t="s">
        <v>14153</v>
      </c>
      <c r="J371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1607</v>
      </c>
      <c r="E372" t="s">
        <v>8</v>
      </c>
      <c r="I372" t="s">
        <v>14156</v>
      </c>
      <c r="J372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11066</v>
      </c>
      <c r="I373" t="s">
        <v>14159</v>
      </c>
      <c r="J373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16668</v>
      </c>
      <c r="F374" t="s">
        <v>16664</v>
      </c>
      <c r="I374" t="s">
        <v>14162</v>
      </c>
      <c r="J374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14165</v>
      </c>
      <c r="J375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</sheetData>
  <conditionalFormatting sqref="E376:E389 D376:D386 G2:H375 D2:E375">
    <cfRule type="containsText" dxfId="896" priority="17" operator="containsText" text="Выезд с территории">
      <formula>NOT(ISERROR(SEARCH("Выезд с территории",D2)))</formula>
    </cfRule>
  </conditionalFormatting>
  <conditionalFormatting sqref="F2:F375">
    <cfRule type="notContainsText" dxfId="895" priority="16" operator="notContains" text="порожний">
      <formula>ISERROR(SEARCH("порожний",F2))</formula>
    </cfRule>
  </conditionalFormatting>
  <conditionalFormatting sqref="E2:E389">
    <cfRule type="containsText" dxfId="894" priority="14" operator="containsText" text="Газель базы">
      <formula>NOT(ISERROR(SEARCH("Газель базы",E2)))</formula>
    </cfRule>
    <cfRule type="containsText" dxfId="893" priority="15" operator="containsText" text="Погрузчик базы">
      <formula>NOT(ISERROR(SEARCH("Погрузчик базы",E2)))</formula>
    </cfRule>
  </conditionalFormatting>
  <conditionalFormatting sqref="E2:E389">
    <cfRule type="containsText" dxfId="892" priority="13" operator="containsText" text="Трактор базы">
      <formula>NOT(ISERROR(SEARCH("Трактор базы",E2)))</formula>
    </cfRule>
  </conditionalFormatting>
  <conditionalFormatting sqref="A2:C375">
    <cfRule type="expression" dxfId="891" priority="12">
      <formula>$A2="пн"</formula>
    </cfRule>
  </conditionalFormatting>
  <conditionalFormatting sqref="A2:C377">
    <cfRule type="expression" dxfId="890" priority="6">
      <formula>$A2="вс"</formula>
    </cfRule>
    <cfRule type="expression" dxfId="889" priority="7">
      <formula>$A2="сб"</formula>
    </cfRule>
    <cfRule type="expression" dxfId="888" priority="8">
      <formula>$A2="пт"</formula>
    </cfRule>
    <cfRule type="expression" dxfId="887" priority="9">
      <formula>$A2="чт"</formula>
    </cfRule>
    <cfRule type="expression" dxfId="886" priority="10">
      <formula>$A2="ср"</formula>
    </cfRule>
    <cfRule type="expression" dxfId="885" priority="11">
      <formula>$A2="вт"</formula>
    </cfRule>
  </conditionalFormatting>
  <conditionalFormatting sqref="D2:D386">
    <cfRule type="containsText" dxfId="88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883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33"/>
  <sheetViews>
    <sheetView zoomScale="90" zoomScaleNormal="90" workbookViewId="0">
      <pane ySplit="1" topLeftCell="A198" activePane="bottomLeft" state="frozen"/>
      <selection pane="bottomLeft" activeCell="I214" sqref="I214:I2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10707</v>
      </c>
      <c r="J19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10710</v>
      </c>
      <c r="J200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10713</v>
      </c>
      <c r="J201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10716</v>
      </c>
      <c r="J202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10719</v>
      </c>
      <c r="J203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10722</v>
      </c>
      <c r="J204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588</v>
      </c>
      <c r="E205" t="s">
        <v>86</v>
      </c>
      <c r="I205" t="s">
        <v>13777</v>
      </c>
      <c r="J205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588</v>
      </c>
      <c r="E206" t="s">
        <v>86</v>
      </c>
      <c r="I206" t="s">
        <v>13780</v>
      </c>
      <c r="J206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13783</v>
      </c>
      <c r="J207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1607</v>
      </c>
      <c r="E208" t="s">
        <v>8</v>
      </c>
      <c r="I208" t="s">
        <v>13786</v>
      </c>
      <c r="J20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14050</v>
      </c>
      <c r="J20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14077</v>
      </c>
      <c r="E210" t="s">
        <v>8</v>
      </c>
      <c r="I210" t="s">
        <v>14053</v>
      </c>
      <c r="J210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14077</v>
      </c>
      <c r="E211" t="s">
        <v>8</v>
      </c>
      <c r="I211" t="s">
        <v>14056</v>
      </c>
      <c r="J211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14059</v>
      </c>
      <c r="J212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1607</v>
      </c>
      <c r="E213" t="s">
        <v>8</v>
      </c>
      <c r="I213" t="s">
        <v>14062</v>
      </c>
      <c r="J213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14945</v>
      </c>
      <c r="J214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1607</v>
      </c>
      <c r="E215" t="s">
        <v>8</v>
      </c>
      <c r="I215" t="s">
        <v>14948</v>
      </c>
      <c r="J215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14951</v>
      </c>
      <c r="J216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1607</v>
      </c>
      <c r="E217" t="s">
        <v>8</v>
      </c>
      <c r="I217" t="s">
        <v>14954</v>
      </c>
      <c r="J217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14957</v>
      </c>
      <c r="J21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14960</v>
      </c>
      <c r="J21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588</v>
      </c>
      <c r="E220" t="s">
        <v>86</v>
      </c>
      <c r="I220" t="s">
        <v>14963</v>
      </c>
      <c r="J220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1539</v>
      </c>
      <c r="I221" t="s">
        <v>14966</v>
      </c>
      <c r="J221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1539</v>
      </c>
      <c r="I222" t="s">
        <v>14969</v>
      </c>
      <c r="J222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14972</v>
      </c>
      <c r="J223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14975</v>
      </c>
      <c r="J224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1539</v>
      </c>
      <c r="I225" t="s">
        <v>14978</v>
      </c>
      <c r="J225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14981</v>
      </c>
      <c r="J226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1539</v>
      </c>
      <c r="I227" t="s">
        <v>14984</v>
      </c>
      <c r="J227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1539</v>
      </c>
      <c r="I228" t="s">
        <v>14987</v>
      </c>
      <c r="J22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14990</v>
      </c>
      <c r="J22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14993</v>
      </c>
      <c r="J230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14996</v>
      </c>
      <c r="J231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14999</v>
      </c>
      <c r="J232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15002</v>
      </c>
      <c r="J233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</sheetData>
  <conditionalFormatting sqref="D234:D244 E234:E247 G2:H233 D2:E233">
    <cfRule type="containsText" dxfId="882" priority="14" operator="containsText" text="Выезд с территории">
      <formula>NOT(ISERROR(SEARCH("Выезд с территории",D2)))</formula>
    </cfRule>
  </conditionalFormatting>
  <conditionalFormatting sqref="F2:F233">
    <cfRule type="notContainsText" dxfId="881" priority="13" operator="notContains" text="порожний">
      <formula>ISERROR(SEARCH("порожний",F2))</formula>
    </cfRule>
  </conditionalFormatting>
  <conditionalFormatting sqref="E2:E247">
    <cfRule type="containsText" dxfId="880" priority="11" operator="containsText" text="Газель базы">
      <formula>NOT(ISERROR(SEARCH("Газель базы",E2)))</formula>
    </cfRule>
    <cfRule type="containsText" dxfId="879" priority="12" operator="containsText" text="Погрузчик базы">
      <formula>NOT(ISERROR(SEARCH("Погрузчик базы",E2)))</formula>
    </cfRule>
  </conditionalFormatting>
  <conditionalFormatting sqref="E2:E247">
    <cfRule type="containsText" dxfId="878" priority="10" operator="containsText" text="Трактор базы">
      <formula>NOT(ISERROR(SEARCH("Трактор базы",E2)))</formula>
    </cfRule>
  </conditionalFormatting>
  <conditionalFormatting sqref="A2:C233">
    <cfRule type="expression" dxfId="877" priority="9">
      <formula>$A2="пн"</formula>
    </cfRule>
  </conditionalFormatting>
  <conditionalFormatting sqref="A2:C235">
    <cfRule type="expression" dxfId="876" priority="3">
      <formula>$A2="вс"</formula>
    </cfRule>
    <cfRule type="expression" dxfId="875" priority="4">
      <formula>$A2="сб"</formula>
    </cfRule>
    <cfRule type="expression" dxfId="874" priority="5">
      <formula>$A2="пт"</formula>
    </cfRule>
    <cfRule type="expression" dxfId="873" priority="6">
      <formula>$A2="чт"</formula>
    </cfRule>
    <cfRule type="expression" dxfId="872" priority="7">
      <formula>$A2="ср"</formula>
    </cfRule>
    <cfRule type="expression" dxfId="871" priority="8">
      <formula>$A2="вт"</formula>
    </cfRule>
  </conditionalFormatting>
  <conditionalFormatting sqref="D2:D244">
    <cfRule type="containsText" dxfId="8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4">
    <cfRule type="containsText" dxfId="8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60"/>
  <sheetViews>
    <sheetView zoomScale="90" zoomScaleNormal="90" workbookViewId="0">
      <pane ySplit="1" topLeftCell="A323" activePane="bottomLeft" state="frozen"/>
      <selection pane="bottomLeft" activeCell="I333" sqref="I333:I3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11067</v>
      </c>
      <c r="F316" t="s">
        <v>165</v>
      </c>
      <c r="G316">
        <v>2</v>
      </c>
      <c r="I316" t="s">
        <v>10759</v>
      </c>
      <c r="J316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10762</v>
      </c>
      <c r="J317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10765</v>
      </c>
      <c r="J31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11066</v>
      </c>
      <c r="I319" t="s">
        <v>10768</v>
      </c>
      <c r="J31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11074</v>
      </c>
      <c r="I320" t="s">
        <v>10771</v>
      </c>
      <c r="J320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10774</v>
      </c>
      <c r="J321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10777</v>
      </c>
      <c r="J322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10780</v>
      </c>
      <c r="J323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13789</v>
      </c>
      <c r="J324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1607</v>
      </c>
      <c r="E325" t="s">
        <v>8</v>
      </c>
      <c r="I325" t="s">
        <v>13792</v>
      </c>
      <c r="J325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13795</v>
      </c>
      <c r="J326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13847</v>
      </c>
      <c r="E327" t="s">
        <v>1274</v>
      </c>
      <c r="I327" t="s">
        <v>13798</v>
      </c>
      <c r="J327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13801</v>
      </c>
      <c r="J32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14065</v>
      </c>
      <c r="J32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1607</v>
      </c>
      <c r="E330" t="s">
        <v>8</v>
      </c>
      <c r="I330" t="s">
        <v>14068</v>
      </c>
      <c r="J330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14071</v>
      </c>
      <c r="J331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2352</v>
      </c>
      <c r="I332" t="s">
        <v>14074</v>
      </c>
      <c r="J332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14168</v>
      </c>
      <c r="J333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14171</v>
      </c>
      <c r="J334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14174</v>
      </c>
      <c r="J335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2352</v>
      </c>
      <c r="I336" t="s">
        <v>14177</v>
      </c>
      <c r="J336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2352</v>
      </c>
      <c r="I337" t="s">
        <v>14180</v>
      </c>
      <c r="J337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2352</v>
      </c>
      <c r="I338" t="s">
        <v>14183</v>
      </c>
      <c r="J33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14186</v>
      </c>
      <c r="J33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14189</v>
      </c>
      <c r="J340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14192</v>
      </c>
      <c r="J341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14195</v>
      </c>
      <c r="J342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14198</v>
      </c>
      <c r="J343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14201</v>
      </c>
      <c r="J344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14204</v>
      </c>
      <c r="J345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14207</v>
      </c>
      <c r="J346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14210</v>
      </c>
      <c r="J347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14213</v>
      </c>
      <c r="J34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14216</v>
      </c>
      <c r="J34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14219</v>
      </c>
      <c r="J350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14222</v>
      </c>
      <c r="J351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16670</v>
      </c>
      <c r="I352" t="s">
        <v>14225</v>
      </c>
      <c r="J352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14228</v>
      </c>
      <c r="J353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14231</v>
      </c>
      <c r="J354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14234</v>
      </c>
      <c r="J355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14237</v>
      </c>
      <c r="J356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14240</v>
      </c>
      <c r="J357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14243</v>
      </c>
      <c r="J35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14246</v>
      </c>
      <c r="J35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14249</v>
      </c>
      <c r="J360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</sheetData>
  <conditionalFormatting sqref="E361:E374 D1:D197 D361:D1048576 G2:H360 D2:E360">
    <cfRule type="containsText" dxfId="868" priority="18" operator="containsText" text="Выезд с территории">
      <formula>NOT(ISERROR(SEARCH("Выезд с территории",D1)))</formula>
    </cfRule>
  </conditionalFormatting>
  <conditionalFormatting sqref="F2:F360">
    <cfRule type="notContainsText" dxfId="867" priority="17" operator="notContains" text="порожний">
      <formula>ISERROR(SEARCH("порожний",F2))</formula>
    </cfRule>
  </conditionalFormatting>
  <conditionalFormatting sqref="E2:E374">
    <cfRule type="containsText" dxfId="866" priority="15" operator="containsText" text="Газель базы">
      <formula>NOT(ISERROR(SEARCH("Газель базы",E2)))</formula>
    </cfRule>
    <cfRule type="containsText" dxfId="865" priority="16" operator="containsText" text="Погрузчик базы">
      <formula>NOT(ISERROR(SEARCH("Погрузчик базы",E2)))</formula>
    </cfRule>
  </conditionalFormatting>
  <conditionalFormatting sqref="E2:E374">
    <cfRule type="containsText" dxfId="864" priority="14" operator="containsText" text="Трактор базы">
      <formula>NOT(ISERROR(SEARCH("Трактор базы",E2)))</formula>
    </cfRule>
  </conditionalFormatting>
  <conditionalFormatting sqref="A2:C360">
    <cfRule type="expression" dxfId="863" priority="13">
      <formula>$A2="пн"</formula>
    </cfRule>
  </conditionalFormatting>
  <conditionalFormatting sqref="A2:C362">
    <cfRule type="expression" dxfId="862" priority="7">
      <formula>$A2="вс"</formula>
    </cfRule>
    <cfRule type="expression" dxfId="861" priority="8">
      <formula>$A2="сб"</formula>
    </cfRule>
    <cfRule type="expression" dxfId="860" priority="9">
      <formula>$A2="пт"</formula>
    </cfRule>
    <cfRule type="expression" dxfId="859" priority="10">
      <formula>$A2="чт"</formula>
    </cfRule>
    <cfRule type="expression" dxfId="858" priority="11">
      <formula>$A2="ср"</formula>
    </cfRule>
    <cfRule type="expression" dxfId="857" priority="12">
      <formula>$A2="вт"</formula>
    </cfRule>
  </conditionalFormatting>
  <conditionalFormatting sqref="D1:D1048576">
    <cfRule type="containsText" dxfId="856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55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54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377"/>
  <sheetViews>
    <sheetView zoomScale="90" zoomScaleNormal="90" workbookViewId="0">
      <pane ySplit="1" topLeftCell="A337" activePane="bottomLeft" state="frozen"/>
      <selection pane="bottomLeft" activeCell="I319" sqref="I319:I38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3.28515625" bestFit="1" customWidth="1"/>
    <col min="6" max="6" width="25.14062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10725</v>
      </c>
      <c r="J291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11075</v>
      </c>
      <c r="I292" t="s">
        <v>10727</v>
      </c>
      <c r="J292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10729</v>
      </c>
      <c r="J293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11076</v>
      </c>
      <c r="I294" t="s">
        <v>10731</v>
      </c>
      <c r="J294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10733</v>
      </c>
      <c r="J295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10735</v>
      </c>
      <c r="J296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10737</v>
      </c>
      <c r="J297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10739</v>
      </c>
      <c r="J29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10741</v>
      </c>
      <c r="J29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13895</v>
      </c>
      <c r="I300" t="s">
        <v>13850</v>
      </c>
      <c r="J300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1607</v>
      </c>
      <c r="E301" t="s">
        <v>6157</v>
      </c>
      <c r="I301" t="s">
        <v>13853</v>
      </c>
      <c r="J301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587</v>
      </c>
      <c r="E302" t="s">
        <v>86</v>
      </c>
      <c r="I302" t="s">
        <v>13856</v>
      </c>
      <c r="J302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1607</v>
      </c>
      <c r="E303" t="s">
        <v>6157</v>
      </c>
      <c r="I303" t="s">
        <v>13859</v>
      </c>
      <c r="J303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7354</v>
      </c>
      <c r="E304" t="s">
        <v>1274</v>
      </c>
      <c r="I304" t="s">
        <v>13862</v>
      </c>
      <c r="J304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1273</v>
      </c>
      <c r="E305" t="s">
        <v>86</v>
      </c>
      <c r="I305" t="s">
        <v>13865</v>
      </c>
      <c r="J305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1607</v>
      </c>
      <c r="E306" t="s">
        <v>6157</v>
      </c>
      <c r="I306" t="s">
        <v>13868</v>
      </c>
      <c r="J306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1607</v>
      </c>
      <c r="E307" t="s">
        <v>6157</v>
      </c>
      <c r="I307" t="s">
        <v>13871</v>
      </c>
      <c r="J307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587</v>
      </c>
      <c r="E308" t="s">
        <v>86</v>
      </c>
      <c r="I308" t="s">
        <v>13874</v>
      </c>
      <c r="J30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7354</v>
      </c>
      <c r="E309" t="s">
        <v>1274</v>
      </c>
      <c r="I309" t="s">
        <v>13877</v>
      </c>
      <c r="J30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7354</v>
      </c>
      <c r="E310" t="s">
        <v>1274</v>
      </c>
      <c r="I310" t="s">
        <v>13880</v>
      </c>
      <c r="J310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1273</v>
      </c>
      <c r="E311" t="s">
        <v>86</v>
      </c>
      <c r="I311" t="s">
        <v>13883</v>
      </c>
      <c r="J311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13895</v>
      </c>
      <c r="I312" t="s">
        <v>13886</v>
      </c>
      <c r="J312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7354</v>
      </c>
      <c r="E313" t="s">
        <v>1274</v>
      </c>
      <c r="I313" t="s">
        <v>13889</v>
      </c>
      <c r="J313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13896</v>
      </c>
      <c r="E314" t="s">
        <v>1274</v>
      </c>
      <c r="I314" t="s">
        <v>13892</v>
      </c>
      <c r="J314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1607</v>
      </c>
      <c r="E315" t="s">
        <v>8</v>
      </c>
      <c r="I315" t="s">
        <v>13927</v>
      </c>
      <c r="J315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1607</v>
      </c>
      <c r="E316" t="s">
        <v>8</v>
      </c>
      <c r="I316" t="s">
        <v>13930</v>
      </c>
      <c r="J316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1607</v>
      </c>
      <c r="E317" t="s">
        <v>6157</v>
      </c>
      <c r="I317" t="s">
        <v>15005</v>
      </c>
      <c r="J317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7354</v>
      </c>
      <c r="E318" t="s">
        <v>468</v>
      </c>
      <c r="I318" t="s">
        <v>15008</v>
      </c>
      <c r="J31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16672</v>
      </c>
      <c r="E319" t="s">
        <v>468</v>
      </c>
      <c r="G319">
        <v>2</v>
      </c>
      <c r="I319" t="s">
        <v>15258</v>
      </c>
      <c r="J319" t="s">
        <v>13185</v>
      </c>
      <c r="K319" t="s">
        <v>16671</v>
      </c>
      <c r="L319" t="s">
        <v>15259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7354</v>
      </c>
      <c r="E320" t="s">
        <v>468</v>
      </c>
      <c r="I320" t="s">
        <v>15011</v>
      </c>
      <c r="J320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7354</v>
      </c>
      <c r="E321" t="s">
        <v>468</v>
      </c>
      <c r="I321" t="s">
        <v>15014</v>
      </c>
      <c r="J321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7354</v>
      </c>
      <c r="E322" t="s">
        <v>468</v>
      </c>
      <c r="I322" t="s">
        <v>15017</v>
      </c>
      <c r="J322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7354</v>
      </c>
      <c r="E323" t="s">
        <v>468</v>
      </c>
      <c r="I323" t="s">
        <v>15020</v>
      </c>
      <c r="J323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6157</v>
      </c>
      <c r="I324" t="s">
        <v>15023</v>
      </c>
      <c r="J324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6157</v>
      </c>
      <c r="I325" t="s">
        <v>15026</v>
      </c>
      <c r="J325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16673</v>
      </c>
      <c r="I326" t="s">
        <v>15029</v>
      </c>
      <c r="J326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16673</v>
      </c>
      <c r="H327" t="s">
        <v>2352</v>
      </c>
      <c r="I327" t="s">
        <v>15032</v>
      </c>
      <c r="J327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6157</v>
      </c>
      <c r="I328" t="s">
        <v>15035</v>
      </c>
      <c r="J32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468</v>
      </c>
      <c r="I329" t="s">
        <v>15038</v>
      </c>
      <c r="J32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6157</v>
      </c>
      <c r="I330" t="s">
        <v>15041</v>
      </c>
      <c r="J330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6157</v>
      </c>
      <c r="H331" t="s">
        <v>2352</v>
      </c>
      <c r="I331" t="s">
        <v>15044</v>
      </c>
      <c r="J331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7354</v>
      </c>
      <c r="E332" t="s">
        <v>16674</v>
      </c>
      <c r="H332" t="s">
        <v>16675</v>
      </c>
      <c r="I332" t="s">
        <v>15047</v>
      </c>
      <c r="J332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6157</v>
      </c>
      <c r="I333" t="s">
        <v>15050</v>
      </c>
      <c r="J333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6157</v>
      </c>
      <c r="I334" t="s">
        <v>15053</v>
      </c>
      <c r="J334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6157</v>
      </c>
      <c r="I335" t="s">
        <v>16193</v>
      </c>
      <c r="J335" t="s">
        <v>13185</v>
      </c>
      <c r="K335" t="s">
        <v>16194</v>
      </c>
      <c r="L335" t="s">
        <v>16195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9140</v>
      </c>
      <c r="E336" t="s">
        <v>86</v>
      </c>
      <c r="I336" t="s">
        <v>16196</v>
      </c>
      <c r="J336" t="s">
        <v>13185</v>
      </c>
      <c r="K336" t="s">
        <v>16197</v>
      </c>
      <c r="L336" t="s">
        <v>16198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6157</v>
      </c>
      <c r="I337" t="s">
        <v>16199</v>
      </c>
      <c r="J337" t="s">
        <v>13185</v>
      </c>
      <c r="K337" t="s">
        <v>16200</v>
      </c>
      <c r="L337" t="s">
        <v>16201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1607</v>
      </c>
      <c r="E338" t="s">
        <v>6157</v>
      </c>
      <c r="I338" t="s">
        <v>16202</v>
      </c>
      <c r="J338" t="s">
        <v>13185</v>
      </c>
      <c r="K338" t="s">
        <v>16203</v>
      </c>
      <c r="L338" t="s">
        <v>16204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6157</v>
      </c>
      <c r="I339" t="s">
        <v>16205</v>
      </c>
      <c r="J339" t="s">
        <v>13185</v>
      </c>
      <c r="K339" t="s">
        <v>16206</v>
      </c>
      <c r="L339" t="s">
        <v>16207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6157</v>
      </c>
      <c r="I340" t="s">
        <v>16208</v>
      </c>
      <c r="J340" t="s">
        <v>13185</v>
      </c>
      <c r="K340" t="s">
        <v>16209</v>
      </c>
      <c r="L340" t="s">
        <v>16210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7354</v>
      </c>
      <c r="E341" t="s">
        <v>1274</v>
      </c>
      <c r="I341" t="s">
        <v>16211</v>
      </c>
      <c r="J341" t="s">
        <v>13185</v>
      </c>
      <c r="K341" t="s">
        <v>16212</v>
      </c>
      <c r="L341" t="s">
        <v>16213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6157</v>
      </c>
      <c r="I342" t="s">
        <v>16214</v>
      </c>
      <c r="J342" t="s">
        <v>13185</v>
      </c>
      <c r="K342" t="s">
        <v>16215</v>
      </c>
      <c r="L342" t="s">
        <v>16216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1273</v>
      </c>
      <c r="E343" t="s">
        <v>86</v>
      </c>
      <c r="I343" t="s">
        <v>16217</v>
      </c>
      <c r="J343" t="s">
        <v>13185</v>
      </c>
      <c r="K343" t="s">
        <v>16218</v>
      </c>
      <c r="L343" t="s">
        <v>16219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587</v>
      </c>
      <c r="E344" t="s">
        <v>86</v>
      </c>
      <c r="I344" t="s">
        <v>16220</v>
      </c>
      <c r="J344" t="s">
        <v>13185</v>
      </c>
      <c r="K344" t="s">
        <v>16221</v>
      </c>
      <c r="L344" t="s">
        <v>16222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6157</v>
      </c>
      <c r="I345" t="s">
        <v>16223</v>
      </c>
      <c r="J345" t="s">
        <v>13185</v>
      </c>
      <c r="K345" t="s">
        <v>16224</v>
      </c>
      <c r="L345" t="s">
        <v>16225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6157</v>
      </c>
      <c r="I346" t="s">
        <v>16226</v>
      </c>
      <c r="J346" t="s">
        <v>13185</v>
      </c>
      <c r="K346" t="s">
        <v>16227</v>
      </c>
      <c r="L346" t="s">
        <v>16228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1607</v>
      </c>
      <c r="E347" t="s">
        <v>6157</v>
      </c>
      <c r="I347" t="s">
        <v>16229</v>
      </c>
      <c r="J347" t="s">
        <v>13185</v>
      </c>
      <c r="K347" t="s">
        <v>16230</v>
      </c>
      <c r="L347" t="s">
        <v>16231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1607</v>
      </c>
      <c r="E348" t="s">
        <v>6157</v>
      </c>
      <c r="I348" t="s">
        <v>16232</v>
      </c>
      <c r="J348" t="s">
        <v>13185</v>
      </c>
      <c r="K348" t="s">
        <v>16233</v>
      </c>
      <c r="L348" t="s">
        <v>16234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6157</v>
      </c>
      <c r="I349" t="s">
        <v>16235</v>
      </c>
      <c r="J349" t="s">
        <v>13185</v>
      </c>
      <c r="K349" t="s">
        <v>16236</v>
      </c>
      <c r="L349" t="s">
        <v>16237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468</v>
      </c>
      <c r="I350" t="s">
        <v>16238</v>
      </c>
      <c r="J350" t="s">
        <v>13185</v>
      </c>
      <c r="K350" t="s">
        <v>16239</v>
      </c>
      <c r="L350" t="s">
        <v>16240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7354</v>
      </c>
      <c r="E351" t="s">
        <v>468</v>
      </c>
      <c r="I351" t="s">
        <v>16241</v>
      </c>
      <c r="J351" t="s">
        <v>13185</v>
      </c>
      <c r="K351" t="s">
        <v>16242</v>
      </c>
      <c r="L351" t="s">
        <v>16243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16676</v>
      </c>
      <c r="I352" t="s">
        <v>16244</v>
      </c>
      <c r="J352" t="s">
        <v>13185</v>
      </c>
      <c r="K352" t="s">
        <v>16245</v>
      </c>
      <c r="L352" t="s">
        <v>16246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16676</v>
      </c>
      <c r="H353" t="s">
        <v>2352</v>
      </c>
      <c r="I353" t="s">
        <v>16247</v>
      </c>
      <c r="J353" t="s">
        <v>13185</v>
      </c>
      <c r="K353" t="s">
        <v>16248</v>
      </c>
      <c r="L353" t="s">
        <v>16249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16676</v>
      </c>
      <c r="H354" t="s">
        <v>2352</v>
      </c>
      <c r="I354" t="s">
        <v>16250</v>
      </c>
      <c r="J354" t="s">
        <v>13185</v>
      </c>
      <c r="K354" t="s">
        <v>16251</v>
      </c>
      <c r="L354" t="s">
        <v>16252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1607</v>
      </c>
      <c r="E355" t="s">
        <v>6157</v>
      </c>
      <c r="I355" t="s">
        <v>16253</v>
      </c>
      <c r="J355" t="s">
        <v>13185</v>
      </c>
      <c r="K355" t="s">
        <v>16254</v>
      </c>
      <c r="L355" t="s">
        <v>16255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1607</v>
      </c>
      <c r="E356" t="s">
        <v>6157</v>
      </c>
      <c r="I356" t="s">
        <v>16256</v>
      </c>
      <c r="J356" t="s">
        <v>13185</v>
      </c>
      <c r="K356" t="s">
        <v>16257</v>
      </c>
      <c r="L356" t="s">
        <v>16258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587</v>
      </c>
      <c r="E357" t="s">
        <v>86</v>
      </c>
      <c r="I357" t="s">
        <v>16259</v>
      </c>
      <c r="J357" t="s">
        <v>13185</v>
      </c>
      <c r="K357" t="s">
        <v>16260</v>
      </c>
      <c r="L357" t="s">
        <v>16261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16677</v>
      </c>
      <c r="E358" t="s">
        <v>86</v>
      </c>
      <c r="I358" t="s">
        <v>16262</v>
      </c>
      <c r="J358" t="s">
        <v>13185</v>
      </c>
      <c r="K358" t="s">
        <v>16263</v>
      </c>
      <c r="L358" t="s">
        <v>16264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6157</v>
      </c>
      <c r="I359" t="s">
        <v>16265</v>
      </c>
      <c r="J359" t="s">
        <v>13185</v>
      </c>
      <c r="K359" t="s">
        <v>16266</v>
      </c>
      <c r="L359" t="s">
        <v>16267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9317</v>
      </c>
      <c r="I360" t="s">
        <v>16268</v>
      </c>
      <c r="J360" t="s">
        <v>13185</v>
      </c>
      <c r="K360" t="s">
        <v>16269</v>
      </c>
      <c r="L360" t="s">
        <v>16270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16678</v>
      </c>
      <c r="E361" t="s">
        <v>86</v>
      </c>
      <c r="I361" t="s">
        <v>16271</v>
      </c>
      <c r="J361" t="s">
        <v>13185</v>
      </c>
      <c r="K361" t="s">
        <v>16272</v>
      </c>
      <c r="L361" t="s">
        <v>16273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10241</v>
      </c>
      <c r="E362" t="s">
        <v>86</v>
      </c>
      <c r="I362" t="s">
        <v>16274</v>
      </c>
      <c r="J362" t="s">
        <v>13185</v>
      </c>
      <c r="K362" t="s">
        <v>16275</v>
      </c>
      <c r="L362" t="s">
        <v>16276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10241</v>
      </c>
      <c r="E363" t="s">
        <v>86</v>
      </c>
      <c r="I363" t="s">
        <v>16277</v>
      </c>
      <c r="J363" t="s">
        <v>13185</v>
      </c>
      <c r="K363" t="s">
        <v>16278</v>
      </c>
      <c r="L363" t="s">
        <v>16279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9317</v>
      </c>
      <c r="I364" t="s">
        <v>16280</v>
      </c>
      <c r="J364" t="s">
        <v>13185</v>
      </c>
      <c r="K364" t="s">
        <v>16281</v>
      </c>
      <c r="L364" t="s">
        <v>16282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7354</v>
      </c>
      <c r="E365" t="s">
        <v>468</v>
      </c>
      <c r="I365" t="s">
        <v>16283</v>
      </c>
      <c r="J365" t="s">
        <v>13185</v>
      </c>
      <c r="K365" t="s">
        <v>16284</v>
      </c>
      <c r="L365" t="s">
        <v>16285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9317</v>
      </c>
      <c r="I366" t="s">
        <v>16286</v>
      </c>
      <c r="J366" t="s">
        <v>13185</v>
      </c>
      <c r="K366" t="s">
        <v>16287</v>
      </c>
      <c r="L366" t="s">
        <v>16288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1627</v>
      </c>
      <c r="E367" t="s">
        <v>1058</v>
      </c>
      <c r="I367" t="s">
        <v>16289</v>
      </c>
      <c r="J367" t="s">
        <v>13185</v>
      </c>
      <c r="K367" t="s">
        <v>16290</v>
      </c>
      <c r="L367" t="s">
        <v>16291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1627</v>
      </c>
      <c r="E368" t="s">
        <v>1058</v>
      </c>
      <c r="I368" t="s">
        <v>16292</v>
      </c>
      <c r="J368" t="s">
        <v>13185</v>
      </c>
      <c r="K368" t="s">
        <v>16293</v>
      </c>
      <c r="L368" t="s">
        <v>16294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6157</v>
      </c>
      <c r="I369" t="s">
        <v>16295</v>
      </c>
      <c r="J369" t="s">
        <v>13185</v>
      </c>
      <c r="K369" t="s">
        <v>16296</v>
      </c>
      <c r="L369" t="s">
        <v>16297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1627</v>
      </c>
      <c r="E370" t="s">
        <v>1058</v>
      </c>
      <c r="I370" t="s">
        <v>16298</v>
      </c>
      <c r="J370" t="s">
        <v>13185</v>
      </c>
      <c r="K370" t="s">
        <v>16299</v>
      </c>
      <c r="L370" t="s">
        <v>16300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6157</v>
      </c>
      <c r="I371" t="s">
        <v>16301</v>
      </c>
      <c r="J371" t="s">
        <v>13185</v>
      </c>
      <c r="K371" t="s">
        <v>16302</v>
      </c>
      <c r="L371" t="s">
        <v>16303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6157</v>
      </c>
      <c r="H372" t="s">
        <v>2352</v>
      </c>
      <c r="I372" t="s">
        <v>16304</v>
      </c>
      <c r="J372" t="s">
        <v>13185</v>
      </c>
      <c r="K372" t="s">
        <v>16305</v>
      </c>
      <c r="L372" t="s">
        <v>16306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1627</v>
      </c>
      <c r="E373" t="s">
        <v>1058</v>
      </c>
      <c r="I373" t="s">
        <v>16307</v>
      </c>
      <c r="J373" t="s">
        <v>13185</v>
      </c>
      <c r="K373" t="s">
        <v>16308</v>
      </c>
      <c r="L373" t="s">
        <v>16309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1627</v>
      </c>
      <c r="E374" t="s">
        <v>1058</v>
      </c>
      <c r="I374" t="s">
        <v>16310</v>
      </c>
      <c r="J374" t="s">
        <v>13185</v>
      </c>
      <c r="K374" t="s">
        <v>16311</v>
      </c>
      <c r="L374" t="s">
        <v>16312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1627</v>
      </c>
      <c r="E375" t="s">
        <v>1058</v>
      </c>
      <c r="I375" t="s">
        <v>16313</v>
      </c>
      <c r="J375" t="s">
        <v>13185</v>
      </c>
      <c r="K375" t="s">
        <v>16314</v>
      </c>
      <c r="L375" t="s">
        <v>16315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9317</v>
      </c>
      <c r="I376" t="s">
        <v>16316</v>
      </c>
      <c r="J376" t="s">
        <v>13185</v>
      </c>
      <c r="K376" t="s">
        <v>16317</v>
      </c>
      <c r="L376" t="s">
        <v>16318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6157</v>
      </c>
      <c r="I377" t="s">
        <v>16319</v>
      </c>
      <c r="J377" t="s">
        <v>13185</v>
      </c>
      <c r="K377" t="s">
        <v>16320</v>
      </c>
      <c r="L377" t="s">
        <v>16321</v>
      </c>
      <c r="M377" s="2" t="str">
        <f>HYPERLINK(склад2въезд1319202122[[#This Row],[RelativePath]])</f>
        <v>8 Ангар вход\GA3948333_1_20260306T162813Z.jpg</v>
      </c>
    </row>
  </sheetData>
  <conditionalFormatting sqref="D378:D388 E378:E391 G2:H377 D2:E377">
    <cfRule type="containsText" dxfId="853" priority="14" operator="containsText" text="Выезд с территории">
      <formula>NOT(ISERROR(SEARCH("Выезд с территории",D2)))</formula>
    </cfRule>
  </conditionalFormatting>
  <conditionalFormatting sqref="F2:F377">
    <cfRule type="notContainsText" dxfId="852" priority="13" operator="notContains" text="порожний">
      <formula>ISERROR(SEARCH("порожний",F2))</formula>
    </cfRule>
  </conditionalFormatting>
  <conditionalFormatting sqref="E2:E391">
    <cfRule type="containsText" dxfId="851" priority="11" operator="containsText" text="Газель базы">
      <formula>NOT(ISERROR(SEARCH("Газель базы",E2)))</formula>
    </cfRule>
    <cfRule type="containsText" dxfId="850" priority="12" operator="containsText" text="Погрузчик базы">
      <formula>NOT(ISERROR(SEARCH("Погрузчик базы",E2)))</formula>
    </cfRule>
  </conditionalFormatting>
  <conditionalFormatting sqref="E2:E391">
    <cfRule type="containsText" dxfId="849" priority="10" operator="containsText" text="Трактор базы">
      <formula>NOT(ISERROR(SEARCH("Трактор базы",E2)))</formula>
    </cfRule>
  </conditionalFormatting>
  <conditionalFormatting sqref="A2:C377">
    <cfRule type="expression" dxfId="848" priority="9">
      <formula>$A2="пн"</formula>
    </cfRule>
  </conditionalFormatting>
  <conditionalFormatting sqref="A2:C379">
    <cfRule type="expression" dxfId="847" priority="3">
      <formula>$A2="вс"</formula>
    </cfRule>
    <cfRule type="expression" dxfId="846" priority="4">
      <formula>$A2="сб"</formula>
    </cfRule>
    <cfRule type="expression" dxfId="845" priority="5">
      <formula>$A2="пт"</formula>
    </cfRule>
    <cfRule type="expression" dxfId="844" priority="6">
      <formula>$A2="чт"</formula>
    </cfRule>
    <cfRule type="expression" dxfId="843" priority="7">
      <formula>$A2="ср"</formula>
    </cfRule>
    <cfRule type="expression" dxfId="842" priority="8">
      <formula>$A2="вт"</formula>
    </cfRule>
  </conditionalFormatting>
  <conditionalFormatting sqref="D2:D388">
    <cfRule type="containsText" dxfId="8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8">
    <cfRule type="containsText" dxfId="8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69"/>
  <sheetViews>
    <sheetView zoomScale="90" zoomScaleNormal="90" workbookViewId="0">
      <pane ySplit="1" topLeftCell="A631" activePane="bottomLeft" state="frozen"/>
      <selection pane="bottomLeft" activeCell="I627" sqref="I627:I6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10743</v>
      </c>
      <c r="J604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10745</v>
      </c>
      <c r="J605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10747</v>
      </c>
      <c r="J606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1627</v>
      </c>
      <c r="E607" t="s">
        <v>1058</v>
      </c>
      <c r="I607" t="s">
        <v>10749</v>
      </c>
      <c r="J607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1627</v>
      </c>
      <c r="E608" t="s">
        <v>1058</v>
      </c>
      <c r="I608" t="s">
        <v>10751</v>
      </c>
      <c r="J60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1627</v>
      </c>
      <c r="E609" t="s">
        <v>1058</v>
      </c>
      <c r="I609" t="s">
        <v>10753</v>
      </c>
      <c r="J60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1627</v>
      </c>
      <c r="E610" t="s">
        <v>1058</v>
      </c>
      <c r="I610" t="s">
        <v>10755</v>
      </c>
      <c r="J610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10757</v>
      </c>
      <c r="J611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13804</v>
      </c>
      <c r="J612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1627</v>
      </c>
      <c r="E613" t="s">
        <v>1058</v>
      </c>
      <c r="I613" t="s">
        <v>13807</v>
      </c>
      <c r="J613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1627</v>
      </c>
      <c r="E614" t="s">
        <v>1058</v>
      </c>
      <c r="I614" t="s">
        <v>13810</v>
      </c>
      <c r="J614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1627</v>
      </c>
      <c r="E615" t="s">
        <v>1058</v>
      </c>
      <c r="I615" t="s">
        <v>13813</v>
      </c>
      <c r="J615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13816</v>
      </c>
      <c r="J616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1627</v>
      </c>
      <c r="E617" t="s">
        <v>1058</v>
      </c>
      <c r="I617" t="s">
        <v>13819</v>
      </c>
      <c r="J617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13822</v>
      </c>
      <c r="J61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13825</v>
      </c>
      <c r="J61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13828</v>
      </c>
      <c r="J620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1627</v>
      </c>
      <c r="E621" t="s">
        <v>1058</v>
      </c>
      <c r="I621" t="s">
        <v>13831</v>
      </c>
      <c r="J621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1627</v>
      </c>
      <c r="E622" t="s">
        <v>1058</v>
      </c>
      <c r="I622" t="s">
        <v>13834</v>
      </c>
      <c r="J622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7354</v>
      </c>
      <c r="E623" t="s">
        <v>7355</v>
      </c>
      <c r="I623" t="s">
        <v>13837</v>
      </c>
      <c r="J623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13951</v>
      </c>
      <c r="J624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1607</v>
      </c>
      <c r="E625" t="s">
        <v>8</v>
      </c>
      <c r="I625" t="s">
        <v>13954</v>
      </c>
      <c r="J625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1607</v>
      </c>
      <c r="E626" t="s">
        <v>8</v>
      </c>
      <c r="I626" t="s">
        <v>13957</v>
      </c>
      <c r="J626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1607</v>
      </c>
      <c r="E627" t="s">
        <v>9</v>
      </c>
      <c r="I627" t="s">
        <v>16154</v>
      </c>
      <c r="J627" t="s">
        <v>11086</v>
      </c>
      <c r="K627" t="s">
        <v>16155</v>
      </c>
      <c r="L627" t="s">
        <v>16156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1607</v>
      </c>
      <c r="E628" t="s">
        <v>9</v>
      </c>
      <c r="I628" t="s">
        <v>16157</v>
      </c>
      <c r="J628" t="s">
        <v>11086</v>
      </c>
      <c r="K628" t="s">
        <v>16158</v>
      </c>
      <c r="L628" t="s">
        <v>16159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1607</v>
      </c>
      <c r="E629" t="s">
        <v>9</v>
      </c>
      <c r="I629" t="s">
        <v>16160</v>
      </c>
      <c r="J629" t="s">
        <v>11086</v>
      </c>
      <c r="K629" t="s">
        <v>16161</v>
      </c>
      <c r="L629" t="s">
        <v>16162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7354</v>
      </c>
      <c r="E630" t="s">
        <v>7355</v>
      </c>
      <c r="I630" t="s">
        <v>16163</v>
      </c>
      <c r="J630" t="s">
        <v>11086</v>
      </c>
      <c r="K630" t="s">
        <v>16164</v>
      </c>
      <c r="L630" t="s">
        <v>16165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7354</v>
      </c>
      <c r="E631" t="s">
        <v>4131</v>
      </c>
      <c r="I631" t="s">
        <v>16166</v>
      </c>
      <c r="J631" t="s">
        <v>11086</v>
      </c>
      <c r="K631" t="s">
        <v>16167</v>
      </c>
      <c r="L631" t="s">
        <v>16168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16169</v>
      </c>
      <c r="J632" t="s">
        <v>11086</v>
      </c>
      <c r="K632" t="s">
        <v>16170</v>
      </c>
      <c r="L632" t="s">
        <v>16171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1607</v>
      </c>
      <c r="E633" t="s">
        <v>9</v>
      </c>
      <c r="I633" t="s">
        <v>16172</v>
      </c>
      <c r="J633" t="s">
        <v>11086</v>
      </c>
      <c r="K633" t="s">
        <v>16173</v>
      </c>
      <c r="L633" t="s">
        <v>16174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1607</v>
      </c>
      <c r="E634" t="s">
        <v>9</v>
      </c>
      <c r="I634" t="s">
        <v>16175</v>
      </c>
      <c r="J634" t="s">
        <v>11086</v>
      </c>
      <c r="K634" t="s">
        <v>16176</v>
      </c>
      <c r="L634" t="s">
        <v>16177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1607</v>
      </c>
      <c r="E635" t="s">
        <v>9</v>
      </c>
      <c r="I635" t="s">
        <v>16178</v>
      </c>
      <c r="J635" t="s">
        <v>11086</v>
      </c>
      <c r="K635" t="s">
        <v>16179</v>
      </c>
      <c r="L635" t="s">
        <v>16180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1607</v>
      </c>
      <c r="E636" t="s">
        <v>9</v>
      </c>
      <c r="H636" t="s">
        <v>16679</v>
      </c>
      <c r="I636" t="s">
        <v>16181</v>
      </c>
      <c r="J636" t="s">
        <v>11086</v>
      </c>
      <c r="K636" t="s">
        <v>16182</v>
      </c>
      <c r="L636" t="s">
        <v>16183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16322</v>
      </c>
      <c r="J637" t="s">
        <v>11086</v>
      </c>
      <c r="K637" t="s">
        <v>16323</v>
      </c>
      <c r="L637" t="s">
        <v>16324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16325</v>
      </c>
      <c r="J638" t="s">
        <v>11086</v>
      </c>
      <c r="K638" t="s">
        <v>16326</v>
      </c>
      <c r="L638" t="s">
        <v>16327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7354</v>
      </c>
      <c r="E639" t="s">
        <v>7355</v>
      </c>
      <c r="I639" t="s">
        <v>16328</v>
      </c>
      <c r="J639" t="s">
        <v>11086</v>
      </c>
      <c r="K639" t="s">
        <v>16329</v>
      </c>
      <c r="L639" t="s">
        <v>16330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7354</v>
      </c>
      <c r="E640" t="s">
        <v>7355</v>
      </c>
      <c r="I640" t="s">
        <v>16331</v>
      </c>
      <c r="J640" t="s">
        <v>11086</v>
      </c>
      <c r="K640" t="s">
        <v>16332</v>
      </c>
      <c r="L640" t="s">
        <v>16333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7354</v>
      </c>
      <c r="E641" t="s">
        <v>7355</v>
      </c>
      <c r="I641" t="s">
        <v>16334</v>
      </c>
      <c r="J641" t="s">
        <v>11086</v>
      </c>
      <c r="K641" t="s">
        <v>16335</v>
      </c>
      <c r="L641" t="s">
        <v>16336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16337</v>
      </c>
      <c r="J642" t="s">
        <v>11086</v>
      </c>
      <c r="K642" t="s">
        <v>16338</v>
      </c>
      <c r="L642" t="s">
        <v>16339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7354</v>
      </c>
      <c r="E643" t="s">
        <v>7355</v>
      </c>
      <c r="I643" t="s">
        <v>16340</v>
      </c>
      <c r="J643" t="s">
        <v>11086</v>
      </c>
      <c r="K643" t="s">
        <v>16341</v>
      </c>
      <c r="L643" t="s">
        <v>16342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7354</v>
      </c>
      <c r="E644" t="s">
        <v>7355</v>
      </c>
      <c r="I644" t="s">
        <v>16343</v>
      </c>
      <c r="J644" t="s">
        <v>11086</v>
      </c>
      <c r="K644" t="s">
        <v>16344</v>
      </c>
      <c r="L644" t="s">
        <v>16345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7354</v>
      </c>
      <c r="E645" t="s">
        <v>7355</v>
      </c>
      <c r="I645" t="s">
        <v>16346</v>
      </c>
      <c r="J645" t="s">
        <v>11086</v>
      </c>
      <c r="K645" t="s">
        <v>16347</v>
      </c>
      <c r="L645" t="s">
        <v>16348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7354</v>
      </c>
      <c r="E646" t="s">
        <v>7355</v>
      </c>
      <c r="I646" t="s">
        <v>16349</v>
      </c>
      <c r="J646" t="s">
        <v>11086</v>
      </c>
      <c r="K646" t="s">
        <v>16350</v>
      </c>
      <c r="L646" t="s">
        <v>16351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16352</v>
      </c>
      <c r="J647" t="s">
        <v>11086</v>
      </c>
      <c r="K647" t="s">
        <v>16353</v>
      </c>
      <c r="L647" t="s">
        <v>16354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16680</v>
      </c>
      <c r="E648" t="s">
        <v>7355</v>
      </c>
      <c r="I648" t="s">
        <v>16355</v>
      </c>
      <c r="J648" t="s">
        <v>11086</v>
      </c>
      <c r="K648" t="s">
        <v>16356</v>
      </c>
      <c r="L648" t="s">
        <v>16357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4131</v>
      </c>
      <c r="I649" t="s">
        <v>16358</v>
      </c>
      <c r="J649" t="s">
        <v>11086</v>
      </c>
      <c r="K649" t="s">
        <v>16359</v>
      </c>
      <c r="L649" t="s">
        <v>16360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7354</v>
      </c>
      <c r="E650" t="s">
        <v>7355</v>
      </c>
      <c r="I650" t="s">
        <v>16361</v>
      </c>
      <c r="J650" t="s">
        <v>11086</v>
      </c>
      <c r="K650" t="s">
        <v>16362</v>
      </c>
      <c r="L650" t="s">
        <v>16363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7354</v>
      </c>
      <c r="E651" t="s">
        <v>7355</v>
      </c>
      <c r="I651" t="s">
        <v>16364</v>
      </c>
      <c r="J651" t="s">
        <v>11086</v>
      </c>
      <c r="K651" t="s">
        <v>16365</v>
      </c>
      <c r="L651" t="s">
        <v>16366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1607</v>
      </c>
      <c r="E652" t="s">
        <v>9</v>
      </c>
      <c r="I652" t="s">
        <v>16367</v>
      </c>
      <c r="J652" t="s">
        <v>11086</v>
      </c>
      <c r="K652" t="s">
        <v>16368</v>
      </c>
      <c r="L652" t="s">
        <v>16369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16370</v>
      </c>
      <c r="J653" t="s">
        <v>11086</v>
      </c>
      <c r="K653" t="s">
        <v>16371</v>
      </c>
      <c r="L653" t="s">
        <v>16372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4131</v>
      </c>
      <c r="I654" t="s">
        <v>16373</v>
      </c>
      <c r="J654" t="s">
        <v>11086</v>
      </c>
      <c r="K654" t="s">
        <v>16374</v>
      </c>
      <c r="L654" t="s">
        <v>16375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7354</v>
      </c>
      <c r="E655" t="s">
        <v>4131</v>
      </c>
      <c r="I655" t="s">
        <v>16376</v>
      </c>
      <c r="J655" t="s">
        <v>11086</v>
      </c>
      <c r="K655" t="s">
        <v>16377</v>
      </c>
      <c r="L655" t="s">
        <v>16378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7354</v>
      </c>
      <c r="E656" t="s">
        <v>7355</v>
      </c>
      <c r="I656" t="s">
        <v>16379</v>
      </c>
      <c r="J656" t="s">
        <v>11086</v>
      </c>
      <c r="K656" t="s">
        <v>16380</v>
      </c>
      <c r="L656" t="s">
        <v>16381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16681</v>
      </c>
      <c r="I657" t="s">
        <v>16382</v>
      </c>
      <c r="J657" t="s">
        <v>11086</v>
      </c>
      <c r="K657" t="s">
        <v>16383</v>
      </c>
      <c r="L657" t="s">
        <v>16384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16681</v>
      </c>
      <c r="H658" t="s">
        <v>2352</v>
      </c>
      <c r="I658" t="s">
        <v>16385</v>
      </c>
      <c r="J658" t="s">
        <v>11086</v>
      </c>
      <c r="K658" t="s">
        <v>16386</v>
      </c>
      <c r="L658" t="s">
        <v>16387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16681</v>
      </c>
      <c r="H659" t="s">
        <v>2352</v>
      </c>
      <c r="I659" t="s">
        <v>16388</v>
      </c>
      <c r="J659" t="s">
        <v>11086</v>
      </c>
      <c r="K659" t="s">
        <v>16389</v>
      </c>
      <c r="L659" t="s">
        <v>16390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16676</v>
      </c>
      <c r="I660" t="s">
        <v>16391</v>
      </c>
      <c r="J660" t="s">
        <v>11086</v>
      </c>
      <c r="K660" t="s">
        <v>16392</v>
      </c>
      <c r="L660" t="s">
        <v>16393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16394</v>
      </c>
      <c r="J661" t="s">
        <v>11086</v>
      </c>
      <c r="K661" t="s">
        <v>16395</v>
      </c>
      <c r="L661" t="s">
        <v>16396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1607</v>
      </c>
      <c r="E662" t="s">
        <v>9</v>
      </c>
      <c r="I662" t="s">
        <v>16397</v>
      </c>
      <c r="J662" t="s">
        <v>11086</v>
      </c>
      <c r="K662" t="s">
        <v>16398</v>
      </c>
      <c r="L662" t="s">
        <v>16399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1607</v>
      </c>
      <c r="E663" t="s">
        <v>9</v>
      </c>
      <c r="I663" t="s">
        <v>16400</v>
      </c>
      <c r="J663" t="s">
        <v>11086</v>
      </c>
      <c r="K663" t="s">
        <v>16401</v>
      </c>
      <c r="L663" t="s">
        <v>16402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1607</v>
      </c>
      <c r="E664" t="s">
        <v>9</v>
      </c>
      <c r="I664" t="s">
        <v>16403</v>
      </c>
      <c r="J664" t="s">
        <v>11086</v>
      </c>
      <c r="K664" t="s">
        <v>16404</v>
      </c>
      <c r="L664" t="s">
        <v>16405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7354</v>
      </c>
      <c r="E665" t="s">
        <v>7355</v>
      </c>
      <c r="I665" t="s">
        <v>16406</v>
      </c>
      <c r="J665" t="s">
        <v>11086</v>
      </c>
      <c r="K665" t="s">
        <v>16407</v>
      </c>
      <c r="L665" t="s">
        <v>16408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7354</v>
      </c>
      <c r="E666" t="s">
        <v>4131</v>
      </c>
      <c r="I666" t="s">
        <v>16409</v>
      </c>
      <c r="J666" t="s">
        <v>11086</v>
      </c>
      <c r="K666" t="s">
        <v>16410</v>
      </c>
      <c r="L666" t="s">
        <v>16411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7354</v>
      </c>
      <c r="E667" t="s">
        <v>4131</v>
      </c>
      <c r="I667" t="s">
        <v>16412</v>
      </c>
      <c r="J667" t="s">
        <v>11086</v>
      </c>
      <c r="K667" t="s">
        <v>16413</v>
      </c>
      <c r="L667" t="s">
        <v>16414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4131</v>
      </c>
      <c r="I668" t="s">
        <v>16415</v>
      </c>
      <c r="J668" t="s">
        <v>11086</v>
      </c>
      <c r="K668" t="s">
        <v>16416</v>
      </c>
      <c r="L668" t="s">
        <v>16417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16418</v>
      </c>
      <c r="J669" t="s">
        <v>11086</v>
      </c>
      <c r="K669" t="s">
        <v>16419</v>
      </c>
      <c r="L669" t="s">
        <v>16420</v>
      </c>
      <c r="M669" s="2" t="str">
        <f>HYPERLINK(склад2въезд13192021222[[#This Row],[RelativePath]])</f>
        <v>9 Ангар рейсмус\GA3948333_2_20260306T162837Z.jpg</v>
      </c>
    </row>
  </sheetData>
  <conditionalFormatting sqref="D670:D680 E670:E683 G2:H669 D2:E669">
    <cfRule type="containsText" dxfId="839" priority="14" operator="containsText" text="Выезд с территории">
      <formula>NOT(ISERROR(SEARCH("Выезд с территории",D2)))</formula>
    </cfRule>
  </conditionalFormatting>
  <conditionalFormatting sqref="F2:F669">
    <cfRule type="notContainsText" dxfId="838" priority="13" operator="notContains" text="порожний">
      <formula>ISERROR(SEARCH("порожний",F2))</formula>
    </cfRule>
  </conditionalFormatting>
  <conditionalFormatting sqref="E2:E683">
    <cfRule type="containsText" dxfId="837" priority="11" operator="containsText" text="Газель базы">
      <formula>NOT(ISERROR(SEARCH("Газель базы",E2)))</formula>
    </cfRule>
    <cfRule type="containsText" dxfId="836" priority="12" operator="containsText" text="Погрузчик базы">
      <formula>NOT(ISERROR(SEARCH("Погрузчик базы",E2)))</formula>
    </cfRule>
  </conditionalFormatting>
  <conditionalFormatting sqref="E2:E683">
    <cfRule type="containsText" dxfId="835" priority="10" operator="containsText" text="Трактор базы">
      <formula>NOT(ISERROR(SEARCH("Трактор базы",E2)))</formula>
    </cfRule>
  </conditionalFormatting>
  <conditionalFormatting sqref="A2:C669">
    <cfRule type="expression" dxfId="834" priority="9">
      <formula>$A2="пн"</formula>
    </cfRule>
  </conditionalFormatting>
  <conditionalFormatting sqref="A2:C671">
    <cfRule type="expression" dxfId="833" priority="3">
      <formula>$A2="вс"</formula>
    </cfRule>
    <cfRule type="expression" dxfId="832" priority="4">
      <formula>$A2="сб"</formula>
    </cfRule>
    <cfRule type="expression" dxfId="831" priority="5">
      <formula>$A2="пт"</formula>
    </cfRule>
    <cfRule type="expression" dxfId="830" priority="6">
      <formula>$A2="чт"</formula>
    </cfRule>
    <cfRule type="expression" dxfId="829" priority="7">
      <formula>$A2="ср"</formula>
    </cfRule>
    <cfRule type="expression" dxfId="828" priority="8">
      <formula>$A2="вт"</formula>
    </cfRule>
  </conditionalFormatting>
  <conditionalFormatting sqref="D2:D680">
    <cfRule type="containsText" dxfId="8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80">
    <cfRule type="containsText" dxfId="8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94"/>
  <sheetViews>
    <sheetView zoomScale="90" zoomScaleNormal="90" workbookViewId="0">
      <pane ySplit="1" topLeftCell="A664" activePane="bottomLeft" state="frozen"/>
      <selection pane="bottomLeft" activeCell="I647" sqref="I647:I6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10796</v>
      </c>
      <c r="J623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10798</v>
      </c>
      <c r="J624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10800</v>
      </c>
      <c r="J625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11070</v>
      </c>
      <c r="I626" t="s">
        <v>10802</v>
      </c>
      <c r="J626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11070</v>
      </c>
      <c r="F627" t="s">
        <v>58</v>
      </c>
      <c r="G627">
        <v>1</v>
      </c>
      <c r="I627" t="s">
        <v>10804</v>
      </c>
      <c r="J627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11070</v>
      </c>
      <c r="F628" t="s">
        <v>58</v>
      </c>
      <c r="G628">
        <v>2</v>
      </c>
      <c r="I628" t="s">
        <v>10807</v>
      </c>
      <c r="J62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11070</v>
      </c>
      <c r="I629" t="s">
        <v>10810</v>
      </c>
      <c r="J62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10812</v>
      </c>
      <c r="J630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10814</v>
      </c>
      <c r="J631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10816</v>
      </c>
      <c r="J632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10818</v>
      </c>
      <c r="J633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13509</v>
      </c>
      <c r="J634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13512</v>
      </c>
      <c r="J635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7354</v>
      </c>
      <c r="E636" t="s">
        <v>468</v>
      </c>
      <c r="I636" t="s">
        <v>13515</v>
      </c>
      <c r="J636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7354</v>
      </c>
      <c r="E637" t="s">
        <v>468</v>
      </c>
      <c r="I637" t="s">
        <v>13518</v>
      </c>
      <c r="J637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13521</v>
      </c>
      <c r="J63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13897</v>
      </c>
      <c r="E639" t="s">
        <v>1274</v>
      </c>
      <c r="I639" t="s">
        <v>13524</v>
      </c>
      <c r="J63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13897</v>
      </c>
      <c r="E640" t="s">
        <v>1274</v>
      </c>
      <c r="I640" t="s">
        <v>13527</v>
      </c>
      <c r="J640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13530</v>
      </c>
      <c r="J641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13533</v>
      </c>
      <c r="J642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13939</v>
      </c>
      <c r="J643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1607</v>
      </c>
      <c r="E644" t="s">
        <v>8</v>
      </c>
      <c r="I644" t="s">
        <v>13942</v>
      </c>
      <c r="J644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13945</v>
      </c>
      <c r="J645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1607</v>
      </c>
      <c r="E646" t="s">
        <v>8</v>
      </c>
      <c r="I646" t="s">
        <v>13948</v>
      </c>
      <c r="J646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14252</v>
      </c>
      <c r="J647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7354</v>
      </c>
      <c r="E648" t="s">
        <v>468</v>
      </c>
      <c r="I648" t="s">
        <v>14256</v>
      </c>
      <c r="J64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16682</v>
      </c>
      <c r="E649" t="s">
        <v>468</v>
      </c>
      <c r="I649" t="s">
        <v>14259</v>
      </c>
      <c r="J64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468</v>
      </c>
      <c r="I650" t="s">
        <v>14262</v>
      </c>
      <c r="J650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14265</v>
      </c>
      <c r="J651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1273</v>
      </c>
      <c r="E652" t="s">
        <v>11070</v>
      </c>
      <c r="I652" t="s">
        <v>14268</v>
      </c>
      <c r="J652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16683</v>
      </c>
      <c r="E653" t="s">
        <v>11070</v>
      </c>
      <c r="H653" t="s">
        <v>4390</v>
      </c>
      <c r="I653" t="s">
        <v>14271</v>
      </c>
      <c r="J653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587</v>
      </c>
      <c r="E654" t="s">
        <v>11070</v>
      </c>
      <c r="I654" t="s">
        <v>14274</v>
      </c>
      <c r="J654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16684</v>
      </c>
      <c r="E655" t="s">
        <v>1274</v>
      </c>
      <c r="I655" t="s">
        <v>14277</v>
      </c>
      <c r="J655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1273</v>
      </c>
      <c r="E656" t="s">
        <v>9597</v>
      </c>
      <c r="I656" t="s">
        <v>14280</v>
      </c>
      <c r="J656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227</v>
      </c>
      <c r="E657" t="s">
        <v>9597</v>
      </c>
      <c r="F657" t="s">
        <v>16685</v>
      </c>
      <c r="I657" t="s">
        <v>14283</v>
      </c>
      <c r="J657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587</v>
      </c>
      <c r="E658" t="s">
        <v>9597</v>
      </c>
      <c r="I658" t="s">
        <v>14286</v>
      </c>
      <c r="J65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14289</v>
      </c>
      <c r="J65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16490</v>
      </c>
      <c r="J660" t="s">
        <v>12007</v>
      </c>
      <c r="K660" t="s">
        <v>16491</v>
      </c>
      <c r="L660" t="s">
        <v>16492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7354</v>
      </c>
      <c r="E661" t="s">
        <v>1274</v>
      </c>
      <c r="I661" t="s">
        <v>16493</v>
      </c>
      <c r="J661" t="s">
        <v>12007</v>
      </c>
      <c r="K661" t="s">
        <v>16494</v>
      </c>
      <c r="L661" t="s">
        <v>16495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468</v>
      </c>
      <c r="I662" t="s">
        <v>16496</v>
      </c>
      <c r="J662" t="s">
        <v>12007</v>
      </c>
      <c r="K662" t="s">
        <v>16497</v>
      </c>
      <c r="L662" t="s">
        <v>16498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16499</v>
      </c>
      <c r="J663" t="s">
        <v>12007</v>
      </c>
      <c r="K663" t="s">
        <v>16500</v>
      </c>
      <c r="L663" t="s">
        <v>16501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16502</v>
      </c>
      <c r="J664" t="s">
        <v>12007</v>
      </c>
      <c r="K664" t="s">
        <v>16503</v>
      </c>
      <c r="L664" t="s">
        <v>16504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1607</v>
      </c>
      <c r="E665" t="s">
        <v>8</v>
      </c>
      <c r="I665" t="s">
        <v>16505</v>
      </c>
      <c r="J665" t="s">
        <v>12007</v>
      </c>
      <c r="K665" t="s">
        <v>16506</v>
      </c>
      <c r="L665" t="s">
        <v>16507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16508</v>
      </c>
      <c r="J666" t="s">
        <v>12007</v>
      </c>
      <c r="K666" t="s">
        <v>16509</v>
      </c>
      <c r="L666" t="s">
        <v>16510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16686</v>
      </c>
      <c r="I667" t="s">
        <v>16511</v>
      </c>
      <c r="J667" t="s">
        <v>12007</v>
      </c>
      <c r="K667" t="s">
        <v>16512</v>
      </c>
      <c r="L667" t="s">
        <v>16513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7068</v>
      </c>
      <c r="I668" t="s">
        <v>16514</v>
      </c>
      <c r="J668" t="s">
        <v>12007</v>
      </c>
      <c r="K668" t="s">
        <v>16515</v>
      </c>
      <c r="L668" t="s">
        <v>16516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7354</v>
      </c>
      <c r="E669" t="s">
        <v>468</v>
      </c>
      <c r="I669" t="s">
        <v>16517</v>
      </c>
      <c r="J669" t="s">
        <v>12007</v>
      </c>
      <c r="K669" t="s">
        <v>16518</v>
      </c>
      <c r="L669" t="s">
        <v>16519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7354</v>
      </c>
      <c r="E670" t="s">
        <v>1274</v>
      </c>
      <c r="I670" t="s">
        <v>16520</v>
      </c>
      <c r="J670" t="s">
        <v>12007</v>
      </c>
      <c r="K670" t="s">
        <v>16521</v>
      </c>
      <c r="L670" t="s">
        <v>16522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1273</v>
      </c>
      <c r="E671" t="s">
        <v>16663</v>
      </c>
      <c r="I671" t="s">
        <v>16523</v>
      </c>
      <c r="J671" t="s">
        <v>12007</v>
      </c>
      <c r="K671" t="s">
        <v>16524</v>
      </c>
      <c r="L671" t="s">
        <v>16525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16687</v>
      </c>
      <c r="I672" t="s">
        <v>16526</v>
      </c>
      <c r="J672" t="s">
        <v>12007</v>
      </c>
      <c r="K672" t="s">
        <v>16527</v>
      </c>
      <c r="L672" t="s">
        <v>16528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16687</v>
      </c>
      <c r="H673" t="s">
        <v>2352</v>
      </c>
      <c r="I673" t="s">
        <v>16529</v>
      </c>
      <c r="J673" t="s">
        <v>12007</v>
      </c>
      <c r="K673" t="s">
        <v>16530</v>
      </c>
      <c r="L673" t="s">
        <v>16531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16687</v>
      </c>
      <c r="H674" t="s">
        <v>2352</v>
      </c>
      <c r="I674" t="s">
        <v>16532</v>
      </c>
      <c r="J674" t="s">
        <v>12007</v>
      </c>
      <c r="K674" t="s">
        <v>16533</v>
      </c>
      <c r="L674" t="s">
        <v>16534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16687</v>
      </c>
      <c r="H675" t="s">
        <v>2352</v>
      </c>
      <c r="I675" t="s">
        <v>16535</v>
      </c>
      <c r="J675" t="s">
        <v>12007</v>
      </c>
      <c r="K675" t="s">
        <v>16536</v>
      </c>
      <c r="L675" t="s">
        <v>16537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226</v>
      </c>
      <c r="F676" t="s">
        <v>53</v>
      </c>
      <c r="G676">
        <v>13</v>
      </c>
      <c r="I676" t="s">
        <v>16538</v>
      </c>
      <c r="J676" t="s">
        <v>12007</v>
      </c>
      <c r="K676" t="s">
        <v>16539</v>
      </c>
      <c r="L676" t="s">
        <v>16540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16541</v>
      </c>
      <c r="J677" t="s">
        <v>12007</v>
      </c>
      <c r="K677" t="s">
        <v>16542</v>
      </c>
      <c r="L677" t="s">
        <v>16543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1607</v>
      </c>
      <c r="E678" t="s">
        <v>8</v>
      </c>
      <c r="I678" t="s">
        <v>16544</v>
      </c>
      <c r="J678" t="s">
        <v>12007</v>
      </c>
      <c r="K678" t="s">
        <v>16545</v>
      </c>
      <c r="L678" t="s">
        <v>16546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1273</v>
      </c>
      <c r="E679" t="s">
        <v>16668</v>
      </c>
      <c r="I679" t="s">
        <v>16547</v>
      </c>
      <c r="J679" t="s">
        <v>12007</v>
      </c>
      <c r="K679" t="s">
        <v>16548</v>
      </c>
      <c r="L679" t="s">
        <v>16549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226</v>
      </c>
      <c r="E680" t="s">
        <v>16668</v>
      </c>
      <c r="F680" t="s">
        <v>16664</v>
      </c>
      <c r="I680" t="s">
        <v>16550</v>
      </c>
      <c r="J680" t="s">
        <v>12007</v>
      </c>
      <c r="K680" t="s">
        <v>16551</v>
      </c>
      <c r="L680" t="s">
        <v>16552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226</v>
      </c>
      <c r="E681" t="s">
        <v>16668</v>
      </c>
      <c r="F681" t="s">
        <v>16664</v>
      </c>
      <c r="H681" t="s">
        <v>2352</v>
      </c>
      <c r="I681" t="s">
        <v>16553</v>
      </c>
      <c r="J681" t="s">
        <v>12007</v>
      </c>
      <c r="K681" t="s">
        <v>16554</v>
      </c>
      <c r="L681" t="s">
        <v>16555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587</v>
      </c>
      <c r="E682" t="s">
        <v>16668</v>
      </c>
      <c r="F682" t="s">
        <v>16664</v>
      </c>
      <c r="I682" t="s">
        <v>16556</v>
      </c>
      <c r="J682" t="s">
        <v>12007</v>
      </c>
      <c r="K682" t="s">
        <v>16557</v>
      </c>
      <c r="L682" t="s">
        <v>16558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16559</v>
      </c>
      <c r="J683" t="s">
        <v>12007</v>
      </c>
      <c r="K683" t="s">
        <v>16560</v>
      </c>
      <c r="L683" t="s">
        <v>16561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7361</v>
      </c>
      <c r="I684" t="s">
        <v>16562</v>
      </c>
      <c r="J684" t="s">
        <v>12007</v>
      </c>
      <c r="K684" t="s">
        <v>16563</v>
      </c>
      <c r="L684" t="s">
        <v>16564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7354</v>
      </c>
      <c r="E685" t="s">
        <v>86</v>
      </c>
      <c r="H685" t="s">
        <v>2365</v>
      </c>
      <c r="I685" t="s">
        <v>16565</v>
      </c>
      <c r="J685" t="s">
        <v>12007</v>
      </c>
      <c r="K685" t="s">
        <v>16566</v>
      </c>
      <c r="L685" t="s">
        <v>16567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7354</v>
      </c>
      <c r="E686" t="s">
        <v>86</v>
      </c>
      <c r="H686" t="s">
        <v>2352</v>
      </c>
      <c r="I686" t="s">
        <v>16568</v>
      </c>
      <c r="J686" t="s">
        <v>12007</v>
      </c>
      <c r="K686" t="s">
        <v>16569</v>
      </c>
      <c r="L686" t="s">
        <v>16570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7354</v>
      </c>
      <c r="E687" t="s">
        <v>86</v>
      </c>
      <c r="H687" t="s">
        <v>2352</v>
      </c>
      <c r="I687" t="s">
        <v>16571</v>
      </c>
      <c r="J687" t="s">
        <v>12007</v>
      </c>
      <c r="K687" t="s">
        <v>16572</v>
      </c>
      <c r="L687" t="s">
        <v>16573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7354</v>
      </c>
      <c r="E688" t="s">
        <v>86</v>
      </c>
      <c r="I688" t="s">
        <v>16574</v>
      </c>
      <c r="J688" t="s">
        <v>12007</v>
      </c>
      <c r="K688" t="s">
        <v>16575</v>
      </c>
      <c r="L688" t="s">
        <v>16576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1273</v>
      </c>
      <c r="E689" t="s">
        <v>10130</v>
      </c>
      <c r="I689" t="s">
        <v>16577</v>
      </c>
      <c r="J689" t="s">
        <v>12007</v>
      </c>
      <c r="K689" t="s">
        <v>16578</v>
      </c>
      <c r="L689" t="s">
        <v>16579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16683</v>
      </c>
      <c r="E690" t="s">
        <v>10130</v>
      </c>
      <c r="H690" t="s">
        <v>4390</v>
      </c>
      <c r="I690" t="s">
        <v>16580</v>
      </c>
      <c r="J690" t="s">
        <v>12007</v>
      </c>
      <c r="K690" t="s">
        <v>16581</v>
      </c>
      <c r="L690" t="s">
        <v>16582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587</v>
      </c>
      <c r="E691" t="s">
        <v>10130</v>
      </c>
      <c r="I691" t="s">
        <v>16583</v>
      </c>
      <c r="J691" t="s">
        <v>12007</v>
      </c>
      <c r="K691" t="s">
        <v>16584</v>
      </c>
      <c r="L691" t="s">
        <v>16585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468</v>
      </c>
      <c r="I692" t="s">
        <v>16586</v>
      </c>
      <c r="J692" t="s">
        <v>12007</v>
      </c>
      <c r="K692" t="s">
        <v>16587</v>
      </c>
      <c r="L692" t="s">
        <v>16588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468</v>
      </c>
      <c r="I693" t="s">
        <v>16589</v>
      </c>
      <c r="J693" t="s">
        <v>12007</v>
      </c>
      <c r="K693" t="s">
        <v>16590</v>
      </c>
      <c r="L693" t="s">
        <v>16591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16592</v>
      </c>
      <c r="J694" t="s">
        <v>12007</v>
      </c>
      <c r="K694" t="s">
        <v>16593</v>
      </c>
      <c r="L694" t="s">
        <v>16594</v>
      </c>
      <c r="M694" s="2" t="str">
        <f>HYPERLINK(склад2въезд131920212223[[#This Row],[RelativePath]])</f>
        <v>10 Въезд ангар\GA3948333_6_20260306T162542Z.jpg</v>
      </c>
    </row>
  </sheetData>
  <conditionalFormatting sqref="D695:D705 E695:E708 G2:H694 D2:E694">
    <cfRule type="containsText" dxfId="825" priority="14" operator="containsText" text="Выезд с территории">
      <formula>NOT(ISERROR(SEARCH("Выезд с территории",D2)))</formula>
    </cfRule>
  </conditionalFormatting>
  <conditionalFormatting sqref="F2:F694">
    <cfRule type="notContainsText" dxfId="824" priority="13" operator="notContains" text="порожний">
      <formula>ISERROR(SEARCH("порожний",F2))</formula>
    </cfRule>
  </conditionalFormatting>
  <conditionalFormatting sqref="E2:E708">
    <cfRule type="containsText" dxfId="823" priority="11" operator="containsText" text="Газель базы">
      <formula>NOT(ISERROR(SEARCH("Газель базы",E2)))</formula>
    </cfRule>
    <cfRule type="containsText" dxfId="822" priority="12" operator="containsText" text="Погрузчик базы">
      <formula>NOT(ISERROR(SEARCH("Погрузчик базы",E2)))</formula>
    </cfRule>
  </conditionalFormatting>
  <conditionalFormatting sqref="E2:E708">
    <cfRule type="containsText" dxfId="821" priority="10" operator="containsText" text="Трактор базы">
      <formula>NOT(ISERROR(SEARCH("Трактор базы",E2)))</formula>
    </cfRule>
  </conditionalFormatting>
  <conditionalFormatting sqref="A2:C694">
    <cfRule type="expression" dxfId="820" priority="9">
      <formula>$A2="пн"</formula>
    </cfRule>
  </conditionalFormatting>
  <conditionalFormatting sqref="A2:C696">
    <cfRule type="expression" dxfId="819" priority="3">
      <formula>$A2="вс"</formula>
    </cfRule>
    <cfRule type="expression" dxfId="818" priority="4">
      <formula>$A2="сб"</formula>
    </cfRule>
    <cfRule type="expression" dxfId="817" priority="5">
      <formula>$A2="пт"</formula>
    </cfRule>
    <cfRule type="expression" dxfId="816" priority="6">
      <formula>$A2="чт"</formula>
    </cfRule>
    <cfRule type="expression" dxfId="815" priority="7">
      <formula>$A2="ср"</formula>
    </cfRule>
    <cfRule type="expression" dxfId="814" priority="8">
      <formula>$A2="вт"</formula>
    </cfRule>
  </conditionalFormatting>
  <conditionalFormatting sqref="D2:D705">
    <cfRule type="containsText" dxfId="8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05">
    <cfRule type="containsText" dxfId="8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47"/>
  <sheetViews>
    <sheetView zoomScale="90" zoomScaleNormal="90" workbookViewId="0">
      <pane ySplit="1" topLeftCell="A308" activePane="bottomLeft" state="frozen"/>
      <selection pane="bottomLeft" activeCell="I318" sqref="I318:I3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11077</v>
      </c>
      <c r="E304" t="s">
        <v>86</v>
      </c>
      <c r="I304" t="s">
        <v>10783</v>
      </c>
      <c r="J304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11077</v>
      </c>
      <c r="E305" t="s">
        <v>86</v>
      </c>
      <c r="I305" t="s">
        <v>10785</v>
      </c>
      <c r="J305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10787</v>
      </c>
      <c r="J306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11073</v>
      </c>
      <c r="E307" t="s">
        <v>86</v>
      </c>
      <c r="I307" t="s">
        <v>10789</v>
      </c>
      <c r="J307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11073</v>
      </c>
      <c r="E308" t="s">
        <v>86</v>
      </c>
      <c r="I308" t="s">
        <v>10791</v>
      </c>
      <c r="J30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11073</v>
      </c>
      <c r="E309" t="s">
        <v>86</v>
      </c>
      <c r="I309" t="s">
        <v>10793</v>
      </c>
      <c r="J30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10795</v>
      </c>
      <c r="J310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13536</v>
      </c>
      <c r="J311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11066</v>
      </c>
      <c r="I312" t="s">
        <v>13539</v>
      </c>
      <c r="J312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13542</v>
      </c>
      <c r="J313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13545</v>
      </c>
      <c r="J314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1607</v>
      </c>
      <c r="E315" t="s">
        <v>8</v>
      </c>
      <c r="I315" t="s">
        <v>13548</v>
      </c>
      <c r="J315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1607</v>
      </c>
      <c r="E316" t="s">
        <v>8</v>
      </c>
      <c r="I316" t="s">
        <v>13960</v>
      </c>
      <c r="J316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1607</v>
      </c>
      <c r="E317" t="s">
        <v>8</v>
      </c>
      <c r="I317" t="s">
        <v>13963</v>
      </c>
      <c r="J317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11066</v>
      </c>
      <c r="I318" t="s">
        <v>14292</v>
      </c>
      <c r="J31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11066</v>
      </c>
      <c r="H319" t="s">
        <v>2352</v>
      </c>
      <c r="I319" t="s">
        <v>14295</v>
      </c>
      <c r="J31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11066</v>
      </c>
      <c r="H320" t="s">
        <v>16688</v>
      </c>
      <c r="I320" t="s">
        <v>14298</v>
      </c>
      <c r="J320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14301</v>
      </c>
      <c r="J321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14304</v>
      </c>
      <c r="J322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14307</v>
      </c>
      <c r="J323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1607</v>
      </c>
      <c r="E324" t="s">
        <v>8</v>
      </c>
      <c r="I324" t="s">
        <v>14310</v>
      </c>
      <c r="J324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16421</v>
      </c>
      <c r="J325" t="s">
        <v>11697</v>
      </c>
      <c r="K325" t="s">
        <v>16422</v>
      </c>
      <c r="L325" t="s">
        <v>16423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588</v>
      </c>
      <c r="E326" t="s">
        <v>86</v>
      </c>
      <c r="I326" t="s">
        <v>16424</v>
      </c>
      <c r="J326" t="s">
        <v>11697</v>
      </c>
      <c r="K326" t="s">
        <v>16425</v>
      </c>
      <c r="L326" t="s">
        <v>16426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588</v>
      </c>
      <c r="E327" t="s">
        <v>86</v>
      </c>
      <c r="I327" t="s">
        <v>16427</v>
      </c>
      <c r="J327" t="s">
        <v>11697</v>
      </c>
      <c r="K327" t="s">
        <v>16428</v>
      </c>
      <c r="L327" t="s">
        <v>16429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588</v>
      </c>
      <c r="E328" t="s">
        <v>86</v>
      </c>
      <c r="I328" t="s">
        <v>16430</v>
      </c>
      <c r="J328" t="s">
        <v>11697</v>
      </c>
      <c r="K328" t="s">
        <v>16431</v>
      </c>
      <c r="L328" t="s">
        <v>16432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1539</v>
      </c>
      <c r="I329" t="s">
        <v>16433</v>
      </c>
      <c r="J329" t="s">
        <v>11697</v>
      </c>
      <c r="K329" t="s">
        <v>16434</v>
      </c>
      <c r="L329" t="s">
        <v>16435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1539</v>
      </c>
      <c r="I330" t="s">
        <v>16436</v>
      </c>
      <c r="J330" t="s">
        <v>11697</v>
      </c>
      <c r="K330" t="s">
        <v>16437</v>
      </c>
      <c r="L330" t="s">
        <v>16438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1539</v>
      </c>
      <c r="I331" t="s">
        <v>16439</v>
      </c>
      <c r="J331" t="s">
        <v>11697</v>
      </c>
      <c r="K331" t="s">
        <v>16440</v>
      </c>
      <c r="L331" t="s">
        <v>16441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1539</v>
      </c>
      <c r="I332" t="s">
        <v>16442</v>
      </c>
      <c r="J332" t="s">
        <v>11697</v>
      </c>
      <c r="K332" t="s">
        <v>16443</v>
      </c>
      <c r="L332" t="s">
        <v>16444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588</v>
      </c>
      <c r="E333" t="s">
        <v>86</v>
      </c>
      <c r="I333" t="s">
        <v>16445</v>
      </c>
      <c r="J333" t="s">
        <v>11697</v>
      </c>
      <c r="K333" t="s">
        <v>16446</v>
      </c>
      <c r="L333" t="s">
        <v>16447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16448</v>
      </c>
      <c r="J334" t="s">
        <v>11697</v>
      </c>
      <c r="K334" t="s">
        <v>16449</v>
      </c>
      <c r="L334" t="s">
        <v>16450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16451</v>
      </c>
      <c r="J335" t="s">
        <v>11697</v>
      </c>
      <c r="K335" t="s">
        <v>16452</v>
      </c>
      <c r="L335" t="s">
        <v>16453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16454</v>
      </c>
      <c r="J336" t="s">
        <v>11697</v>
      </c>
      <c r="K336" t="s">
        <v>16455</v>
      </c>
      <c r="L336" t="s">
        <v>16456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11066</v>
      </c>
      <c r="H337" t="s">
        <v>16689</v>
      </c>
      <c r="I337" t="s">
        <v>16457</v>
      </c>
      <c r="J337" t="s">
        <v>11697</v>
      </c>
      <c r="K337" t="s">
        <v>16458</v>
      </c>
      <c r="L337" t="s">
        <v>16459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16460</v>
      </c>
      <c r="J338" t="s">
        <v>11697</v>
      </c>
      <c r="K338" t="s">
        <v>16461</v>
      </c>
      <c r="L338" t="s">
        <v>16462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11066</v>
      </c>
      <c r="H339" t="s">
        <v>16688</v>
      </c>
      <c r="I339" t="s">
        <v>16463</v>
      </c>
      <c r="J339" t="s">
        <v>11697</v>
      </c>
      <c r="K339" t="s">
        <v>16464</v>
      </c>
      <c r="L339" t="s">
        <v>16465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16466</v>
      </c>
      <c r="J340" t="s">
        <v>11697</v>
      </c>
      <c r="K340" t="s">
        <v>16467</v>
      </c>
      <c r="L340" t="s">
        <v>16468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16668</v>
      </c>
      <c r="F341" t="s">
        <v>16664</v>
      </c>
      <c r="I341" t="s">
        <v>16469</v>
      </c>
      <c r="J341" t="s">
        <v>11697</v>
      </c>
      <c r="K341" t="s">
        <v>16470</v>
      </c>
      <c r="L341" t="s">
        <v>16471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16472</v>
      </c>
      <c r="J342" t="s">
        <v>11697</v>
      </c>
      <c r="K342" t="s">
        <v>16473</v>
      </c>
      <c r="L342" t="s">
        <v>16474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16475</v>
      </c>
      <c r="J343" t="s">
        <v>11697</v>
      </c>
      <c r="K343" t="s">
        <v>16476</v>
      </c>
      <c r="L343" t="s">
        <v>16477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1539</v>
      </c>
      <c r="I344" t="s">
        <v>16478</v>
      </c>
      <c r="J344" t="s">
        <v>11697</v>
      </c>
      <c r="K344" t="s">
        <v>16479</v>
      </c>
      <c r="L344" t="s">
        <v>16480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1539</v>
      </c>
      <c r="I345" t="s">
        <v>16481</v>
      </c>
      <c r="J345" t="s">
        <v>11697</v>
      </c>
      <c r="K345" t="s">
        <v>16482</v>
      </c>
      <c r="L345" t="s">
        <v>16483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16484</v>
      </c>
      <c r="J346" t="s">
        <v>11697</v>
      </c>
      <c r="K346" t="s">
        <v>16485</v>
      </c>
      <c r="L346" t="s">
        <v>16486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16487</v>
      </c>
      <c r="J347" t="s">
        <v>11697</v>
      </c>
      <c r="K347" t="s">
        <v>16488</v>
      </c>
      <c r="L347" t="s">
        <v>16489</v>
      </c>
      <c r="M347" s="2" t="str">
        <f>HYPERLINK(склад2въезд1319202122237[[#This Row],[RelativePath]])</f>
        <v>11 Навес пилмат\GA3948333_5_20260306T172016Z.jpg</v>
      </c>
    </row>
  </sheetData>
  <conditionalFormatting sqref="D348:D358 E348:E361 G2:H347 D2:E347">
    <cfRule type="containsText" dxfId="811" priority="14" operator="containsText" text="Выезд с территории">
      <formula>NOT(ISERROR(SEARCH("Выезд с территории",D2)))</formula>
    </cfRule>
  </conditionalFormatting>
  <conditionalFormatting sqref="F2:F347">
    <cfRule type="notContainsText" dxfId="810" priority="13" operator="notContains" text="порожний">
      <formula>ISERROR(SEARCH("порожний",F2))</formula>
    </cfRule>
  </conditionalFormatting>
  <conditionalFormatting sqref="E2:E361">
    <cfRule type="containsText" dxfId="809" priority="11" operator="containsText" text="Газель базы">
      <formula>NOT(ISERROR(SEARCH("Газель базы",E2)))</formula>
    </cfRule>
    <cfRule type="containsText" dxfId="808" priority="12" operator="containsText" text="Погрузчик базы">
      <formula>NOT(ISERROR(SEARCH("Погрузчик базы",E2)))</formula>
    </cfRule>
  </conditionalFormatting>
  <conditionalFormatting sqref="E2:E361">
    <cfRule type="containsText" dxfId="807" priority="10" operator="containsText" text="Трактор базы">
      <formula>NOT(ISERROR(SEARCH("Трактор базы",E2)))</formula>
    </cfRule>
  </conditionalFormatting>
  <conditionalFormatting sqref="A2:C347">
    <cfRule type="expression" dxfId="806" priority="9">
      <formula>$A2="пн"</formula>
    </cfRule>
  </conditionalFormatting>
  <conditionalFormatting sqref="A2:C349">
    <cfRule type="expression" dxfId="805" priority="3">
      <formula>$A2="вс"</formula>
    </cfRule>
    <cfRule type="expression" dxfId="804" priority="4">
      <formula>$A2="сб"</formula>
    </cfRule>
    <cfRule type="expression" dxfId="803" priority="5">
      <formula>$A2="пт"</formula>
    </cfRule>
    <cfRule type="expression" dxfId="802" priority="6">
      <formula>$A2="чт"</formula>
    </cfRule>
    <cfRule type="expression" dxfId="801" priority="7">
      <formula>$A2="ср"</formula>
    </cfRule>
    <cfRule type="expression" dxfId="800" priority="8">
      <formula>$A2="вт"</formula>
    </cfRule>
  </conditionalFormatting>
  <conditionalFormatting sqref="D2:D358">
    <cfRule type="containsText" dxfId="7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7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94"/>
  <sheetViews>
    <sheetView zoomScale="90" zoomScaleNormal="90" workbookViewId="0">
      <pane ySplit="1" topLeftCell="A254" activePane="bottomLeft" state="frozen"/>
      <selection pane="bottomLeft" activeCell="D261" sqref="D2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10820</v>
      </c>
      <c r="J240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10823</v>
      </c>
      <c r="J241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10826</v>
      </c>
      <c r="J242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10829</v>
      </c>
      <c r="J243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10832</v>
      </c>
      <c r="J244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10835</v>
      </c>
      <c r="J245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13551</v>
      </c>
      <c r="J246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13847</v>
      </c>
      <c r="E247" t="s">
        <v>468</v>
      </c>
      <c r="I247" t="s">
        <v>13554</v>
      </c>
      <c r="J247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13847</v>
      </c>
      <c r="E248" t="s">
        <v>468</v>
      </c>
      <c r="I248" t="s">
        <v>13557</v>
      </c>
      <c r="J24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13560</v>
      </c>
      <c r="J24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13563</v>
      </c>
      <c r="J250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13847</v>
      </c>
      <c r="E251" t="s">
        <v>468</v>
      </c>
      <c r="I251" t="s">
        <v>13566</v>
      </c>
      <c r="J251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13569</v>
      </c>
      <c r="J252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13966</v>
      </c>
      <c r="J253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13969</v>
      </c>
      <c r="J254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13972</v>
      </c>
      <c r="J255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13975</v>
      </c>
      <c r="J256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13978</v>
      </c>
      <c r="J257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13981</v>
      </c>
      <c r="J25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13984</v>
      </c>
      <c r="J25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13987</v>
      </c>
      <c r="J260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14415</v>
      </c>
      <c r="J261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2352</v>
      </c>
      <c r="I262" t="s">
        <v>14418</v>
      </c>
      <c r="J262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14421</v>
      </c>
      <c r="J263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14424</v>
      </c>
      <c r="J264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14427</v>
      </c>
      <c r="J265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14430</v>
      </c>
      <c r="J266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14433</v>
      </c>
      <c r="J267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14436</v>
      </c>
      <c r="J26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14439</v>
      </c>
      <c r="J26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14442</v>
      </c>
      <c r="J270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14445</v>
      </c>
      <c r="J271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14448</v>
      </c>
      <c r="J272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14451</v>
      </c>
      <c r="J273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14454</v>
      </c>
      <c r="J274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14457</v>
      </c>
      <c r="J275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14460</v>
      </c>
      <c r="J276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14463</v>
      </c>
      <c r="J277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14466</v>
      </c>
      <c r="J27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14469</v>
      </c>
      <c r="J27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14472</v>
      </c>
      <c r="J280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14475</v>
      </c>
      <c r="J281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14478</v>
      </c>
      <c r="J282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14481</v>
      </c>
      <c r="J283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14484</v>
      </c>
      <c r="J284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14487</v>
      </c>
      <c r="J285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14490</v>
      </c>
      <c r="J286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14493</v>
      </c>
      <c r="J287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14496</v>
      </c>
      <c r="J28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14499</v>
      </c>
      <c r="J28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14502</v>
      </c>
      <c r="J290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14505</v>
      </c>
      <c r="J291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14508</v>
      </c>
      <c r="J292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14511</v>
      </c>
      <c r="J293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14514</v>
      </c>
      <c r="J294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</sheetData>
  <conditionalFormatting sqref="D295:D305 E295:E308 G2:H294 D2:E294">
    <cfRule type="containsText" dxfId="797" priority="14" operator="containsText" text="Выезд с территории">
      <formula>NOT(ISERROR(SEARCH("Выезд с территории",D2)))</formula>
    </cfRule>
  </conditionalFormatting>
  <conditionalFormatting sqref="F2:F294">
    <cfRule type="notContainsText" dxfId="796" priority="13" operator="notContains" text="порожний">
      <formula>ISERROR(SEARCH("порожний",F2))</formula>
    </cfRule>
  </conditionalFormatting>
  <conditionalFormatting sqref="E2:E308">
    <cfRule type="containsText" dxfId="795" priority="11" operator="containsText" text="Газель базы">
      <formula>NOT(ISERROR(SEARCH("Газель базы",E2)))</formula>
    </cfRule>
    <cfRule type="containsText" dxfId="794" priority="12" operator="containsText" text="Погрузчик базы">
      <formula>NOT(ISERROR(SEARCH("Погрузчик базы",E2)))</formula>
    </cfRule>
  </conditionalFormatting>
  <conditionalFormatting sqref="E2:E308">
    <cfRule type="containsText" dxfId="793" priority="10" operator="containsText" text="Трактор базы">
      <formula>NOT(ISERROR(SEARCH("Трактор базы",E2)))</formula>
    </cfRule>
  </conditionalFormatting>
  <conditionalFormatting sqref="A2:C294">
    <cfRule type="expression" dxfId="792" priority="9">
      <formula>$A2="пн"</formula>
    </cfRule>
  </conditionalFormatting>
  <conditionalFormatting sqref="A2:C296">
    <cfRule type="expression" dxfId="791" priority="3">
      <formula>$A2="вс"</formula>
    </cfRule>
    <cfRule type="expression" dxfId="790" priority="4">
      <formula>$A2="сб"</formula>
    </cfRule>
    <cfRule type="expression" dxfId="789" priority="5">
      <formula>$A2="пт"</formula>
    </cfRule>
    <cfRule type="expression" dxfId="788" priority="6">
      <formula>$A2="чт"</formula>
    </cfRule>
    <cfRule type="expression" dxfId="787" priority="7">
      <formula>$A2="ср"</formula>
    </cfRule>
    <cfRule type="expression" dxfId="786" priority="8">
      <formula>$A2="вт"</formula>
    </cfRule>
  </conditionalFormatting>
  <conditionalFormatting sqref="D2:D305">
    <cfRule type="containsText" dxfId="7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5">
    <cfRule type="containsText" dxfId="7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32"/>
  <sheetViews>
    <sheetView topLeftCell="B1" zoomScale="90" zoomScaleNormal="90" workbookViewId="0">
      <pane ySplit="1" topLeftCell="A203" activePane="bottomLeft" state="frozen"/>
      <selection pane="bottomLeft" activeCell="I216" sqref="I216:I23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10853</v>
      </c>
      <c r="J204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11073</v>
      </c>
      <c r="E205" t="s">
        <v>86</v>
      </c>
      <c r="I205" t="s">
        <v>10856</v>
      </c>
      <c r="J205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11073</v>
      </c>
      <c r="E206" t="s">
        <v>86</v>
      </c>
      <c r="I206" t="s">
        <v>10859</v>
      </c>
      <c r="J206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10862</v>
      </c>
      <c r="J207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588</v>
      </c>
      <c r="E208" t="s">
        <v>86</v>
      </c>
      <c r="I208" t="s">
        <v>13572</v>
      </c>
      <c r="J20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588</v>
      </c>
      <c r="E209" t="s">
        <v>86</v>
      </c>
      <c r="I209" t="s">
        <v>13575</v>
      </c>
      <c r="J20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13578</v>
      </c>
      <c r="J210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588</v>
      </c>
      <c r="E211" t="s">
        <v>86</v>
      </c>
      <c r="I211" t="s">
        <v>13581</v>
      </c>
      <c r="J211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13584</v>
      </c>
      <c r="J212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13990</v>
      </c>
      <c r="J213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1607</v>
      </c>
      <c r="E214" t="s">
        <v>8</v>
      </c>
      <c r="I214" t="s">
        <v>13993</v>
      </c>
      <c r="J214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1607</v>
      </c>
      <c r="E215" t="s">
        <v>8</v>
      </c>
      <c r="I215" t="s">
        <v>13996</v>
      </c>
      <c r="J215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14517</v>
      </c>
      <c r="J216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14520</v>
      </c>
      <c r="J217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1607</v>
      </c>
      <c r="E218" t="s">
        <v>8</v>
      </c>
      <c r="I218" t="s">
        <v>14523</v>
      </c>
      <c r="J21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9603</v>
      </c>
      <c r="E219" t="s">
        <v>86</v>
      </c>
      <c r="I219" t="s">
        <v>14526</v>
      </c>
      <c r="J21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14529</v>
      </c>
      <c r="J220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588</v>
      </c>
      <c r="E221" t="s">
        <v>86</v>
      </c>
      <c r="I221" t="s">
        <v>14532</v>
      </c>
      <c r="J221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588</v>
      </c>
      <c r="E222" t="s">
        <v>86</v>
      </c>
      <c r="I222" t="s">
        <v>14535</v>
      </c>
      <c r="J222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14538</v>
      </c>
      <c r="J223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14541</v>
      </c>
      <c r="J224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14544</v>
      </c>
      <c r="J225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16690</v>
      </c>
      <c r="E226" t="s">
        <v>86</v>
      </c>
      <c r="I226" t="s">
        <v>14547</v>
      </c>
      <c r="J226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11066</v>
      </c>
      <c r="I227" t="s">
        <v>14550</v>
      </c>
      <c r="J227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11066</v>
      </c>
      <c r="H228" t="s">
        <v>2352</v>
      </c>
      <c r="I228" t="s">
        <v>14552</v>
      </c>
      <c r="J22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11066</v>
      </c>
      <c r="H229" t="s">
        <v>2352</v>
      </c>
      <c r="I229" t="s">
        <v>14555</v>
      </c>
      <c r="J22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11066</v>
      </c>
      <c r="H230" t="s">
        <v>16691</v>
      </c>
      <c r="I230" t="s">
        <v>14558</v>
      </c>
      <c r="J230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14561</v>
      </c>
      <c r="J231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1617</v>
      </c>
      <c r="I232" t="s">
        <v>14564</v>
      </c>
      <c r="J232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</sheetData>
  <conditionalFormatting sqref="D233:D243 E233:E246 G2:H232 D2:E232">
    <cfRule type="containsText" dxfId="783" priority="14" operator="containsText" text="Выезд с территории">
      <formula>NOT(ISERROR(SEARCH("Выезд с территории",D2)))</formula>
    </cfRule>
  </conditionalFormatting>
  <conditionalFormatting sqref="F2:F232">
    <cfRule type="notContainsText" dxfId="782" priority="13" operator="notContains" text="порожний">
      <formula>ISERROR(SEARCH("порожний",F2))</formula>
    </cfRule>
  </conditionalFormatting>
  <conditionalFormatting sqref="E2:E246">
    <cfRule type="containsText" dxfId="781" priority="11" operator="containsText" text="Газель базы">
      <formula>NOT(ISERROR(SEARCH("Газель базы",E2)))</formula>
    </cfRule>
    <cfRule type="containsText" dxfId="780" priority="12" operator="containsText" text="Погрузчик базы">
      <formula>NOT(ISERROR(SEARCH("Погрузчик базы",E2)))</formula>
    </cfRule>
  </conditionalFormatting>
  <conditionalFormatting sqref="E2:E246">
    <cfRule type="containsText" dxfId="779" priority="10" operator="containsText" text="Трактор базы">
      <formula>NOT(ISERROR(SEARCH("Трактор базы",E2)))</formula>
    </cfRule>
  </conditionalFormatting>
  <conditionalFormatting sqref="A2:C232">
    <cfRule type="expression" dxfId="778" priority="9">
      <formula>$A2="пн"</formula>
    </cfRule>
  </conditionalFormatting>
  <conditionalFormatting sqref="A2:C234">
    <cfRule type="expression" dxfId="777" priority="3">
      <formula>$A2="вс"</formula>
    </cfRule>
    <cfRule type="expression" dxfId="776" priority="4">
      <formula>$A2="сб"</formula>
    </cfRule>
    <cfRule type="expression" dxfId="775" priority="5">
      <formula>$A2="пт"</formula>
    </cfRule>
    <cfRule type="expression" dxfId="774" priority="6">
      <formula>$A2="чт"</formula>
    </cfRule>
    <cfRule type="expression" dxfId="773" priority="7">
      <formula>$A2="ср"</formula>
    </cfRule>
    <cfRule type="expression" dxfId="772" priority="8">
      <formula>$A2="вт"</formula>
    </cfRule>
  </conditionalFormatting>
  <conditionalFormatting sqref="D2:D243">
    <cfRule type="containsText" dxfId="7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3">
    <cfRule type="containsText" dxfId="7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73"/>
  <sheetViews>
    <sheetView zoomScale="90" zoomScaleNormal="90" workbookViewId="0">
      <pane ySplit="1" topLeftCell="A32" activePane="bottomLeft" state="frozen"/>
      <selection pane="bottomLeft" activeCell="I53" sqref="I53:I7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2.425781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10838</v>
      </c>
      <c r="J32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10841</v>
      </c>
      <c r="J33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10844</v>
      </c>
      <c r="J34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10847</v>
      </c>
      <c r="J35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10850</v>
      </c>
      <c r="J36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13587</v>
      </c>
      <c r="J37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1607</v>
      </c>
      <c r="E38" t="s">
        <v>8</v>
      </c>
      <c r="I38" t="s">
        <v>13590</v>
      </c>
      <c r="J3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13593</v>
      </c>
      <c r="J3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13898</v>
      </c>
      <c r="E40" t="s">
        <v>13843</v>
      </c>
      <c r="I40" t="s">
        <v>13596</v>
      </c>
      <c r="J40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13898</v>
      </c>
      <c r="E41" t="s">
        <v>13843</v>
      </c>
      <c r="I41" t="s">
        <v>13599</v>
      </c>
      <c r="J41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13843</v>
      </c>
      <c r="F42" t="s">
        <v>13899</v>
      </c>
      <c r="I42" t="s">
        <v>13602</v>
      </c>
      <c r="J42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13605</v>
      </c>
      <c r="J43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13999</v>
      </c>
      <c r="J44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14002</v>
      </c>
      <c r="J45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10020</v>
      </c>
      <c r="E46" t="s">
        <v>8</v>
      </c>
      <c r="I46" t="s">
        <v>14005</v>
      </c>
      <c r="J46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14008</v>
      </c>
      <c r="J47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10020</v>
      </c>
      <c r="E48" t="s">
        <v>8</v>
      </c>
      <c r="I48" t="s">
        <v>14011</v>
      </c>
      <c r="J4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10020</v>
      </c>
      <c r="E49" t="s">
        <v>8</v>
      </c>
      <c r="I49" t="s">
        <v>14014</v>
      </c>
      <c r="J4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10020</v>
      </c>
      <c r="E50" t="s">
        <v>8</v>
      </c>
      <c r="I50" t="s">
        <v>14017</v>
      </c>
      <c r="J50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10020</v>
      </c>
      <c r="E51" t="s">
        <v>8</v>
      </c>
      <c r="I51" t="s">
        <v>14020</v>
      </c>
      <c r="J51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14023</v>
      </c>
      <c r="J52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14567</v>
      </c>
      <c r="J53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10020</v>
      </c>
      <c r="I54" t="s">
        <v>14570</v>
      </c>
      <c r="J54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14573</v>
      </c>
      <c r="J55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10020</v>
      </c>
      <c r="I56" t="s">
        <v>14576</v>
      </c>
      <c r="J56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10020</v>
      </c>
      <c r="I57" t="s">
        <v>14579</v>
      </c>
      <c r="J57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14582</v>
      </c>
      <c r="J5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10020</v>
      </c>
      <c r="I59" t="s">
        <v>14585</v>
      </c>
      <c r="J5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10020</v>
      </c>
      <c r="I60" t="s">
        <v>14588</v>
      </c>
      <c r="J60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9597</v>
      </c>
      <c r="I61" t="s">
        <v>14591</v>
      </c>
      <c r="J61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10020</v>
      </c>
      <c r="I62" t="s">
        <v>14594</v>
      </c>
      <c r="J62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14597</v>
      </c>
      <c r="J63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14600</v>
      </c>
      <c r="J64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10020</v>
      </c>
      <c r="I65" t="s">
        <v>14603</v>
      </c>
      <c r="J65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14606</v>
      </c>
      <c r="J66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10020</v>
      </c>
      <c r="I67" t="s">
        <v>14609</v>
      </c>
      <c r="J67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14612</v>
      </c>
      <c r="J6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14615</v>
      </c>
      <c r="J6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10020</v>
      </c>
      <c r="I70" t="s">
        <v>14618</v>
      </c>
      <c r="J70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10020</v>
      </c>
      <c r="I71" t="s">
        <v>14621</v>
      </c>
      <c r="J71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10020</v>
      </c>
      <c r="I72" t="s">
        <v>14624</v>
      </c>
      <c r="J72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10020</v>
      </c>
      <c r="I73" t="s">
        <v>14627</v>
      </c>
      <c r="J73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</sheetData>
  <conditionalFormatting sqref="D74:D84 E74:E87 D2:E73 G2:H73">
    <cfRule type="containsText" dxfId="769" priority="14" operator="containsText" text="Выезд с территории">
      <formula>NOT(ISERROR(SEARCH("Выезд с территории",D2)))</formula>
    </cfRule>
  </conditionalFormatting>
  <conditionalFormatting sqref="F2:F73">
    <cfRule type="notContainsText" dxfId="768" priority="13" operator="notContains" text="порожний">
      <formula>ISERROR(SEARCH("порожний",F2))</formula>
    </cfRule>
  </conditionalFormatting>
  <conditionalFormatting sqref="E2:E87">
    <cfRule type="containsText" dxfId="767" priority="11" operator="containsText" text="Газель базы">
      <formula>NOT(ISERROR(SEARCH("Газель базы",E2)))</formula>
    </cfRule>
    <cfRule type="containsText" dxfId="766" priority="12" operator="containsText" text="Погрузчик базы">
      <formula>NOT(ISERROR(SEARCH("Погрузчик базы",E2)))</formula>
    </cfRule>
  </conditionalFormatting>
  <conditionalFormatting sqref="E2:E87">
    <cfRule type="containsText" dxfId="765" priority="10" operator="containsText" text="Трактор базы">
      <formula>NOT(ISERROR(SEARCH("Трактор базы",E2)))</formula>
    </cfRule>
  </conditionalFormatting>
  <conditionalFormatting sqref="A2:C73">
    <cfRule type="expression" dxfId="764" priority="9">
      <formula>$A2="пн"</formula>
    </cfRule>
  </conditionalFormatting>
  <conditionalFormatting sqref="A2:C75">
    <cfRule type="expression" dxfId="763" priority="3">
      <formula>$A2="вс"</formula>
    </cfRule>
    <cfRule type="expression" dxfId="762" priority="4">
      <formula>$A2="сб"</formula>
    </cfRule>
    <cfRule type="expression" dxfId="761" priority="5">
      <formula>$A2="пт"</formula>
    </cfRule>
    <cfRule type="expression" dxfId="760" priority="6">
      <formula>$A2="чт"</formula>
    </cfRule>
    <cfRule type="expression" dxfId="759" priority="7">
      <formula>$A2="ср"</formula>
    </cfRule>
    <cfRule type="expression" dxfId="758" priority="8">
      <formula>$A2="вт"</formula>
    </cfRule>
  </conditionalFormatting>
  <conditionalFormatting sqref="D2:D84">
    <cfRule type="containsText" dxfId="7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">
    <cfRule type="containsText" dxfId="7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34"/>
  <sheetViews>
    <sheetView zoomScale="90" zoomScaleNormal="90" workbookViewId="0">
      <pane ySplit="1" topLeftCell="A2" activePane="bottomLeft" state="frozen"/>
      <selection pane="bottomLeft" activeCell="I16" sqref="I16:I3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0.140625" bestFit="1" customWidth="1"/>
    <col min="5" max="5" width="26.85546875" bestFit="1" customWidth="1"/>
    <col min="6" max="6" width="6.28515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10865</v>
      </c>
      <c r="J2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8</v>
      </c>
      <c r="I3" t="s">
        <v>10573</v>
      </c>
      <c r="J3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11066</v>
      </c>
      <c r="I4" t="s">
        <v>10576</v>
      </c>
      <c r="J4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8</v>
      </c>
      <c r="I5" t="s">
        <v>10579</v>
      </c>
      <c r="J5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13614</v>
      </c>
      <c r="J6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13617</v>
      </c>
      <c r="J7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13620</v>
      </c>
      <c r="J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13623</v>
      </c>
      <c r="J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13626</v>
      </c>
      <c r="J10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13629</v>
      </c>
      <c r="J11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13632</v>
      </c>
      <c r="J12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13635</v>
      </c>
      <c r="J13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1607</v>
      </c>
      <c r="E14" t="s">
        <v>8</v>
      </c>
      <c r="I14" t="s">
        <v>14026</v>
      </c>
      <c r="J14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1607</v>
      </c>
      <c r="E15" t="s">
        <v>8</v>
      </c>
      <c r="I15" t="s">
        <v>14029</v>
      </c>
      <c r="J15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16692</v>
      </c>
      <c r="E16" t="s">
        <v>86</v>
      </c>
      <c r="I16" t="s">
        <v>14630</v>
      </c>
      <c r="J16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14633</v>
      </c>
      <c r="J17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14636</v>
      </c>
      <c r="J1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11070</v>
      </c>
      <c r="H19" t="s">
        <v>4390</v>
      </c>
      <c r="I19" t="s">
        <v>14639</v>
      </c>
      <c r="J1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14642</v>
      </c>
      <c r="J20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1607</v>
      </c>
      <c r="E21" t="s">
        <v>8</v>
      </c>
      <c r="I21" t="s">
        <v>14645</v>
      </c>
      <c r="J21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1607</v>
      </c>
      <c r="E22" t="s">
        <v>8</v>
      </c>
      <c r="I22" t="s">
        <v>14648</v>
      </c>
      <c r="J22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16595</v>
      </c>
      <c r="J23" t="s">
        <v>11085</v>
      </c>
      <c r="K23" t="s">
        <v>16596</v>
      </c>
      <c r="L23" t="s">
        <v>16597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16598</v>
      </c>
      <c r="J24" t="s">
        <v>11085</v>
      </c>
      <c r="K24" t="s">
        <v>16599</v>
      </c>
      <c r="L24" t="s">
        <v>16600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1607</v>
      </c>
      <c r="E25" t="s">
        <v>8</v>
      </c>
      <c r="I25" t="s">
        <v>16601</v>
      </c>
      <c r="J25" t="s">
        <v>11085</v>
      </c>
      <c r="K25" t="s">
        <v>16602</v>
      </c>
      <c r="L25" t="s">
        <v>16603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16604</v>
      </c>
      <c r="J26" t="s">
        <v>11085</v>
      </c>
      <c r="K26" t="s">
        <v>16605</v>
      </c>
      <c r="L26" t="s">
        <v>16606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16692</v>
      </c>
      <c r="E27" t="s">
        <v>1274</v>
      </c>
      <c r="I27" t="s">
        <v>16607</v>
      </c>
      <c r="J27" t="s">
        <v>11085</v>
      </c>
      <c r="K27" t="s">
        <v>16608</v>
      </c>
      <c r="L27" t="s">
        <v>16609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16610</v>
      </c>
      <c r="J28" t="s">
        <v>11085</v>
      </c>
      <c r="K28" t="s">
        <v>16611</v>
      </c>
      <c r="L28" t="s">
        <v>16612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16663</v>
      </c>
      <c r="I29" t="s">
        <v>16613</v>
      </c>
      <c r="J29" t="s">
        <v>11085</v>
      </c>
      <c r="K29" t="s">
        <v>16614</v>
      </c>
      <c r="L29" t="s">
        <v>16615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468</v>
      </c>
      <c r="I30" t="s">
        <v>16616</v>
      </c>
      <c r="J30" t="s">
        <v>11085</v>
      </c>
      <c r="K30" t="s">
        <v>16617</v>
      </c>
      <c r="L30" t="s">
        <v>16618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16693</v>
      </c>
      <c r="E31" t="s">
        <v>1274</v>
      </c>
      <c r="I31" t="s">
        <v>16619</v>
      </c>
      <c r="J31" t="s">
        <v>11085</v>
      </c>
      <c r="K31" t="s">
        <v>16620</v>
      </c>
      <c r="L31" t="s">
        <v>16621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1273</v>
      </c>
      <c r="E32" t="s">
        <v>16668</v>
      </c>
      <c r="I32" t="s">
        <v>16622</v>
      </c>
      <c r="J32" t="s">
        <v>11085</v>
      </c>
      <c r="K32" t="s">
        <v>16623</v>
      </c>
      <c r="L32" t="s">
        <v>16624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226</v>
      </c>
      <c r="E33" t="s">
        <v>16668</v>
      </c>
      <c r="F33" t="s">
        <v>58</v>
      </c>
      <c r="I33" t="s">
        <v>16625</v>
      </c>
      <c r="J33" t="s">
        <v>11085</v>
      </c>
      <c r="K33" t="s">
        <v>16626</v>
      </c>
      <c r="L33" t="s">
        <v>16627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226</v>
      </c>
      <c r="E34" t="s">
        <v>16668</v>
      </c>
      <c r="F34" t="s">
        <v>58</v>
      </c>
      <c r="H34" t="s">
        <v>16688</v>
      </c>
      <c r="I34" t="s">
        <v>16628</v>
      </c>
      <c r="J34" t="s">
        <v>11085</v>
      </c>
      <c r="K34" t="s">
        <v>16629</v>
      </c>
      <c r="L34" t="s">
        <v>16630</v>
      </c>
      <c r="M34" s="2" t="str">
        <f>HYPERLINK(входСтолярка[[#This Row],[RelativePath]])</f>
        <v>15 Вход столярка\GA3948333_9_20260305T191137Z.jpg</v>
      </c>
    </row>
  </sheetData>
  <conditionalFormatting sqref="D35:D45 E35:E48 D2:E34 G2:H34">
    <cfRule type="containsText" dxfId="755" priority="14" operator="containsText" text="Выезд с территории">
      <formula>NOT(ISERROR(SEARCH("Выезд с территории",D2)))</formula>
    </cfRule>
  </conditionalFormatting>
  <conditionalFormatting sqref="F2:F34">
    <cfRule type="notContainsText" dxfId="754" priority="13" operator="notContains" text="порожний">
      <formula>ISERROR(SEARCH("порожний",F2))</formula>
    </cfRule>
  </conditionalFormatting>
  <conditionalFormatting sqref="E2:E48">
    <cfRule type="containsText" dxfId="753" priority="11" operator="containsText" text="Газель базы">
      <formula>NOT(ISERROR(SEARCH("Газель базы",E2)))</formula>
    </cfRule>
    <cfRule type="containsText" dxfId="752" priority="12" operator="containsText" text="Погрузчик базы">
      <formula>NOT(ISERROR(SEARCH("Погрузчик базы",E2)))</formula>
    </cfRule>
  </conditionalFormatting>
  <conditionalFormatting sqref="E2:E48">
    <cfRule type="containsText" dxfId="751" priority="10" operator="containsText" text="Трактор базы">
      <formula>NOT(ISERROR(SEARCH("Трактор базы",E2)))</formula>
    </cfRule>
  </conditionalFormatting>
  <conditionalFormatting sqref="A2:C34">
    <cfRule type="expression" dxfId="750" priority="9">
      <formula>$A2="пн"</formula>
    </cfRule>
  </conditionalFormatting>
  <conditionalFormatting sqref="A2:C36">
    <cfRule type="expression" dxfId="749" priority="3">
      <formula>$A2="вс"</formula>
    </cfRule>
    <cfRule type="expression" dxfId="748" priority="4">
      <formula>$A2="сб"</formula>
    </cfRule>
    <cfRule type="expression" dxfId="747" priority="5">
      <formula>$A2="пт"</formula>
    </cfRule>
    <cfRule type="expression" dxfId="746" priority="6">
      <formula>$A2="чт"</formula>
    </cfRule>
    <cfRule type="expression" dxfId="745" priority="7">
      <formula>$A2="ср"</formula>
    </cfRule>
    <cfRule type="expression" dxfId="744" priority="8">
      <formula>$A2="вт"</formula>
    </cfRule>
  </conditionalFormatting>
  <conditionalFormatting sqref="D2:D45">
    <cfRule type="containsText" dxfId="7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">
    <cfRule type="containsText" dxfId="7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85"/>
  <sheetViews>
    <sheetView tabSelected="1" zoomScale="90" zoomScaleNormal="90" workbookViewId="0">
      <pane ySplit="1" topLeftCell="A42" activePane="bottomLeft" state="frozen"/>
      <selection pane="bottomLeft" activeCell="H55" sqref="H5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28515625" bestFit="1" customWidth="1"/>
    <col min="5" max="5" width="18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11080</v>
      </c>
      <c r="I2" t="s">
        <v>10868</v>
      </c>
      <c r="J2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11080</v>
      </c>
      <c r="H3" t="s">
        <v>11081</v>
      </c>
      <c r="I3" t="s">
        <v>10871</v>
      </c>
      <c r="J3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11080</v>
      </c>
      <c r="H4" t="s">
        <v>11081</v>
      </c>
      <c r="I4" t="s">
        <v>10874</v>
      </c>
      <c r="J4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11080</v>
      </c>
      <c r="I5" t="s">
        <v>10877</v>
      </c>
      <c r="J5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10880</v>
      </c>
      <c r="J6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13638</v>
      </c>
      <c r="J7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1607</v>
      </c>
      <c r="E8" t="s">
        <v>8</v>
      </c>
      <c r="I8" t="s">
        <v>13641</v>
      </c>
      <c r="J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1607</v>
      </c>
      <c r="E9" t="s">
        <v>8</v>
      </c>
      <c r="I9" t="s">
        <v>13644</v>
      </c>
      <c r="J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13647</v>
      </c>
      <c r="J10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13650</v>
      </c>
      <c r="J11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1607</v>
      </c>
      <c r="E12" t="s">
        <v>11080</v>
      </c>
      <c r="I12" t="s">
        <v>14032</v>
      </c>
      <c r="J12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1607</v>
      </c>
      <c r="E13" t="s">
        <v>11080</v>
      </c>
      <c r="I13" t="s">
        <v>14035</v>
      </c>
      <c r="J13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1607</v>
      </c>
      <c r="E14" t="s">
        <v>11080</v>
      </c>
      <c r="I14" t="s">
        <v>14651</v>
      </c>
      <c r="J14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468</v>
      </c>
      <c r="I15" t="s">
        <v>14654</v>
      </c>
      <c r="J15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16694</v>
      </c>
      <c r="I16" t="s">
        <v>14657</v>
      </c>
      <c r="J16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1274</v>
      </c>
      <c r="I17" t="s">
        <v>14660</v>
      </c>
      <c r="J17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16695</v>
      </c>
      <c r="I18" t="s">
        <v>14663</v>
      </c>
      <c r="J1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1274</v>
      </c>
      <c r="I19" t="s">
        <v>14666</v>
      </c>
      <c r="J1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1607</v>
      </c>
      <c r="E20" t="s">
        <v>11080</v>
      </c>
      <c r="I20" t="s">
        <v>14669</v>
      </c>
      <c r="J20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1274</v>
      </c>
      <c r="I21" t="s">
        <v>14672</v>
      </c>
      <c r="J21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1274</v>
      </c>
      <c r="I22" t="s">
        <v>14675</v>
      </c>
      <c r="J22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16696</v>
      </c>
      <c r="E23" t="s">
        <v>1274</v>
      </c>
      <c r="I23" t="s">
        <v>14678</v>
      </c>
      <c r="J23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16696</v>
      </c>
      <c r="E24" t="s">
        <v>1274</v>
      </c>
      <c r="I24" t="s">
        <v>14681</v>
      </c>
      <c r="J24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16696</v>
      </c>
      <c r="E25" t="s">
        <v>1274</v>
      </c>
      <c r="I25" t="s">
        <v>14684</v>
      </c>
      <c r="J25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16696</v>
      </c>
      <c r="E26" t="s">
        <v>1274</v>
      </c>
      <c r="I26" t="s">
        <v>14687</v>
      </c>
      <c r="J26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1607</v>
      </c>
      <c r="E27" t="s">
        <v>11080</v>
      </c>
      <c r="I27" t="s">
        <v>14690</v>
      </c>
      <c r="J27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468</v>
      </c>
      <c r="I28" t="s">
        <v>14693</v>
      </c>
      <c r="J2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1274</v>
      </c>
      <c r="I29" t="s">
        <v>14696</v>
      </c>
      <c r="J2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16695</v>
      </c>
      <c r="I30" t="s">
        <v>14699</v>
      </c>
      <c r="J30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1274</v>
      </c>
      <c r="I31" t="s">
        <v>14702</v>
      </c>
      <c r="J31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1607</v>
      </c>
      <c r="E32" t="s">
        <v>11080</v>
      </c>
      <c r="I32" t="s">
        <v>14705</v>
      </c>
      <c r="J32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1607</v>
      </c>
      <c r="E33" t="s">
        <v>11080</v>
      </c>
      <c r="I33" t="s">
        <v>14708</v>
      </c>
      <c r="J33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1274</v>
      </c>
      <c r="I34" t="s">
        <v>14711</v>
      </c>
      <c r="J34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468</v>
      </c>
      <c r="I35" t="s">
        <v>14714</v>
      </c>
      <c r="J35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468</v>
      </c>
      <c r="I36" t="s">
        <v>14717</v>
      </c>
      <c r="J36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16696</v>
      </c>
      <c r="E37" t="s">
        <v>468</v>
      </c>
      <c r="I37" t="s">
        <v>14720</v>
      </c>
      <c r="J37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16696</v>
      </c>
      <c r="E38" t="s">
        <v>468</v>
      </c>
      <c r="I38" t="s">
        <v>14723</v>
      </c>
      <c r="J3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16696</v>
      </c>
      <c r="E39" t="s">
        <v>468</v>
      </c>
      <c r="I39" t="s">
        <v>14726</v>
      </c>
      <c r="J3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16696</v>
      </c>
      <c r="E40" t="s">
        <v>468</v>
      </c>
      <c r="I40" t="s">
        <v>14729</v>
      </c>
      <c r="J40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16696</v>
      </c>
      <c r="E41" t="s">
        <v>468</v>
      </c>
      <c r="I41" t="s">
        <v>14732</v>
      </c>
      <c r="J41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468</v>
      </c>
      <c r="I42" t="s">
        <v>14735</v>
      </c>
      <c r="J42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16694</v>
      </c>
      <c r="I43" t="s">
        <v>14738</v>
      </c>
      <c r="J43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16696</v>
      </c>
      <c r="E44" t="s">
        <v>468</v>
      </c>
      <c r="I44" t="s">
        <v>14741</v>
      </c>
      <c r="J44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16696</v>
      </c>
      <c r="E45" t="s">
        <v>468</v>
      </c>
      <c r="I45" t="s">
        <v>14744</v>
      </c>
      <c r="J45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16696</v>
      </c>
      <c r="E46" t="s">
        <v>468</v>
      </c>
      <c r="I46" t="s">
        <v>14747</v>
      </c>
      <c r="J46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16696</v>
      </c>
      <c r="E47" t="s">
        <v>468</v>
      </c>
      <c r="I47" t="s">
        <v>14750</v>
      </c>
      <c r="J47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16696</v>
      </c>
      <c r="E48" t="s">
        <v>468</v>
      </c>
      <c r="I48" t="s">
        <v>14753</v>
      </c>
      <c r="J4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16694</v>
      </c>
      <c r="I49" t="s">
        <v>14756</v>
      </c>
      <c r="J4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1274</v>
      </c>
      <c r="I50" t="s">
        <v>14759</v>
      </c>
      <c r="J50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468</v>
      </c>
      <c r="I51" t="s">
        <v>14762</v>
      </c>
      <c r="J51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468</v>
      </c>
      <c r="I52" t="s">
        <v>14765</v>
      </c>
      <c r="J52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468</v>
      </c>
      <c r="I53" t="s">
        <v>14768</v>
      </c>
      <c r="J53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468</v>
      </c>
      <c r="I54" t="s">
        <v>14771</v>
      </c>
      <c r="J54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16694</v>
      </c>
      <c r="I55" t="s">
        <v>14774</v>
      </c>
      <c r="J55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16696</v>
      </c>
      <c r="E56" t="s">
        <v>468</v>
      </c>
      <c r="I56" t="s">
        <v>14777</v>
      </c>
      <c r="J56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16696</v>
      </c>
      <c r="E57" t="s">
        <v>468</v>
      </c>
      <c r="I57" t="s">
        <v>14780</v>
      </c>
      <c r="J57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16696</v>
      </c>
      <c r="E58" t="s">
        <v>468</v>
      </c>
      <c r="I58" t="s">
        <v>14783</v>
      </c>
      <c r="J5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16696</v>
      </c>
      <c r="E59" t="s">
        <v>468</v>
      </c>
      <c r="I59" t="s">
        <v>14786</v>
      </c>
      <c r="J5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16696</v>
      </c>
      <c r="E60" t="s">
        <v>468</v>
      </c>
      <c r="I60" t="s">
        <v>14789</v>
      </c>
      <c r="J60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16696</v>
      </c>
      <c r="E61" t="s">
        <v>468</v>
      </c>
      <c r="I61" t="s">
        <v>14792</v>
      </c>
      <c r="J61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16696</v>
      </c>
      <c r="E62" t="s">
        <v>468</v>
      </c>
      <c r="I62" t="s">
        <v>14795</v>
      </c>
      <c r="J62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16696</v>
      </c>
      <c r="E63" t="s">
        <v>468</v>
      </c>
      <c r="I63" t="s">
        <v>14798</v>
      </c>
      <c r="J63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16696</v>
      </c>
      <c r="E64" t="s">
        <v>468</v>
      </c>
      <c r="I64" t="s">
        <v>14801</v>
      </c>
      <c r="J64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468</v>
      </c>
      <c r="I65" t="s">
        <v>14804</v>
      </c>
      <c r="J65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1274</v>
      </c>
      <c r="I66" t="s">
        <v>14807</v>
      </c>
      <c r="J66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468</v>
      </c>
      <c r="I67" t="s">
        <v>14810</v>
      </c>
      <c r="J67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16696</v>
      </c>
      <c r="E68" t="s">
        <v>468</v>
      </c>
      <c r="I68" t="s">
        <v>14813</v>
      </c>
      <c r="J6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16696</v>
      </c>
      <c r="E69" t="s">
        <v>468</v>
      </c>
      <c r="I69" t="s">
        <v>14816</v>
      </c>
      <c r="J6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16694</v>
      </c>
      <c r="I70" t="s">
        <v>14819</v>
      </c>
      <c r="J70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1274</v>
      </c>
      <c r="I71" t="s">
        <v>14822</v>
      </c>
      <c r="J71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468</v>
      </c>
      <c r="I72" t="s">
        <v>14825</v>
      </c>
      <c r="J72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468</v>
      </c>
      <c r="I73" t="s">
        <v>14828</v>
      </c>
      <c r="J73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16696</v>
      </c>
      <c r="E74" t="s">
        <v>468</v>
      </c>
      <c r="I74" t="s">
        <v>14831</v>
      </c>
      <c r="J74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16696</v>
      </c>
      <c r="E75" t="s">
        <v>468</v>
      </c>
      <c r="I75" t="s">
        <v>14834</v>
      </c>
      <c r="J75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16696</v>
      </c>
      <c r="E76" t="s">
        <v>468</v>
      </c>
      <c r="I76" t="s">
        <v>14837</v>
      </c>
      <c r="J76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16696</v>
      </c>
      <c r="E77" t="s">
        <v>468</v>
      </c>
      <c r="I77" t="s">
        <v>14840</v>
      </c>
      <c r="J77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468</v>
      </c>
      <c r="I78" t="s">
        <v>14843</v>
      </c>
      <c r="J7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16697</v>
      </c>
      <c r="E79" t="s">
        <v>468</v>
      </c>
      <c r="I79" t="s">
        <v>14846</v>
      </c>
      <c r="J7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11080</v>
      </c>
      <c r="I80" t="s">
        <v>14849</v>
      </c>
      <c r="J80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16698</v>
      </c>
      <c r="I81" t="s">
        <v>14852</v>
      </c>
      <c r="J81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16698</v>
      </c>
      <c r="I82" t="s">
        <v>14855</v>
      </c>
      <c r="J82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16698</v>
      </c>
      <c r="I83" t="s">
        <v>14858</v>
      </c>
      <c r="J83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16695</v>
      </c>
      <c r="I84" t="s">
        <v>14861</v>
      </c>
      <c r="J84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11080</v>
      </c>
      <c r="I85" t="s">
        <v>14864</v>
      </c>
      <c r="J85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</sheetData>
  <conditionalFormatting sqref="D86:D96 E86:E99 D2:E85 G2:H85">
    <cfRule type="containsText" dxfId="741" priority="14" operator="containsText" text="Выезд с территории">
      <formula>NOT(ISERROR(SEARCH("Выезд с территории",D2)))</formula>
    </cfRule>
  </conditionalFormatting>
  <conditionalFormatting sqref="F2:F85">
    <cfRule type="notContainsText" dxfId="740" priority="13" operator="notContains" text="порожний">
      <formula>ISERROR(SEARCH("порожний",F2))</formula>
    </cfRule>
  </conditionalFormatting>
  <conditionalFormatting sqref="E2:E99">
    <cfRule type="containsText" dxfId="739" priority="11" operator="containsText" text="Газель базы">
      <formula>NOT(ISERROR(SEARCH("Газель базы",E2)))</formula>
    </cfRule>
    <cfRule type="containsText" dxfId="738" priority="12" operator="containsText" text="Погрузчик базы">
      <formula>NOT(ISERROR(SEARCH("Погрузчик базы",E2)))</formula>
    </cfRule>
  </conditionalFormatting>
  <conditionalFormatting sqref="E2:E99">
    <cfRule type="containsText" dxfId="737" priority="10" operator="containsText" text="Трактор базы">
      <formula>NOT(ISERROR(SEARCH("Трактор базы",E2)))</formula>
    </cfRule>
  </conditionalFormatting>
  <conditionalFormatting sqref="A2:C85">
    <cfRule type="expression" dxfId="736" priority="9">
      <formula>$A2="пн"</formula>
    </cfRule>
  </conditionalFormatting>
  <conditionalFormatting sqref="A2:C87">
    <cfRule type="expression" dxfId="735" priority="3">
      <formula>$A2="вс"</formula>
    </cfRule>
    <cfRule type="expression" dxfId="734" priority="4">
      <formula>$A2="сб"</formula>
    </cfRule>
    <cfRule type="expression" dxfId="733" priority="5">
      <formula>$A2="пт"</formula>
    </cfRule>
    <cfRule type="expression" dxfId="732" priority="6">
      <formula>$A2="чт"</formula>
    </cfRule>
    <cfRule type="expression" dxfId="731" priority="7">
      <formula>$A2="ср"</formula>
    </cfRule>
    <cfRule type="expression" dxfId="730" priority="8">
      <formula>$A2="вт"</formula>
    </cfRule>
  </conditionalFormatting>
  <conditionalFormatting sqref="D2:D96">
    <cfRule type="containsText" dxfId="7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">
    <cfRule type="containsText" dxfId="7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900"/>
  <sheetViews>
    <sheetView topLeftCell="A4877" zoomScale="90" zoomScaleNormal="90" workbookViewId="0">
      <selection activeCell="B4905" sqref="B490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hidden="1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hidden="1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hidden="1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hidden="1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hidden="1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hidden="1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hidden="1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hidden="1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hidden="1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hidden="1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hidden="1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hidden="1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hidden="1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hidden="1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hidden="1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hidden="1" x14ac:dyDescent="0.25">
      <c r="A4344" t="s">
        <v>11084</v>
      </c>
      <c r="B4344" t="s">
        <v>8</v>
      </c>
      <c r="F4344" t="s">
        <v>13677</v>
      </c>
      <c r="G4344" t="s">
        <v>11082</v>
      </c>
    </row>
    <row r="4345" spans="1:7" hidden="1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hidden="1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hidden="1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hidden="1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hidden="1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hidden="1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hidden="1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hidden="1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hidden="1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hidden="1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hidden="1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hidden="1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hidden="1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hidden="1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hidden="1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hidden="1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hidden="1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hidden="1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hidden="1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hidden="1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hidden="1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hidden="1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hidden="1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hidden="1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hidden="1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hidden="1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hidden="1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16184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16185</v>
      </c>
      <c r="E4431" t="s">
        <v>16186</v>
      </c>
      <c r="F4431" t="s">
        <v>14090</v>
      </c>
      <c r="G4431" t="s">
        <v>91</v>
      </c>
    </row>
    <row r="4432" spans="1:7" hidden="1" x14ac:dyDescent="0.25">
      <c r="A4432" t="s">
        <v>16185</v>
      </c>
      <c r="E4432" t="s">
        <v>16186</v>
      </c>
      <c r="F4432" t="s">
        <v>16187</v>
      </c>
      <c r="G4432" t="s">
        <v>91</v>
      </c>
    </row>
    <row r="4433" spans="1:7" hidden="1" x14ac:dyDescent="0.25">
      <c r="A4433" t="s">
        <v>16185</v>
      </c>
      <c r="E4433" t="s">
        <v>16186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16658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16659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16658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16658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16190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16660</v>
      </c>
      <c r="F4454" t="s">
        <v>14334</v>
      </c>
      <c r="G4454" t="s">
        <v>11071</v>
      </c>
    </row>
    <row r="4455" spans="1:7" hidden="1" x14ac:dyDescent="0.25">
      <c r="A4455" t="s">
        <v>16661</v>
      </c>
      <c r="B4455" t="s">
        <v>16660</v>
      </c>
      <c r="E4455" t="s">
        <v>16662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16660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16663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16668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16668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16668</v>
      </c>
      <c r="C4467" t="s">
        <v>16664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16665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16665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16666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16666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16667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16666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16666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16660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16668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16668</v>
      </c>
      <c r="C4491" t="s">
        <v>16664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16669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16668</v>
      </c>
      <c r="C4506" t="s">
        <v>16664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16670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16672</v>
      </c>
      <c r="B4558" t="s">
        <v>468</v>
      </c>
      <c r="D4558">
        <v>2</v>
      </c>
      <c r="F4558" t="s">
        <v>15258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16673</v>
      </c>
      <c r="F4565" t="s">
        <v>15029</v>
      </c>
      <c r="G4565" t="s">
        <v>12641</v>
      </c>
    </row>
    <row r="4566" spans="1:7" hidden="1" x14ac:dyDescent="0.25">
      <c r="A4566" t="s">
        <v>16673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16674</v>
      </c>
      <c r="E4571" t="s">
        <v>16675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16193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16196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16199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16202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16205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16208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16211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16214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16217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16220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16223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16226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16229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16232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16235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16238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16241</v>
      </c>
      <c r="G4590" t="s">
        <v>12641</v>
      </c>
    </row>
    <row r="4591" spans="1:7" hidden="1" x14ac:dyDescent="0.25">
      <c r="A4591" t="s">
        <v>16676</v>
      </c>
      <c r="F4591" t="s">
        <v>16244</v>
      </c>
      <c r="G4591" t="s">
        <v>12641</v>
      </c>
    </row>
    <row r="4592" spans="1:7" hidden="1" x14ac:dyDescent="0.25">
      <c r="A4592" t="s">
        <v>16676</v>
      </c>
      <c r="E4592" t="s">
        <v>2352</v>
      </c>
      <c r="F4592" t="s">
        <v>16247</v>
      </c>
      <c r="G4592" t="s">
        <v>12641</v>
      </c>
    </row>
    <row r="4593" spans="1:7" hidden="1" x14ac:dyDescent="0.25">
      <c r="A4593" t="s">
        <v>16676</v>
      </c>
      <c r="E4593" t="s">
        <v>2352</v>
      </c>
      <c r="F4593" t="s">
        <v>16250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16253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16256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16259</v>
      </c>
      <c r="G4596" t="s">
        <v>12641</v>
      </c>
    </row>
    <row r="4597" spans="1:7" hidden="1" x14ac:dyDescent="0.25">
      <c r="A4597" t="s">
        <v>16677</v>
      </c>
      <c r="B4597" t="s">
        <v>86</v>
      </c>
      <c r="F4597" t="s">
        <v>16262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16265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16268</v>
      </c>
      <c r="G4599" t="s">
        <v>12641</v>
      </c>
    </row>
    <row r="4600" spans="1:7" hidden="1" x14ac:dyDescent="0.25">
      <c r="A4600" t="s">
        <v>16678</v>
      </c>
      <c r="B4600" t="s">
        <v>86</v>
      </c>
      <c r="F4600" t="s">
        <v>16271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16274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16277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16280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16283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16286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16289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16292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16295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16298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16301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16304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16307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16310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16313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16316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16319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16154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16157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16160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16163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16166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16169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16172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16175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16178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16679</v>
      </c>
      <c r="F4626" t="s">
        <v>16181</v>
      </c>
      <c r="G4626" t="s">
        <v>12642</v>
      </c>
    </row>
    <row r="4627" spans="1:7" hidden="1" x14ac:dyDescent="0.25">
      <c r="A4627" t="s">
        <v>20</v>
      </c>
      <c r="F4627" t="s">
        <v>16322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16325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16328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16331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16334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16337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16340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16343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16346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16349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16352</v>
      </c>
      <c r="G4637" t="s">
        <v>12642</v>
      </c>
    </row>
    <row r="4638" spans="1:7" hidden="1" x14ac:dyDescent="0.25">
      <c r="A4638" t="s">
        <v>16680</v>
      </c>
      <c r="B4638" t="s">
        <v>7355</v>
      </c>
      <c r="F4638" t="s">
        <v>16355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16358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16361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16364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16367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16370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16373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16376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16379</v>
      </c>
      <c r="G4646" t="s">
        <v>12642</v>
      </c>
    </row>
    <row r="4647" spans="1:7" hidden="1" x14ac:dyDescent="0.25">
      <c r="A4647" t="s">
        <v>16681</v>
      </c>
      <c r="F4647" t="s">
        <v>16382</v>
      </c>
      <c r="G4647" t="s">
        <v>12642</v>
      </c>
    </row>
    <row r="4648" spans="1:7" hidden="1" x14ac:dyDescent="0.25">
      <c r="A4648" t="s">
        <v>16681</v>
      </c>
      <c r="E4648" t="s">
        <v>2352</v>
      </c>
      <c r="F4648" t="s">
        <v>16385</v>
      </c>
      <c r="G4648" t="s">
        <v>12642</v>
      </c>
    </row>
    <row r="4649" spans="1:7" hidden="1" x14ac:dyDescent="0.25">
      <c r="A4649" t="s">
        <v>16681</v>
      </c>
      <c r="E4649" t="s">
        <v>2352</v>
      </c>
      <c r="F4649" t="s">
        <v>16388</v>
      </c>
      <c r="G4649" t="s">
        <v>12642</v>
      </c>
    </row>
    <row r="4650" spans="1:7" hidden="1" x14ac:dyDescent="0.25">
      <c r="A4650" t="s">
        <v>16676</v>
      </c>
      <c r="F4650" t="s">
        <v>16391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16394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16397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16400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16403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16406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16409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16412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16415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16418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16682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16683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16684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16685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16490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16493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16496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16499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16502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16505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16508</v>
      </c>
      <c r="G4679" t="s">
        <v>12643</v>
      </c>
    </row>
    <row r="4680" spans="1:7" hidden="1" x14ac:dyDescent="0.25">
      <c r="A4680" t="s">
        <v>4</v>
      </c>
      <c r="B4680" t="s">
        <v>16686</v>
      </c>
      <c r="F4680" t="s">
        <v>16511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16514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16517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16520</v>
      </c>
      <c r="G4683" t="s">
        <v>12643</v>
      </c>
    </row>
    <row r="4684" spans="1:7" hidden="1" x14ac:dyDescent="0.25">
      <c r="A4684" t="s">
        <v>1273</v>
      </c>
      <c r="B4684" t="s">
        <v>16663</v>
      </c>
      <c r="F4684" t="s">
        <v>16523</v>
      </c>
      <c r="G4684" t="s">
        <v>12643</v>
      </c>
    </row>
    <row r="4685" spans="1:7" hidden="1" x14ac:dyDescent="0.25">
      <c r="A4685" t="s">
        <v>16687</v>
      </c>
      <c r="F4685" t="s">
        <v>16526</v>
      </c>
      <c r="G4685" t="s">
        <v>12643</v>
      </c>
    </row>
    <row r="4686" spans="1:7" hidden="1" x14ac:dyDescent="0.25">
      <c r="A4686" t="s">
        <v>16687</v>
      </c>
      <c r="E4686" t="s">
        <v>2352</v>
      </c>
      <c r="F4686" t="s">
        <v>16529</v>
      </c>
      <c r="G4686" t="s">
        <v>12643</v>
      </c>
    </row>
    <row r="4687" spans="1:7" hidden="1" x14ac:dyDescent="0.25">
      <c r="A4687" t="s">
        <v>16687</v>
      </c>
      <c r="E4687" t="s">
        <v>2352</v>
      </c>
      <c r="F4687" t="s">
        <v>16532</v>
      </c>
      <c r="G4687" t="s">
        <v>12643</v>
      </c>
    </row>
    <row r="4688" spans="1:7" hidden="1" x14ac:dyDescent="0.25">
      <c r="A4688" t="s">
        <v>16687</v>
      </c>
      <c r="E4688" t="s">
        <v>2352</v>
      </c>
      <c r="F4688" t="s">
        <v>16535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16538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16541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16544</v>
      </c>
      <c r="G4691" t="s">
        <v>12643</v>
      </c>
    </row>
    <row r="4692" spans="1:7" hidden="1" x14ac:dyDescent="0.25">
      <c r="A4692" t="s">
        <v>1273</v>
      </c>
      <c r="B4692" t="s">
        <v>16668</v>
      </c>
      <c r="F4692" t="s">
        <v>16547</v>
      </c>
      <c r="G4692" t="s">
        <v>12643</v>
      </c>
    </row>
    <row r="4693" spans="1:7" hidden="1" x14ac:dyDescent="0.25">
      <c r="A4693" t="s">
        <v>226</v>
      </c>
      <c r="B4693" t="s">
        <v>16668</v>
      </c>
      <c r="C4693" t="s">
        <v>16664</v>
      </c>
      <c r="F4693" t="s">
        <v>16550</v>
      </c>
      <c r="G4693" t="s">
        <v>12643</v>
      </c>
    </row>
    <row r="4694" spans="1:7" hidden="1" x14ac:dyDescent="0.25">
      <c r="A4694" t="s">
        <v>226</v>
      </c>
      <c r="B4694" t="s">
        <v>16668</v>
      </c>
      <c r="C4694" t="s">
        <v>16664</v>
      </c>
      <c r="E4694" t="s">
        <v>2352</v>
      </c>
      <c r="F4694" t="s">
        <v>16553</v>
      </c>
      <c r="G4694" t="s">
        <v>12643</v>
      </c>
    </row>
    <row r="4695" spans="1:7" hidden="1" x14ac:dyDescent="0.25">
      <c r="A4695" t="s">
        <v>587</v>
      </c>
      <c r="B4695" t="s">
        <v>16668</v>
      </c>
      <c r="C4695" t="s">
        <v>16664</v>
      </c>
      <c r="F4695" t="s">
        <v>16556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16559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16562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16565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16568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16571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16574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16577</v>
      </c>
      <c r="G4702" t="s">
        <v>12643</v>
      </c>
    </row>
    <row r="4703" spans="1:7" hidden="1" x14ac:dyDescent="0.25">
      <c r="A4703" t="s">
        <v>16683</v>
      </c>
      <c r="B4703" t="s">
        <v>10130</v>
      </c>
      <c r="E4703" t="s">
        <v>4390</v>
      </c>
      <c r="F4703" t="s">
        <v>16580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16583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16586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16589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16592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16688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16421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16424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16427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16430</v>
      </c>
      <c r="G4718" t="s">
        <v>12644</v>
      </c>
    </row>
    <row r="4719" spans="1:7" hidden="1" x14ac:dyDescent="0.25">
      <c r="A4719" t="s">
        <v>1539</v>
      </c>
      <c r="F4719" t="s">
        <v>16433</v>
      </c>
      <c r="G4719" t="s">
        <v>12644</v>
      </c>
    </row>
    <row r="4720" spans="1:7" hidden="1" x14ac:dyDescent="0.25">
      <c r="A4720" t="s">
        <v>1539</v>
      </c>
      <c r="F4720" t="s">
        <v>16436</v>
      </c>
      <c r="G4720" t="s">
        <v>12644</v>
      </c>
    </row>
    <row r="4721" spans="1:7" hidden="1" x14ac:dyDescent="0.25">
      <c r="A4721" t="s">
        <v>1539</v>
      </c>
      <c r="F4721" t="s">
        <v>16439</v>
      </c>
      <c r="G4721" t="s">
        <v>12644</v>
      </c>
    </row>
    <row r="4722" spans="1:7" hidden="1" x14ac:dyDescent="0.25">
      <c r="A4722" t="s">
        <v>1539</v>
      </c>
      <c r="F4722" t="s">
        <v>16442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16445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16448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16451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16454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16689</v>
      </c>
      <c r="F4727" t="s">
        <v>16457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16460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16688</v>
      </c>
      <c r="F4729" t="s">
        <v>16463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16466</v>
      </c>
      <c r="G4730" t="s">
        <v>12644</v>
      </c>
    </row>
    <row r="4731" spans="1:7" hidden="1" x14ac:dyDescent="0.25">
      <c r="A4731" t="s">
        <v>4</v>
      </c>
      <c r="B4731" t="s">
        <v>16668</v>
      </c>
      <c r="C4731" t="s">
        <v>16664</v>
      </c>
      <c r="F4731" t="s">
        <v>16469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16472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16475</v>
      </c>
      <c r="G4733" t="s">
        <v>12644</v>
      </c>
    </row>
    <row r="4734" spans="1:7" hidden="1" x14ac:dyDescent="0.25">
      <c r="A4734" t="s">
        <v>1539</v>
      </c>
      <c r="F4734" t="s">
        <v>16478</v>
      </c>
      <c r="G4734" t="s">
        <v>12644</v>
      </c>
    </row>
    <row r="4735" spans="1:7" hidden="1" x14ac:dyDescent="0.25">
      <c r="A4735" t="s">
        <v>1539</v>
      </c>
      <c r="F4735" t="s">
        <v>16481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16484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16487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16690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16691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16692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16595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16598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16601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16604</v>
      </c>
      <c r="G4820" t="s">
        <v>11078</v>
      </c>
    </row>
    <row r="4821" spans="1:7" hidden="1" x14ac:dyDescent="0.25">
      <c r="A4821" t="s">
        <v>16692</v>
      </c>
      <c r="B4821" t="s">
        <v>1274</v>
      </c>
      <c r="F4821" t="s">
        <v>16607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16610</v>
      </c>
      <c r="G4822" t="s">
        <v>11078</v>
      </c>
    </row>
    <row r="4823" spans="1:7" hidden="1" x14ac:dyDescent="0.25">
      <c r="A4823" t="s">
        <v>4</v>
      </c>
      <c r="B4823" t="s">
        <v>16663</v>
      </c>
      <c r="F4823" t="s">
        <v>16613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16616</v>
      </c>
      <c r="G4824" t="s">
        <v>11078</v>
      </c>
    </row>
    <row r="4825" spans="1:7" hidden="1" x14ac:dyDescent="0.25">
      <c r="A4825" t="s">
        <v>16693</v>
      </c>
      <c r="B4825" t="s">
        <v>1274</v>
      </c>
      <c r="F4825" t="s">
        <v>16619</v>
      </c>
      <c r="G4825" t="s">
        <v>11078</v>
      </c>
    </row>
    <row r="4826" spans="1:7" hidden="1" x14ac:dyDescent="0.25">
      <c r="A4826" t="s">
        <v>1273</v>
      </c>
      <c r="B4826" t="s">
        <v>16668</v>
      </c>
      <c r="F4826" t="s">
        <v>16622</v>
      </c>
      <c r="G4826" t="s">
        <v>11078</v>
      </c>
    </row>
    <row r="4827" spans="1:7" hidden="1" x14ac:dyDescent="0.25">
      <c r="A4827" t="s">
        <v>226</v>
      </c>
      <c r="B4827" t="s">
        <v>16668</v>
      </c>
      <c r="C4827" t="s">
        <v>58</v>
      </c>
      <c r="F4827" t="s">
        <v>16625</v>
      </c>
      <c r="G4827" t="s">
        <v>11078</v>
      </c>
    </row>
    <row r="4828" spans="1:7" hidden="1" x14ac:dyDescent="0.25">
      <c r="A4828" t="s">
        <v>226</v>
      </c>
      <c r="B4828" t="s">
        <v>16668</v>
      </c>
      <c r="C4828" t="s">
        <v>58</v>
      </c>
      <c r="E4828" t="s">
        <v>16688</v>
      </c>
      <c r="F4828" t="s">
        <v>16628</v>
      </c>
      <c r="G4828" t="s">
        <v>11078</v>
      </c>
    </row>
    <row r="4829" spans="1:7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x14ac:dyDescent="0.25">
      <c r="A4831" t="s">
        <v>4</v>
      </c>
      <c r="B4831" t="s">
        <v>16694</v>
      </c>
      <c r="F4831" t="s">
        <v>14657</v>
      </c>
      <c r="G4831" t="s">
        <v>11079</v>
      </c>
    </row>
    <row r="4832" spans="1:7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x14ac:dyDescent="0.25">
      <c r="A4833" t="s">
        <v>4</v>
      </c>
      <c r="B4833" t="s">
        <v>16695</v>
      </c>
      <c r="F4833" t="s">
        <v>14663</v>
      </c>
      <c r="G4833" t="s">
        <v>11079</v>
      </c>
    </row>
    <row r="4834" spans="1:7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x14ac:dyDescent="0.25">
      <c r="A4838" t="s">
        <v>16696</v>
      </c>
      <c r="B4838" t="s">
        <v>1274</v>
      </c>
      <c r="F4838" t="s">
        <v>14678</v>
      </c>
      <c r="G4838" t="s">
        <v>11079</v>
      </c>
    </row>
    <row r="4839" spans="1:7" x14ac:dyDescent="0.25">
      <c r="A4839" t="s">
        <v>16696</v>
      </c>
      <c r="B4839" t="s">
        <v>1274</v>
      </c>
      <c r="F4839" t="s">
        <v>14681</v>
      </c>
      <c r="G4839" t="s">
        <v>11079</v>
      </c>
    </row>
    <row r="4840" spans="1:7" x14ac:dyDescent="0.25">
      <c r="A4840" t="s">
        <v>16696</v>
      </c>
      <c r="B4840" t="s">
        <v>1274</v>
      </c>
      <c r="F4840" t="s">
        <v>14684</v>
      </c>
      <c r="G4840" t="s">
        <v>11079</v>
      </c>
    </row>
    <row r="4841" spans="1:7" x14ac:dyDescent="0.25">
      <c r="A4841" t="s">
        <v>16696</v>
      </c>
      <c r="B4841" t="s">
        <v>1274</v>
      </c>
      <c r="F4841" t="s">
        <v>14687</v>
      </c>
      <c r="G4841" t="s">
        <v>11079</v>
      </c>
    </row>
    <row r="4842" spans="1:7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x14ac:dyDescent="0.25">
      <c r="A4845" t="s">
        <v>4</v>
      </c>
      <c r="B4845" t="s">
        <v>16695</v>
      </c>
      <c r="F4845" t="s">
        <v>14699</v>
      </c>
      <c r="G4845" t="s">
        <v>11079</v>
      </c>
    </row>
    <row r="4846" spans="1:7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x14ac:dyDescent="0.25">
      <c r="A4852" t="s">
        <v>16696</v>
      </c>
      <c r="B4852" t="s">
        <v>468</v>
      </c>
      <c r="F4852" t="s">
        <v>14720</v>
      </c>
      <c r="G4852" t="s">
        <v>11079</v>
      </c>
    </row>
    <row r="4853" spans="1:7" x14ac:dyDescent="0.25">
      <c r="A4853" t="s">
        <v>16696</v>
      </c>
      <c r="B4853" t="s">
        <v>468</v>
      </c>
      <c r="F4853" t="s">
        <v>14723</v>
      </c>
      <c r="G4853" t="s">
        <v>11079</v>
      </c>
    </row>
    <row r="4854" spans="1:7" x14ac:dyDescent="0.25">
      <c r="A4854" t="s">
        <v>16696</v>
      </c>
      <c r="B4854" t="s">
        <v>468</v>
      </c>
      <c r="F4854" t="s">
        <v>14726</v>
      </c>
      <c r="G4854" t="s">
        <v>11079</v>
      </c>
    </row>
    <row r="4855" spans="1:7" x14ac:dyDescent="0.25">
      <c r="A4855" t="s">
        <v>16696</v>
      </c>
      <c r="B4855" t="s">
        <v>468</v>
      </c>
      <c r="F4855" t="s">
        <v>14729</v>
      </c>
      <c r="G4855" t="s">
        <v>11079</v>
      </c>
    </row>
    <row r="4856" spans="1:7" x14ac:dyDescent="0.25">
      <c r="A4856" t="s">
        <v>16696</v>
      </c>
      <c r="B4856" t="s">
        <v>468</v>
      </c>
      <c r="F4856" t="s">
        <v>14732</v>
      </c>
      <c r="G4856" t="s">
        <v>11079</v>
      </c>
    </row>
    <row r="4857" spans="1:7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x14ac:dyDescent="0.25">
      <c r="A4858" t="s">
        <v>4</v>
      </c>
      <c r="B4858" t="s">
        <v>16694</v>
      </c>
      <c r="F4858" t="s">
        <v>14738</v>
      </c>
      <c r="G4858" t="s">
        <v>11079</v>
      </c>
    </row>
    <row r="4859" spans="1:7" x14ac:dyDescent="0.25">
      <c r="A4859" t="s">
        <v>16696</v>
      </c>
      <c r="B4859" t="s">
        <v>468</v>
      </c>
      <c r="F4859" t="s">
        <v>14741</v>
      </c>
      <c r="G4859" t="s">
        <v>11079</v>
      </c>
    </row>
    <row r="4860" spans="1:7" x14ac:dyDescent="0.25">
      <c r="A4860" t="s">
        <v>16696</v>
      </c>
      <c r="B4860" t="s">
        <v>468</v>
      </c>
      <c r="F4860" t="s">
        <v>14744</v>
      </c>
      <c r="G4860" t="s">
        <v>11079</v>
      </c>
    </row>
    <row r="4861" spans="1:7" x14ac:dyDescent="0.25">
      <c r="A4861" t="s">
        <v>16696</v>
      </c>
      <c r="B4861" t="s">
        <v>468</v>
      </c>
      <c r="F4861" t="s">
        <v>14747</v>
      </c>
      <c r="G4861" t="s">
        <v>11079</v>
      </c>
    </row>
    <row r="4862" spans="1:7" x14ac:dyDescent="0.25">
      <c r="A4862" t="s">
        <v>16696</v>
      </c>
      <c r="B4862" t="s">
        <v>468</v>
      </c>
      <c r="F4862" t="s">
        <v>14750</v>
      </c>
      <c r="G4862" t="s">
        <v>11079</v>
      </c>
    </row>
    <row r="4863" spans="1:7" x14ac:dyDescent="0.25">
      <c r="A4863" t="s">
        <v>16696</v>
      </c>
      <c r="B4863" t="s">
        <v>468</v>
      </c>
      <c r="F4863" t="s">
        <v>14753</v>
      </c>
      <c r="G4863" t="s">
        <v>11079</v>
      </c>
    </row>
    <row r="4864" spans="1:7" x14ac:dyDescent="0.25">
      <c r="A4864" t="s">
        <v>4</v>
      </c>
      <c r="B4864" t="s">
        <v>16694</v>
      </c>
      <c r="F4864" t="s">
        <v>14756</v>
      </c>
      <c r="G4864" t="s">
        <v>11079</v>
      </c>
    </row>
    <row r="4865" spans="1:7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x14ac:dyDescent="0.25">
      <c r="A4870" t="s">
        <v>4</v>
      </c>
      <c r="B4870" t="s">
        <v>16694</v>
      </c>
      <c r="F4870" t="s">
        <v>14774</v>
      </c>
      <c r="G4870" t="s">
        <v>11079</v>
      </c>
    </row>
    <row r="4871" spans="1:7" x14ac:dyDescent="0.25">
      <c r="A4871" t="s">
        <v>16696</v>
      </c>
      <c r="B4871" t="s">
        <v>468</v>
      </c>
      <c r="F4871" t="s">
        <v>14777</v>
      </c>
      <c r="G4871" t="s">
        <v>11079</v>
      </c>
    </row>
    <row r="4872" spans="1:7" x14ac:dyDescent="0.25">
      <c r="A4872" t="s">
        <v>16696</v>
      </c>
      <c r="B4872" t="s">
        <v>468</v>
      </c>
      <c r="F4872" t="s">
        <v>14780</v>
      </c>
      <c r="G4872" t="s">
        <v>11079</v>
      </c>
    </row>
    <row r="4873" spans="1:7" x14ac:dyDescent="0.25">
      <c r="A4873" t="s">
        <v>16696</v>
      </c>
      <c r="B4873" t="s">
        <v>468</v>
      </c>
      <c r="F4873" t="s">
        <v>14783</v>
      </c>
      <c r="G4873" t="s">
        <v>11079</v>
      </c>
    </row>
    <row r="4874" spans="1:7" x14ac:dyDescent="0.25">
      <c r="A4874" t="s">
        <v>16696</v>
      </c>
      <c r="B4874" t="s">
        <v>468</v>
      </c>
      <c r="F4874" t="s">
        <v>14786</v>
      </c>
      <c r="G4874" t="s">
        <v>11079</v>
      </c>
    </row>
    <row r="4875" spans="1:7" x14ac:dyDescent="0.25">
      <c r="A4875" t="s">
        <v>16696</v>
      </c>
      <c r="B4875" t="s">
        <v>468</v>
      </c>
      <c r="F4875" t="s">
        <v>14789</v>
      </c>
      <c r="G4875" t="s">
        <v>11079</v>
      </c>
    </row>
    <row r="4876" spans="1:7" x14ac:dyDescent="0.25">
      <c r="A4876" t="s">
        <v>16696</v>
      </c>
      <c r="B4876" t="s">
        <v>468</v>
      </c>
      <c r="F4876" t="s">
        <v>14792</v>
      </c>
      <c r="G4876" t="s">
        <v>11079</v>
      </c>
    </row>
    <row r="4877" spans="1:7" x14ac:dyDescent="0.25">
      <c r="A4877" t="s">
        <v>16696</v>
      </c>
      <c r="B4877" t="s">
        <v>468</v>
      </c>
      <c r="F4877" t="s">
        <v>14795</v>
      </c>
      <c r="G4877" t="s">
        <v>11079</v>
      </c>
    </row>
    <row r="4878" spans="1:7" x14ac:dyDescent="0.25">
      <c r="A4878" t="s">
        <v>16696</v>
      </c>
      <c r="B4878" t="s">
        <v>468</v>
      </c>
      <c r="F4878" t="s">
        <v>14798</v>
      </c>
      <c r="G4878" t="s">
        <v>11079</v>
      </c>
    </row>
    <row r="4879" spans="1:7" x14ac:dyDescent="0.25">
      <c r="A4879" t="s">
        <v>16696</v>
      </c>
      <c r="B4879" t="s">
        <v>468</v>
      </c>
      <c r="F4879" t="s">
        <v>14801</v>
      </c>
      <c r="G4879" t="s">
        <v>11079</v>
      </c>
    </row>
    <row r="4880" spans="1:7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x14ac:dyDescent="0.25">
      <c r="A4883" t="s">
        <v>16696</v>
      </c>
      <c r="B4883" t="s">
        <v>468</v>
      </c>
      <c r="F4883" t="s">
        <v>14813</v>
      </c>
      <c r="G4883" t="s">
        <v>11079</v>
      </c>
    </row>
    <row r="4884" spans="1:7" x14ac:dyDescent="0.25">
      <c r="A4884" t="s">
        <v>16696</v>
      </c>
      <c r="B4884" t="s">
        <v>468</v>
      </c>
      <c r="F4884" t="s">
        <v>14816</v>
      </c>
      <c r="G4884" t="s">
        <v>11079</v>
      </c>
    </row>
    <row r="4885" spans="1:7" x14ac:dyDescent="0.25">
      <c r="A4885" t="s">
        <v>4</v>
      </c>
      <c r="B4885" t="s">
        <v>16694</v>
      </c>
      <c r="F4885" t="s">
        <v>14819</v>
      </c>
      <c r="G4885" t="s">
        <v>11079</v>
      </c>
    </row>
    <row r="4886" spans="1:7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x14ac:dyDescent="0.25">
      <c r="A4889" t="s">
        <v>16696</v>
      </c>
      <c r="B4889" t="s">
        <v>468</v>
      </c>
      <c r="F4889" t="s">
        <v>14831</v>
      </c>
      <c r="G4889" t="s">
        <v>11079</v>
      </c>
    </row>
    <row r="4890" spans="1:7" x14ac:dyDescent="0.25">
      <c r="A4890" t="s">
        <v>16696</v>
      </c>
      <c r="B4890" t="s">
        <v>468</v>
      </c>
      <c r="F4890" t="s">
        <v>14834</v>
      </c>
      <c r="G4890" t="s">
        <v>11079</v>
      </c>
    </row>
    <row r="4891" spans="1:7" x14ac:dyDescent="0.25">
      <c r="A4891" t="s">
        <v>16696</v>
      </c>
      <c r="B4891" t="s">
        <v>468</v>
      </c>
      <c r="F4891" t="s">
        <v>14837</v>
      </c>
      <c r="G4891" t="s">
        <v>11079</v>
      </c>
    </row>
    <row r="4892" spans="1:7" x14ac:dyDescent="0.25">
      <c r="A4892" t="s">
        <v>16696</v>
      </c>
      <c r="B4892" t="s">
        <v>468</v>
      </c>
      <c r="F4892" t="s">
        <v>14840</v>
      </c>
      <c r="G4892" t="s">
        <v>11079</v>
      </c>
    </row>
    <row r="4893" spans="1:7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x14ac:dyDescent="0.25">
      <c r="A4894" t="s">
        <v>16697</v>
      </c>
      <c r="B4894" t="s">
        <v>468</v>
      </c>
      <c r="F4894" t="s">
        <v>14846</v>
      </c>
      <c r="G4894" t="s">
        <v>11079</v>
      </c>
    </row>
    <row r="4895" spans="1:7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x14ac:dyDescent="0.25">
      <c r="A4896" t="s">
        <v>16698</v>
      </c>
      <c r="F4896" t="s">
        <v>14852</v>
      </c>
      <c r="G4896" t="s">
        <v>11079</v>
      </c>
    </row>
    <row r="4897" spans="1:7" x14ac:dyDescent="0.25">
      <c r="A4897" t="s">
        <v>16698</v>
      </c>
      <c r="F4897" t="s">
        <v>14855</v>
      </c>
      <c r="G4897" t="s">
        <v>11079</v>
      </c>
    </row>
    <row r="4898" spans="1:7" x14ac:dyDescent="0.25">
      <c r="A4898" t="s">
        <v>16698</v>
      </c>
      <c r="F4898" t="s">
        <v>14858</v>
      </c>
      <c r="G4898" t="s">
        <v>11079</v>
      </c>
    </row>
    <row r="4899" spans="1:7" x14ac:dyDescent="0.25">
      <c r="A4899" t="s">
        <v>4</v>
      </c>
      <c r="B4899" t="s">
        <v>16695</v>
      </c>
      <c r="F4899" t="s">
        <v>14861</v>
      </c>
      <c r="G4899" t="s">
        <v>11079</v>
      </c>
    </row>
    <row r="4900" spans="1:7" x14ac:dyDescent="0.25">
      <c r="A4900" t="s">
        <v>4</v>
      </c>
      <c r="B4900" t="s">
        <v>11080</v>
      </c>
      <c r="F4900" t="s">
        <v>14864</v>
      </c>
      <c r="G4900" t="s">
        <v>11079</v>
      </c>
    </row>
  </sheetData>
  <phoneticPr fontId="2" type="noConversion"/>
  <conditionalFormatting sqref="C2:C11 C14 C16:C18 C23:C24">
    <cfRule type="notContainsText" dxfId="727" priority="631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26" priority="63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25" priority="629" operator="notContains" text="порожний">
      <formula>ISERROR(SEARCH("порожний",C12))</formula>
    </cfRule>
  </conditionalFormatting>
  <conditionalFormatting sqref="B12:B14">
    <cfRule type="containsText" dxfId="724" priority="628" operator="containsText" text="Выезд с территории">
      <formula>NOT(ISERROR(SEARCH("Выезд с территории",B12)))</formula>
    </cfRule>
  </conditionalFormatting>
  <conditionalFormatting sqref="C15">
    <cfRule type="notContainsText" dxfId="723" priority="627" operator="notContains" text="порожний">
      <formula>ISERROR(SEARCH("порожний",C15))</formula>
    </cfRule>
  </conditionalFormatting>
  <conditionalFormatting sqref="C19:C22">
    <cfRule type="notContainsText" dxfId="722" priority="626" operator="notContains" text="порожний">
      <formula>ISERROR(SEARCH("порожний",C19))</formula>
    </cfRule>
  </conditionalFormatting>
  <conditionalFormatting sqref="C25">
    <cfRule type="notContainsText" dxfId="721" priority="625" operator="notContains" text="порожний">
      <formula>ISERROR(SEARCH("порожний",C25))</formula>
    </cfRule>
  </conditionalFormatting>
  <conditionalFormatting sqref="C26:C27">
    <cfRule type="notContainsText" dxfId="720" priority="624" operator="notContains" text="порожний">
      <formula>ISERROR(SEARCH("порожний",C26))</formula>
    </cfRule>
  </conditionalFormatting>
  <conditionalFormatting sqref="C29">
    <cfRule type="notContainsText" dxfId="719" priority="623" operator="notContains" text="порожний">
      <formula>ISERROR(SEARCH("порожний",C29))</formula>
    </cfRule>
  </conditionalFormatting>
  <conditionalFormatting sqref="C39">
    <cfRule type="notContainsText" dxfId="718" priority="618" operator="notContains" text="порожний">
      <formula>ISERROR(SEARCH("порожний",C39))</formula>
    </cfRule>
  </conditionalFormatting>
  <conditionalFormatting sqref="C32">
    <cfRule type="notContainsText" dxfId="717" priority="622" operator="notContains" text="порожний">
      <formula>ISERROR(SEARCH("порожний",C32))</formula>
    </cfRule>
  </conditionalFormatting>
  <conditionalFormatting sqref="C34">
    <cfRule type="notContainsText" dxfId="716" priority="621" operator="notContains" text="порожний">
      <formula>ISERROR(SEARCH("порожний",C34))</formula>
    </cfRule>
  </conditionalFormatting>
  <conditionalFormatting sqref="C36">
    <cfRule type="notContainsText" dxfId="715" priority="620" operator="notContains" text="порожний">
      <formula>ISERROR(SEARCH("порожний",C36))</formula>
    </cfRule>
  </conditionalFormatting>
  <conditionalFormatting sqref="C38">
    <cfRule type="notContainsText" dxfId="714" priority="619" operator="notContains" text="порожний">
      <formula>ISERROR(SEARCH("порожний",C38))</formula>
    </cfRule>
  </conditionalFormatting>
  <conditionalFormatting sqref="E147">
    <cfRule type="containsText" dxfId="713" priority="61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12" priority="616" operator="notContains" text="порожний">
      <formula>ISERROR(SEARCH("порожний",C581))</formula>
    </cfRule>
  </conditionalFormatting>
  <conditionalFormatting sqref="C586">
    <cfRule type="notContainsText" dxfId="711" priority="615" operator="notContains" text="порожний">
      <formula>ISERROR(SEARCH("порожний",C586))</formula>
    </cfRule>
  </conditionalFormatting>
  <conditionalFormatting sqref="B609">
    <cfRule type="containsText" dxfId="710" priority="614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09" priority="612" operator="containsText" text="Газель базы">
      <formula>NOT(ISERROR(SEARCH("Газель базы",B609)))</formula>
    </cfRule>
    <cfRule type="containsText" dxfId="708" priority="613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07" priority="611" operator="containsText" text="Трактор базы">
      <formula>NOT(ISERROR(SEARCH("Трактор базы",B609)))</formula>
    </cfRule>
  </conditionalFormatting>
  <conditionalFormatting sqref="B614">
    <cfRule type="containsText" dxfId="706" priority="607" operator="containsText" text="Трактор базы">
      <formula>NOT(ISERROR(SEARCH("Трактор базы",B614)))</formula>
    </cfRule>
  </conditionalFormatting>
  <conditionalFormatting sqref="B614">
    <cfRule type="containsText" dxfId="705" priority="610" operator="containsText" text="Выезд с территории">
      <formula>NOT(ISERROR(SEARCH("Выезд с территории",B614)))</formula>
    </cfRule>
  </conditionalFormatting>
  <conditionalFormatting sqref="B614">
    <cfRule type="containsText" dxfId="704" priority="608" operator="containsText" text="Газель базы">
      <formula>NOT(ISERROR(SEARCH("Газель базы",B614)))</formula>
    </cfRule>
    <cfRule type="containsText" dxfId="703" priority="609" operator="containsText" text="Погрузчик базы">
      <formula>NOT(ISERROR(SEARCH("Погрузчик базы",B614)))</formula>
    </cfRule>
  </conditionalFormatting>
  <conditionalFormatting sqref="C649">
    <cfRule type="notContainsText" dxfId="702" priority="606" operator="notContains" text="порожний">
      <formula>ISERROR(SEARCH("порожний",C649))</formula>
    </cfRule>
  </conditionalFormatting>
  <conditionalFormatting sqref="C655">
    <cfRule type="notContainsText" dxfId="701" priority="603" operator="notContains" text="порожний">
      <formula>ISERROR(SEARCH("порожний",C655))</formula>
    </cfRule>
  </conditionalFormatting>
  <conditionalFormatting sqref="C650">
    <cfRule type="notContainsText" dxfId="700" priority="605" operator="notContains" text="порожний">
      <formula>ISERROR(SEARCH("порожний",C650))</formula>
    </cfRule>
  </conditionalFormatting>
  <conditionalFormatting sqref="C654">
    <cfRule type="notContainsText" dxfId="699" priority="604" operator="notContains" text="порожний">
      <formula>ISERROR(SEARCH("порожний",C654))</formula>
    </cfRule>
  </conditionalFormatting>
  <conditionalFormatting sqref="A663:A666 A668:A670 A695 A697:A701 A825 A3437">
    <cfRule type="containsText" dxfId="698" priority="60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97" priority="60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96" priority="60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95" priority="59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94" priority="59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93" priority="59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92" priority="58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91" priority="596" operator="containsText" text="Выезд с территории">
      <formula>NOT(ISERROR(SEARCH("Выезд с территории",A681)))</formula>
    </cfRule>
  </conditionalFormatting>
  <conditionalFormatting sqref="A681">
    <cfRule type="containsText" dxfId="690" priority="59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89" priority="59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88" priority="590" operator="containsText" text="Трактор базы">
      <formula>NOT(ISERROR(SEARCH("Трактор базы",B682)))</formula>
    </cfRule>
  </conditionalFormatting>
  <conditionalFormatting sqref="B682">
    <cfRule type="containsText" dxfId="687" priority="593" operator="containsText" text="Выезд с территории">
      <formula>NOT(ISERROR(SEARCH("Выезд с территории",B682)))</formula>
    </cfRule>
  </conditionalFormatting>
  <conditionalFormatting sqref="B682">
    <cfRule type="containsText" dxfId="686" priority="591" operator="containsText" text="Газель базы">
      <formula>NOT(ISERROR(SEARCH("Газель базы",B682)))</formula>
    </cfRule>
    <cfRule type="containsText" dxfId="685" priority="592" operator="containsText" text="Погрузчик базы">
      <formula>NOT(ISERROR(SEARCH("Погрузчик базы",B682)))</formula>
    </cfRule>
  </conditionalFormatting>
  <conditionalFormatting sqref="A684:A687">
    <cfRule type="containsText" dxfId="684" priority="58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83" priority="58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82" priority="57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81" priority="58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80" priority="57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79" priority="57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78" priority="577" operator="containsText" text="Выезд с территории">
      <formula>NOT(ISERROR(SEARCH("Выезд с территории",A824)))</formula>
    </cfRule>
  </conditionalFormatting>
  <conditionalFormatting sqref="A824">
    <cfRule type="containsText" dxfId="677" priority="57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76" priority="57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75" priority="569" operator="containsText" text="Газель базы">
      <formula>NOT(ISERROR(SEARCH("Газель базы",B846)))</formula>
    </cfRule>
    <cfRule type="containsText" dxfId="674" priority="570" operator="containsText" text="Погрузчик базы">
      <formula>NOT(ISERROR(SEARCH("Погрузчик базы",B846)))</formula>
    </cfRule>
  </conditionalFormatting>
  <conditionalFormatting sqref="B846:B850">
    <cfRule type="containsText" dxfId="673" priority="568" operator="containsText" text="Трактор базы">
      <formula>NOT(ISERROR(SEARCH("Трактор базы",B846)))</formula>
    </cfRule>
  </conditionalFormatting>
  <conditionalFormatting sqref="A916:A917">
    <cfRule type="containsText" dxfId="672" priority="56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71" priority="56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70" priority="565" operator="containsText" text="Газель базы">
      <formula>NOT(ISERROR(SEARCH("Газель базы",B916)))</formula>
    </cfRule>
    <cfRule type="containsText" dxfId="669" priority="566" operator="containsText" text="Погрузчик базы">
      <formula>NOT(ISERROR(SEARCH("Погрузчик базы",B916)))</formula>
    </cfRule>
  </conditionalFormatting>
  <conditionalFormatting sqref="B916:B917">
    <cfRule type="containsText" dxfId="668" priority="564" operator="containsText" text="Трактор базы">
      <formula>NOT(ISERROR(SEARCH("Трактор базы",B916)))</formula>
    </cfRule>
  </conditionalFormatting>
  <conditionalFormatting sqref="A916:A917">
    <cfRule type="containsText" dxfId="667" priority="56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66" priority="561" operator="containsText" text="Выезд с территории">
      <formula>NOT(ISERROR(SEARCH("Выезд с территории",E916)))</formula>
    </cfRule>
  </conditionalFormatting>
  <conditionalFormatting sqref="A932">
    <cfRule type="containsText" dxfId="665" priority="53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64" priority="56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63" priority="558" operator="containsText" text="Газель базы">
      <formula>NOT(ISERROR(SEARCH("Газель базы",B918)))</formula>
    </cfRule>
    <cfRule type="containsText" dxfId="662" priority="559" operator="containsText" text="Погрузчик базы">
      <formula>NOT(ISERROR(SEARCH("Погрузчик базы",B918)))</formula>
    </cfRule>
  </conditionalFormatting>
  <conditionalFormatting sqref="B918:B924">
    <cfRule type="containsText" dxfId="661" priority="557" operator="containsText" text="Трактор базы">
      <formula>NOT(ISERROR(SEARCH("Трактор базы",B918)))</formula>
    </cfRule>
  </conditionalFormatting>
  <conditionalFormatting sqref="A918">
    <cfRule type="containsText" dxfId="660" priority="55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59" priority="55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58" priority="54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57" priority="55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56" priority="552" operator="containsText" text="Газель базы">
      <formula>NOT(ISERROR(SEARCH("Газель базы",B926)))</formula>
    </cfRule>
    <cfRule type="containsText" dxfId="655" priority="553" operator="containsText" text="Погрузчик базы">
      <formula>NOT(ISERROR(SEARCH("Погрузчик базы",B926)))</formula>
    </cfRule>
  </conditionalFormatting>
  <conditionalFormatting sqref="B926:B928">
    <cfRule type="containsText" dxfId="654" priority="551" operator="containsText" text="Трактор базы">
      <formula>NOT(ISERROR(SEARCH("Трактор базы",B926)))</formula>
    </cfRule>
  </conditionalFormatting>
  <conditionalFormatting sqref="A926:A928">
    <cfRule type="containsText" dxfId="653" priority="55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52" priority="548" operator="containsText" text="Выезд с территории">
      <formula>NOT(ISERROR(SEARCH("Выезд с территории",E926)))</formula>
    </cfRule>
  </conditionalFormatting>
  <conditionalFormatting sqref="A930">
    <cfRule type="containsText" dxfId="651" priority="54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50" priority="547" operator="containsText" text="Выезд с территории">
      <formula>NOT(ISERROR(SEARCH("Выезд с территории",A930)))</formula>
    </cfRule>
  </conditionalFormatting>
  <conditionalFormatting sqref="B930">
    <cfRule type="containsText" dxfId="649" priority="545" operator="containsText" text="Газель базы">
      <formula>NOT(ISERROR(SEARCH("Газель базы",B930)))</formula>
    </cfRule>
    <cfRule type="containsText" dxfId="648" priority="546" operator="containsText" text="Погрузчик базы">
      <formula>NOT(ISERROR(SEARCH("Погрузчик базы",B930)))</formula>
    </cfRule>
  </conditionalFormatting>
  <conditionalFormatting sqref="B930">
    <cfRule type="containsText" dxfId="647" priority="544" operator="containsText" text="Трактор базы">
      <formula>NOT(ISERROR(SEARCH("Трактор базы",B930)))</formula>
    </cfRule>
  </conditionalFormatting>
  <conditionalFormatting sqref="A930">
    <cfRule type="containsText" dxfId="646" priority="54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45" priority="541" operator="containsText" text="Выезд с территории">
      <formula>NOT(ISERROR(SEARCH("Выезд с территории",E930)))</formula>
    </cfRule>
  </conditionalFormatting>
  <conditionalFormatting sqref="A932">
    <cfRule type="containsText" dxfId="644" priority="540" operator="containsText" text="Выезд с территории">
      <formula>NOT(ISERROR(SEARCH("Выезд с территории",A932)))</formula>
    </cfRule>
  </conditionalFormatting>
  <conditionalFormatting sqref="A932">
    <cfRule type="containsText" dxfId="643" priority="53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42" priority="53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41" priority="53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40" priority="53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39" priority="53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38" priority="533" operator="notContains" text="порожний">
      <formula>ISERROR(SEARCH("порожний",C954))</formula>
    </cfRule>
  </conditionalFormatting>
  <conditionalFormatting sqref="B954:B956">
    <cfRule type="containsText" dxfId="637" priority="531" operator="containsText" text="Газель базы">
      <formula>NOT(ISERROR(SEARCH("Газель базы",B954)))</formula>
    </cfRule>
    <cfRule type="containsText" dxfId="636" priority="532" operator="containsText" text="Погрузчик базы">
      <formula>NOT(ISERROR(SEARCH("Погрузчик базы",B954)))</formula>
    </cfRule>
  </conditionalFormatting>
  <conditionalFormatting sqref="B954:B956">
    <cfRule type="containsText" dxfId="635" priority="530" operator="containsText" text="Трактор базы">
      <formula>NOT(ISERROR(SEARCH("Трактор базы",B954)))</formula>
    </cfRule>
  </conditionalFormatting>
  <conditionalFormatting sqref="A954:A956">
    <cfRule type="containsText" dxfId="634" priority="52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33" priority="52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32" priority="526" operator="notContains" text="порожний">
      <formula>ISERROR(SEARCH("порожний",C995))</formula>
    </cfRule>
  </conditionalFormatting>
  <conditionalFormatting sqref="C987">
    <cfRule type="notContainsText" dxfId="631" priority="527" operator="notContains" text="порожний">
      <formula>ISERROR(SEARCH("порожний",C987))</formula>
    </cfRule>
  </conditionalFormatting>
  <conditionalFormatting sqref="B999">
    <cfRule type="containsText" dxfId="630" priority="525" operator="containsText" text="Выезд с территории">
      <formula>NOT(ISERROR(SEARCH("Выезд с территории",B999)))</formula>
    </cfRule>
  </conditionalFormatting>
  <conditionalFormatting sqref="B999">
    <cfRule type="containsText" dxfId="629" priority="523" operator="containsText" text="Газель базы">
      <formula>NOT(ISERROR(SEARCH("Газель базы",B999)))</formula>
    </cfRule>
    <cfRule type="containsText" dxfId="628" priority="524" operator="containsText" text="Погрузчик базы">
      <formula>NOT(ISERROR(SEARCH("Погрузчик базы",B999)))</formula>
    </cfRule>
  </conditionalFormatting>
  <conditionalFormatting sqref="B999">
    <cfRule type="containsText" dxfId="627" priority="522" operator="containsText" text="Трактор базы">
      <formula>NOT(ISERROR(SEARCH("Трактор базы",B999)))</formula>
    </cfRule>
  </conditionalFormatting>
  <conditionalFormatting sqref="B1019:B1022">
    <cfRule type="containsText" dxfId="626" priority="518" operator="containsText" text="Трактор базы">
      <formula>NOT(ISERROR(SEARCH("Трактор базы",B1019)))</formula>
    </cfRule>
  </conditionalFormatting>
  <conditionalFormatting sqref="B1019:B1022">
    <cfRule type="containsText" dxfId="625" priority="52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24" priority="519" operator="containsText" text="Газель базы">
      <formula>NOT(ISERROR(SEARCH("Газель базы",B1019)))</formula>
    </cfRule>
    <cfRule type="containsText" dxfId="623" priority="520" operator="containsText" text="Погрузчик базы">
      <formula>NOT(ISERROR(SEARCH("Погрузчик базы",B1019)))</formula>
    </cfRule>
  </conditionalFormatting>
  <conditionalFormatting sqref="C966">
    <cfRule type="notContainsText" dxfId="622" priority="517" operator="notContains" text="порожний">
      <formula>ISERROR(SEARCH("порожний",C966))</formula>
    </cfRule>
  </conditionalFormatting>
  <conditionalFormatting sqref="A1029">
    <cfRule type="containsText" dxfId="621" priority="51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20" priority="51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19" priority="51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8" priority="51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17" priority="511" operator="containsText" text="Газель базы">
      <formula>NOT(ISERROR(SEARCH("Газель базы",B1030)))</formula>
    </cfRule>
    <cfRule type="containsText" dxfId="616" priority="512" operator="containsText" text="Погрузчик базы">
      <formula>NOT(ISERROR(SEARCH("Погрузчик базы",B1030)))</formula>
    </cfRule>
  </conditionalFormatting>
  <conditionalFormatting sqref="B1030">
    <cfRule type="containsText" dxfId="615" priority="510" operator="containsText" text="Трактор базы">
      <formula>NOT(ISERROR(SEARCH("Трактор базы",B1030)))</formula>
    </cfRule>
  </conditionalFormatting>
  <conditionalFormatting sqref="A1035">
    <cfRule type="containsText" dxfId="614" priority="50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13" priority="50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12" priority="50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11" priority="50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10" priority="50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09" priority="50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08" priority="50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07" priority="501" operator="containsText" text="Газель базы">
      <formula>NOT(ISERROR(SEARCH("Газель базы",B1138)))</formula>
    </cfRule>
    <cfRule type="containsText" dxfId="606" priority="502" operator="containsText" text="Погрузчик базы">
      <formula>NOT(ISERROR(SEARCH("Погрузчик базы",B1138)))</formula>
    </cfRule>
  </conditionalFormatting>
  <conditionalFormatting sqref="B1138:B1161">
    <cfRule type="containsText" dxfId="605" priority="500" operator="containsText" text="Трактор базы">
      <formula>NOT(ISERROR(SEARCH("Трактор базы",B1138)))</formula>
    </cfRule>
  </conditionalFormatting>
  <conditionalFormatting sqref="B1258:B1262">
    <cfRule type="containsText" dxfId="604" priority="484" operator="containsText" text="Трактор базы">
      <formula>NOT(ISERROR(SEARCH("Трактор базы",B1258)))</formula>
    </cfRule>
  </conditionalFormatting>
  <conditionalFormatting sqref="B1244:B1252">
    <cfRule type="containsText" dxfId="603" priority="49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02" priority="497" operator="containsText" text="Газель базы">
      <formula>NOT(ISERROR(SEARCH("Газель базы",B1244)))</formula>
    </cfRule>
    <cfRule type="containsText" dxfId="601" priority="498" operator="containsText" text="Погрузчик базы">
      <formula>NOT(ISERROR(SEARCH("Погрузчик базы",B1244)))</formula>
    </cfRule>
  </conditionalFormatting>
  <conditionalFormatting sqref="B1244:B1252">
    <cfRule type="containsText" dxfId="600" priority="496" operator="containsText" text="Трактор базы">
      <formula>NOT(ISERROR(SEARCH("Трактор базы",B1244)))</formula>
    </cfRule>
  </conditionalFormatting>
  <conditionalFormatting sqref="B1253:B1256">
    <cfRule type="containsText" dxfId="599" priority="49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98" priority="493" operator="containsText" text="Газель базы">
      <formula>NOT(ISERROR(SEARCH("Газель базы",B1253)))</formula>
    </cfRule>
    <cfRule type="containsText" dxfId="597" priority="494" operator="containsText" text="Погрузчик базы">
      <formula>NOT(ISERROR(SEARCH("Погрузчик базы",B1253)))</formula>
    </cfRule>
  </conditionalFormatting>
  <conditionalFormatting sqref="B1253:B1256">
    <cfRule type="containsText" dxfId="596" priority="492" operator="containsText" text="Трактор базы">
      <formula>NOT(ISERROR(SEARCH("Трактор базы",B1253)))</formula>
    </cfRule>
  </conditionalFormatting>
  <conditionalFormatting sqref="B1257">
    <cfRule type="containsText" dxfId="595" priority="49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94" priority="489" operator="containsText" text="Газель базы">
      <formula>NOT(ISERROR(SEARCH("Газель базы",B1257)))</formula>
    </cfRule>
    <cfRule type="containsText" dxfId="593" priority="490" operator="containsText" text="Погрузчик базы">
      <formula>NOT(ISERROR(SEARCH("Погрузчик базы",B1257)))</formula>
    </cfRule>
  </conditionalFormatting>
  <conditionalFormatting sqref="B1257">
    <cfRule type="containsText" dxfId="592" priority="488" operator="containsText" text="Трактор базы">
      <formula>NOT(ISERROR(SEARCH("Трактор базы",B1257)))</formula>
    </cfRule>
  </conditionalFormatting>
  <conditionalFormatting sqref="B1258:B1262">
    <cfRule type="containsText" dxfId="591" priority="48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90" priority="485" operator="containsText" text="Газель базы">
      <formula>NOT(ISERROR(SEARCH("Газель базы",B1258)))</formula>
    </cfRule>
    <cfRule type="containsText" dxfId="589" priority="486" operator="containsText" text="Погрузчик базы">
      <formula>NOT(ISERROR(SEARCH("Погрузчик базы",B1258)))</formula>
    </cfRule>
  </conditionalFormatting>
  <conditionalFormatting sqref="B1281:B1287">
    <cfRule type="containsText" dxfId="588" priority="48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87" priority="481" operator="containsText" text="Газель базы">
      <formula>NOT(ISERROR(SEARCH("Газель базы",B1281)))</formula>
    </cfRule>
    <cfRule type="containsText" dxfId="586" priority="482" operator="containsText" text="Погрузчик базы">
      <formula>NOT(ISERROR(SEARCH("Погрузчик базы",B1281)))</formula>
    </cfRule>
  </conditionalFormatting>
  <conditionalFormatting sqref="B1281:B1287">
    <cfRule type="containsText" dxfId="585" priority="480" operator="containsText" text="Трактор базы">
      <formula>NOT(ISERROR(SEARCH("Трактор базы",B1281)))</formula>
    </cfRule>
  </conditionalFormatting>
  <conditionalFormatting sqref="B1296">
    <cfRule type="containsText" dxfId="584" priority="476" operator="containsText" text="Трактор базы">
      <formula>NOT(ISERROR(SEARCH("Трактор базы",B1296)))</formula>
    </cfRule>
  </conditionalFormatting>
  <conditionalFormatting sqref="B1296">
    <cfRule type="containsText" dxfId="583" priority="47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82" priority="477" operator="containsText" text="Газель базы">
      <formula>NOT(ISERROR(SEARCH("Газель базы",B1296)))</formula>
    </cfRule>
    <cfRule type="containsText" dxfId="581" priority="478" operator="containsText" text="Погрузчик базы">
      <formula>NOT(ISERROR(SEARCH("Погрузчик базы",B1296)))</formula>
    </cfRule>
  </conditionalFormatting>
  <conditionalFormatting sqref="C1320:C1321">
    <cfRule type="notContainsText" dxfId="580" priority="474" operator="notContains" text="порожний">
      <formula>ISERROR(SEARCH("порожний",C1320))</formula>
    </cfRule>
  </conditionalFormatting>
  <conditionalFormatting sqref="A1323">
    <cfRule type="containsText" dxfId="579" priority="46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78" priority="47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77" priority="47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76" priority="47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75" priority="47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74" priority="46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73" priority="467" operator="notContains" text="порожний">
      <formula>ISERROR(SEARCH("порожний",C1336))</formula>
    </cfRule>
  </conditionalFormatting>
  <conditionalFormatting sqref="C1346">
    <cfRule type="notContainsText" dxfId="572" priority="466" operator="notContains" text="порожний">
      <formula>ISERROR(SEARCH("порожний",C1346))</formula>
    </cfRule>
  </conditionalFormatting>
  <conditionalFormatting sqref="A1391">
    <cfRule type="containsText" dxfId="571" priority="46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70" priority="46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69" priority="46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68" priority="45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67" priority="45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66" priority="45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65" priority="456" operator="notContains" text="порожний">
      <formula>ISERROR(SEARCH("порожний",C1606))</formula>
    </cfRule>
  </conditionalFormatting>
  <conditionalFormatting sqref="B1633:B1636">
    <cfRule type="containsText" dxfId="564" priority="45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63" priority="453" operator="containsText" text="Газель базы">
      <formula>NOT(ISERROR(SEARCH("Газель базы",B1633)))</formula>
    </cfRule>
    <cfRule type="containsText" dxfId="562" priority="454" operator="containsText" text="Погрузчик базы">
      <formula>NOT(ISERROR(SEARCH("Погрузчик базы",B1633)))</formula>
    </cfRule>
  </conditionalFormatting>
  <conditionalFormatting sqref="B1633:B1636">
    <cfRule type="containsText" dxfId="561" priority="452" operator="containsText" text="Трактор базы">
      <formula>NOT(ISERROR(SEARCH("Трактор базы",B1633)))</formula>
    </cfRule>
  </conditionalFormatting>
  <conditionalFormatting sqref="B1637:B1642">
    <cfRule type="containsText" dxfId="560" priority="45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59" priority="449" operator="containsText" text="Газель базы">
      <formula>NOT(ISERROR(SEARCH("Газель базы",B1637)))</formula>
    </cfRule>
    <cfRule type="containsText" dxfId="558" priority="450" operator="containsText" text="Погрузчик базы">
      <formula>NOT(ISERROR(SEARCH("Погрузчик базы",B1637)))</formula>
    </cfRule>
  </conditionalFormatting>
  <conditionalFormatting sqref="B1637:B1642">
    <cfRule type="containsText" dxfId="557" priority="448" operator="containsText" text="Трактор базы">
      <formula>NOT(ISERROR(SEARCH("Трактор базы",B1637)))</formula>
    </cfRule>
  </conditionalFormatting>
  <conditionalFormatting sqref="B1671:B1672">
    <cfRule type="containsText" dxfId="556" priority="444" operator="containsText" text="Трактор базы">
      <formula>NOT(ISERROR(SEARCH("Трактор базы",B1671)))</formula>
    </cfRule>
  </conditionalFormatting>
  <conditionalFormatting sqref="B1671:B1672">
    <cfRule type="containsText" dxfId="555" priority="44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54" priority="445" operator="containsText" text="Газель базы">
      <formula>NOT(ISERROR(SEARCH("Газель базы",B1671)))</formula>
    </cfRule>
    <cfRule type="containsText" dxfId="553" priority="446" operator="containsText" text="Погрузчик базы">
      <formula>NOT(ISERROR(SEARCH("Погрузчик базы",B1671)))</formula>
    </cfRule>
  </conditionalFormatting>
  <conditionalFormatting sqref="B1675">
    <cfRule type="containsText" dxfId="552" priority="440" operator="containsText" text="Трактор базы">
      <formula>NOT(ISERROR(SEARCH("Трактор базы",B1675)))</formula>
    </cfRule>
  </conditionalFormatting>
  <conditionalFormatting sqref="B1675">
    <cfRule type="containsText" dxfId="551" priority="44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50" priority="441" operator="containsText" text="Газель базы">
      <formula>NOT(ISERROR(SEARCH("Газель базы",B1675)))</formula>
    </cfRule>
    <cfRule type="containsText" dxfId="549" priority="442" operator="containsText" text="Погрузчик базы">
      <formula>NOT(ISERROR(SEARCH("Погрузчик базы",B1675)))</formula>
    </cfRule>
  </conditionalFormatting>
  <conditionalFormatting sqref="A1678">
    <cfRule type="containsText" dxfId="548" priority="43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47" priority="43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46" priority="43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45" priority="436" operator="notContains" text="порожний">
      <formula>ISERROR(SEARCH("порожний",C1723))</formula>
    </cfRule>
  </conditionalFormatting>
  <conditionalFormatting sqref="C1725:C1726">
    <cfRule type="notContainsText" dxfId="544" priority="435" operator="notContains" text="порожний">
      <formula>ISERROR(SEARCH("порожний",C1725))</formula>
    </cfRule>
  </conditionalFormatting>
  <conditionalFormatting sqref="C1727">
    <cfRule type="notContainsText" dxfId="543" priority="434" operator="notContains" text="порожний">
      <formula>ISERROR(SEARCH("порожний",C1727))</formula>
    </cfRule>
  </conditionalFormatting>
  <conditionalFormatting sqref="C1728">
    <cfRule type="notContainsText" dxfId="542" priority="433" operator="notContains" text="порожний">
      <formula>ISERROR(SEARCH("порожний",C1728))</formula>
    </cfRule>
  </conditionalFormatting>
  <conditionalFormatting sqref="B1732:B1733">
    <cfRule type="containsText" dxfId="541" priority="43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40" priority="430" operator="containsText" text="Газель базы">
      <formula>NOT(ISERROR(SEARCH("Газель базы",B1732)))</formula>
    </cfRule>
    <cfRule type="containsText" dxfId="539" priority="431" operator="containsText" text="Погрузчик базы">
      <formula>NOT(ISERROR(SEARCH("Погрузчик базы",B1732)))</formula>
    </cfRule>
  </conditionalFormatting>
  <conditionalFormatting sqref="B1732:B1733">
    <cfRule type="containsText" dxfId="538" priority="429" operator="containsText" text="Трактор базы">
      <formula>NOT(ISERROR(SEARCH("Трактор базы",B1732)))</formula>
    </cfRule>
  </conditionalFormatting>
  <conditionalFormatting sqref="B1734:B1735">
    <cfRule type="containsText" dxfId="537" priority="42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36" priority="426" operator="containsText" text="Газель базы">
      <formula>NOT(ISERROR(SEARCH("Газель базы",B1734)))</formula>
    </cfRule>
    <cfRule type="containsText" dxfId="535" priority="427" operator="containsText" text="Погрузчик базы">
      <formula>NOT(ISERROR(SEARCH("Погрузчик базы",B1734)))</formula>
    </cfRule>
  </conditionalFormatting>
  <conditionalFormatting sqref="B1734:B1735">
    <cfRule type="containsText" dxfId="534" priority="425" operator="containsText" text="Трактор базы">
      <formula>NOT(ISERROR(SEARCH("Трактор базы",B1734)))</formula>
    </cfRule>
  </conditionalFormatting>
  <conditionalFormatting sqref="B1762:B1764">
    <cfRule type="containsText" dxfId="533" priority="411" operator="containsText" text="Трактор базы">
      <formula>NOT(ISERROR(SEARCH("Трактор базы",B1762)))</formula>
    </cfRule>
  </conditionalFormatting>
  <conditionalFormatting sqref="B1740:B1741">
    <cfRule type="containsText" dxfId="532" priority="42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31" priority="422" operator="containsText" text="Газель базы">
      <formula>NOT(ISERROR(SEARCH("Газель базы",B1740)))</formula>
    </cfRule>
    <cfRule type="containsText" dxfId="530" priority="423" operator="containsText" text="Погрузчик базы">
      <formula>NOT(ISERROR(SEARCH("Погрузчик базы",B1740)))</formula>
    </cfRule>
  </conditionalFormatting>
  <conditionalFormatting sqref="B1740:B1741">
    <cfRule type="containsText" dxfId="529" priority="421" operator="containsText" text="Трактор базы">
      <formula>NOT(ISERROR(SEARCH("Трактор базы",B1740)))</formula>
    </cfRule>
  </conditionalFormatting>
  <conditionalFormatting sqref="A1755">
    <cfRule type="containsText" dxfId="528" priority="41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27" priority="42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26" priority="41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25" priority="41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24" priority="41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23" priority="41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22" priority="402" operator="containsText" text="Трактор базы">
      <formula>NOT(ISERROR(SEARCH("Трактор базы",B1773)))</formula>
    </cfRule>
  </conditionalFormatting>
  <conditionalFormatting sqref="B1762:B1764">
    <cfRule type="containsText" dxfId="521" priority="41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20" priority="412" operator="containsText" text="Газель базы">
      <formula>NOT(ISERROR(SEARCH("Газель базы",B1762)))</formula>
    </cfRule>
    <cfRule type="containsText" dxfId="519" priority="413" operator="containsText" text="Погрузчик базы">
      <formula>NOT(ISERROR(SEARCH("Погрузчик базы",B1762)))</formula>
    </cfRule>
  </conditionalFormatting>
  <conditionalFormatting sqref="B1776:B1777">
    <cfRule type="containsText" dxfId="518" priority="393" operator="containsText" text="Трактор базы">
      <formula>NOT(ISERROR(SEARCH("Трактор базы",B1776)))</formula>
    </cfRule>
  </conditionalFormatting>
  <conditionalFormatting sqref="B1770:B1771">
    <cfRule type="containsText" dxfId="517" priority="41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16" priority="408" operator="containsText" text="Газель базы">
      <formula>NOT(ISERROR(SEARCH("Газель базы",B1770)))</formula>
    </cfRule>
    <cfRule type="containsText" dxfId="515" priority="409" operator="containsText" text="Погрузчик базы">
      <formula>NOT(ISERROR(SEARCH("Погрузчик базы",B1770)))</formula>
    </cfRule>
  </conditionalFormatting>
  <conditionalFormatting sqref="B1770:B1771">
    <cfRule type="containsText" dxfId="514" priority="407" operator="containsText" text="Трактор базы">
      <formula>NOT(ISERROR(SEARCH("Трактор базы",B1770)))</formula>
    </cfRule>
  </conditionalFormatting>
  <conditionalFormatting sqref="B1773">
    <cfRule type="containsText" dxfId="513" priority="40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12" priority="405" operator="notContains" text="порожний">
      <formula>ISERROR(SEARCH("порожний",C1773))</formula>
    </cfRule>
  </conditionalFormatting>
  <conditionalFormatting sqref="B1773">
    <cfRule type="containsText" dxfId="511" priority="403" operator="containsText" text="Газель базы">
      <formula>NOT(ISERROR(SEARCH("Газель базы",B1773)))</formula>
    </cfRule>
    <cfRule type="containsText" dxfId="510" priority="404" operator="containsText" text="Погрузчик базы">
      <formula>NOT(ISERROR(SEARCH("Погрузчик базы",B1773)))</formula>
    </cfRule>
  </conditionalFormatting>
  <conditionalFormatting sqref="B1775">
    <cfRule type="containsText" dxfId="509" priority="397" operator="containsText" text="Трактор базы">
      <formula>NOT(ISERROR(SEARCH("Трактор базы",B1775)))</formula>
    </cfRule>
  </conditionalFormatting>
  <conditionalFormatting sqref="B1775">
    <cfRule type="containsText" dxfId="508" priority="40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07" priority="400" operator="notContains" text="порожний">
      <formula>ISERROR(SEARCH("порожний",C1775))</formula>
    </cfRule>
  </conditionalFormatting>
  <conditionalFormatting sqref="B1775">
    <cfRule type="containsText" dxfId="506" priority="398" operator="containsText" text="Газель базы">
      <formula>NOT(ISERROR(SEARCH("Газель базы",B1775)))</formula>
    </cfRule>
    <cfRule type="containsText" dxfId="505" priority="399" operator="containsText" text="Погрузчик базы">
      <formula>NOT(ISERROR(SEARCH("Погрузчик базы",B1775)))</formula>
    </cfRule>
  </conditionalFormatting>
  <conditionalFormatting sqref="B1776:B1777">
    <cfRule type="containsText" dxfId="504" priority="39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03" priority="394" operator="containsText" text="Газель базы">
      <formula>NOT(ISERROR(SEARCH("Газель базы",B1776)))</formula>
    </cfRule>
    <cfRule type="containsText" dxfId="502" priority="395" operator="containsText" text="Погрузчик базы">
      <formula>NOT(ISERROR(SEARCH("Погрузчик базы",B1776)))</formula>
    </cfRule>
  </conditionalFormatting>
  <conditionalFormatting sqref="B1891">
    <cfRule type="containsText" dxfId="501" priority="385" operator="containsText" text="Трактор базы">
      <formula>NOT(ISERROR(SEARCH("Трактор базы",B1891)))</formula>
    </cfRule>
  </conditionalFormatting>
  <conditionalFormatting sqref="B1889">
    <cfRule type="containsText" dxfId="500" priority="39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99" priority="390" operator="containsText" text="Газель базы">
      <formula>NOT(ISERROR(SEARCH("Газель базы",B1889)))</formula>
    </cfRule>
    <cfRule type="containsText" dxfId="498" priority="391" operator="containsText" text="Погрузчик базы">
      <formula>NOT(ISERROR(SEARCH("Погрузчик базы",B1889)))</formula>
    </cfRule>
  </conditionalFormatting>
  <conditionalFormatting sqref="B1889">
    <cfRule type="containsText" dxfId="497" priority="389" operator="containsText" text="Трактор базы">
      <formula>NOT(ISERROR(SEARCH("Трактор базы",B1889)))</formula>
    </cfRule>
  </conditionalFormatting>
  <conditionalFormatting sqref="B1891">
    <cfRule type="containsText" dxfId="496" priority="38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95" priority="386" operator="containsText" text="Газель базы">
      <formula>NOT(ISERROR(SEARCH("Газель базы",B1891)))</formula>
    </cfRule>
    <cfRule type="containsText" dxfId="494" priority="387" operator="containsText" text="Погрузчик базы">
      <formula>NOT(ISERROR(SEARCH("Погрузчик базы",B1891)))</formula>
    </cfRule>
  </conditionalFormatting>
  <conditionalFormatting sqref="B1920">
    <cfRule type="containsText" dxfId="493" priority="373" operator="containsText" text="Трактор базы">
      <formula>NOT(ISERROR(SEARCH("Трактор базы",B1920)))</formula>
    </cfRule>
  </conditionalFormatting>
  <conditionalFormatting sqref="B1904:B1914">
    <cfRule type="containsText" dxfId="492" priority="38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91" priority="382" operator="containsText" text="Газель базы">
      <formula>NOT(ISERROR(SEARCH("Газель базы",B1904)))</formula>
    </cfRule>
    <cfRule type="containsText" dxfId="490" priority="383" operator="containsText" text="Погрузчик базы">
      <formula>NOT(ISERROR(SEARCH("Погрузчик базы",B1904)))</formula>
    </cfRule>
  </conditionalFormatting>
  <conditionalFormatting sqref="B1904:B1914">
    <cfRule type="containsText" dxfId="489" priority="381" operator="containsText" text="Трактор базы">
      <formula>NOT(ISERROR(SEARCH("Трактор базы",B1904)))</formula>
    </cfRule>
  </conditionalFormatting>
  <conditionalFormatting sqref="B1915:B1919">
    <cfRule type="containsText" dxfId="488" priority="38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87" priority="378" operator="containsText" text="Газель базы">
      <formula>NOT(ISERROR(SEARCH("Газель базы",B1915)))</formula>
    </cfRule>
    <cfRule type="containsText" dxfId="486" priority="379" operator="containsText" text="Погрузчик базы">
      <formula>NOT(ISERROR(SEARCH("Погрузчик базы",B1915)))</formula>
    </cfRule>
  </conditionalFormatting>
  <conditionalFormatting sqref="B1915:B1919">
    <cfRule type="containsText" dxfId="485" priority="377" operator="containsText" text="Трактор базы">
      <formula>NOT(ISERROR(SEARCH("Трактор базы",B1915)))</formula>
    </cfRule>
  </conditionalFormatting>
  <conditionalFormatting sqref="B1920">
    <cfRule type="containsText" dxfId="484" priority="37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83" priority="374" operator="containsText" text="Газель базы">
      <formula>NOT(ISERROR(SEARCH("Газель базы",B1920)))</formula>
    </cfRule>
    <cfRule type="containsText" dxfId="482" priority="375" operator="containsText" text="Погрузчик базы">
      <formula>NOT(ISERROR(SEARCH("Погрузчик базы",B1920)))</formula>
    </cfRule>
  </conditionalFormatting>
  <conditionalFormatting sqref="B1939">
    <cfRule type="containsText" dxfId="481" priority="369" operator="containsText" text="Трактор базы">
      <formula>NOT(ISERROR(SEARCH("Трактор базы",B1939)))</formula>
    </cfRule>
  </conditionalFormatting>
  <conditionalFormatting sqref="B1939">
    <cfRule type="containsText" dxfId="480" priority="37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79" priority="370" operator="containsText" text="Газель базы">
      <formula>NOT(ISERROR(SEARCH("Газель базы",B1939)))</formula>
    </cfRule>
    <cfRule type="containsText" dxfId="478" priority="371" operator="containsText" text="Погрузчик базы">
      <formula>NOT(ISERROR(SEARCH("Погрузчик базы",B1939)))</formula>
    </cfRule>
  </conditionalFormatting>
  <conditionalFormatting sqref="A1943">
    <cfRule type="containsText" dxfId="477" priority="36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76" priority="36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75" priority="36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74" priority="350" operator="containsText" text="Трактор базы">
      <formula>NOT(ISERROR(SEARCH("Трактор базы",B1977)))</formula>
    </cfRule>
  </conditionalFormatting>
  <conditionalFormatting sqref="B1974">
    <cfRule type="containsText" dxfId="473" priority="36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72" priority="363" operator="containsText" text="Газель базы">
      <formula>NOT(ISERROR(SEARCH("Газель базы",B1974)))</formula>
    </cfRule>
    <cfRule type="containsText" dxfId="471" priority="364" operator="containsText" text="Погрузчик базы">
      <formula>NOT(ISERROR(SEARCH("Погрузчик базы",B1974)))</formula>
    </cfRule>
  </conditionalFormatting>
  <conditionalFormatting sqref="B1974">
    <cfRule type="containsText" dxfId="470" priority="362" operator="containsText" text="Трактор базы">
      <formula>NOT(ISERROR(SEARCH("Трактор базы",B1974)))</formula>
    </cfRule>
  </conditionalFormatting>
  <conditionalFormatting sqref="B1975">
    <cfRule type="containsText" dxfId="469" priority="36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68" priority="359" operator="containsText" text="Газель базы">
      <formula>NOT(ISERROR(SEARCH("Газель базы",B1975)))</formula>
    </cfRule>
    <cfRule type="containsText" dxfId="467" priority="360" operator="containsText" text="Погрузчик базы">
      <formula>NOT(ISERROR(SEARCH("Погрузчик базы",B1975)))</formula>
    </cfRule>
  </conditionalFormatting>
  <conditionalFormatting sqref="B1975">
    <cfRule type="containsText" dxfId="466" priority="358" operator="containsText" text="Трактор базы">
      <formula>NOT(ISERROR(SEARCH("Трактор базы",B1975)))</formula>
    </cfRule>
  </conditionalFormatting>
  <conditionalFormatting sqref="B1976">
    <cfRule type="containsText" dxfId="465" priority="35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64" priority="355" operator="containsText" text="Газель базы">
      <formula>NOT(ISERROR(SEARCH("Газель базы",B1976)))</formula>
    </cfRule>
    <cfRule type="containsText" dxfId="463" priority="356" operator="containsText" text="Погрузчик базы">
      <formula>NOT(ISERROR(SEARCH("Погрузчик базы",B1976)))</formula>
    </cfRule>
  </conditionalFormatting>
  <conditionalFormatting sqref="B1976">
    <cfRule type="containsText" dxfId="462" priority="354" operator="containsText" text="Трактор базы">
      <formula>NOT(ISERROR(SEARCH("Трактор базы",B1976)))</formula>
    </cfRule>
  </conditionalFormatting>
  <conditionalFormatting sqref="B1977">
    <cfRule type="containsText" dxfId="461" priority="35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60" priority="351" operator="containsText" text="Газель базы">
      <formula>NOT(ISERROR(SEARCH("Газель базы",B1977)))</formula>
    </cfRule>
    <cfRule type="containsText" dxfId="459" priority="352" operator="containsText" text="Погрузчик базы">
      <formula>NOT(ISERROR(SEARCH("Погрузчик базы",B1977)))</formula>
    </cfRule>
  </conditionalFormatting>
  <conditionalFormatting sqref="C1965">
    <cfRule type="notContainsText" dxfId="458" priority="349" operator="notContains" text="порожний">
      <formula>ISERROR(SEARCH("порожний",C1965))</formula>
    </cfRule>
  </conditionalFormatting>
  <conditionalFormatting sqref="B2042">
    <cfRule type="containsText" dxfId="457" priority="345" operator="containsText" text="Трактор базы">
      <formula>NOT(ISERROR(SEARCH("Трактор базы",B2042)))</formula>
    </cfRule>
  </conditionalFormatting>
  <conditionalFormatting sqref="B2042">
    <cfRule type="containsText" dxfId="456" priority="34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55" priority="346" operator="containsText" text="Газель базы">
      <formula>NOT(ISERROR(SEARCH("Газель базы",B2042)))</formula>
    </cfRule>
    <cfRule type="containsText" dxfId="454" priority="347" operator="containsText" text="Погрузчик базы">
      <formula>NOT(ISERROR(SEARCH("Погрузчик базы",B2042)))</formula>
    </cfRule>
  </conditionalFormatting>
  <conditionalFormatting sqref="C2050">
    <cfRule type="notContainsText" dxfId="453" priority="344" operator="notContains" text="порожний">
      <formula>ISERROR(SEARCH("порожний",C2050))</formula>
    </cfRule>
  </conditionalFormatting>
  <conditionalFormatting sqref="B2054">
    <cfRule type="containsText" dxfId="452" priority="34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51" priority="341" operator="containsText" text="Газель базы">
      <formula>NOT(ISERROR(SEARCH("Газель базы",B2054)))</formula>
    </cfRule>
    <cfRule type="containsText" dxfId="450" priority="342" operator="containsText" text="Погрузчик базы">
      <formula>NOT(ISERROR(SEARCH("Погрузчик базы",B2054)))</formula>
    </cfRule>
  </conditionalFormatting>
  <conditionalFormatting sqref="B2054">
    <cfRule type="containsText" dxfId="449" priority="340" operator="containsText" text="Трактор базы">
      <formula>NOT(ISERROR(SEARCH("Трактор базы",B2054)))</formula>
    </cfRule>
  </conditionalFormatting>
  <conditionalFormatting sqref="B2055">
    <cfRule type="containsText" dxfId="448" priority="336" operator="containsText" text="Трактор базы">
      <formula>NOT(ISERROR(SEARCH("Трактор базы",B2055)))</formula>
    </cfRule>
  </conditionalFormatting>
  <conditionalFormatting sqref="B2055">
    <cfRule type="containsText" dxfId="447" priority="33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46" priority="337" operator="containsText" text="Газель базы">
      <formula>NOT(ISERROR(SEARCH("Газель базы",B2055)))</formula>
    </cfRule>
    <cfRule type="containsText" dxfId="445" priority="338" operator="containsText" text="Погрузчик базы">
      <formula>NOT(ISERROR(SEARCH("Погрузчик базы",B2055)))</formula>
    </cfRule>
  </conditionalFormatting>
  <conditionalFormatting sqref="A2087:A2089">
    <cfRule type="containsText" dxfId="444" priority="32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43" priority="33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42" priority="334" operator="notContains" text="порожний">
      <formula>ISERROR(SEARCH("порожний",C2087))</formula>
    </cfRule>
  </conditionalFormatting>
  <conditionalFormatting sqref="B2087:B2089">
    <cfRule type="containsText" dxfId="441" priority="332" operator="containsText" text="Газель базы">
      <formula>NOT(ISERROR(SEARCH("Газель базы",B2087)))</formula>
    </cfRule>
    <cfRule type="containsText" dxfId="440" priority="333" operator="containsText" text="Погрузчик базы">
      <formula>NOT(ISERROR(SEARCH("Погрузчик базы",B2087)))</formula>
    </cfRule>
  </conditionalFormatting>
  <conditionalFormatting sqref="B2087:B2089">
    <cfRule type="containsText" dxfId="439" priority="331" operator="containsText" text="Трактор базы">
      <formula>NOT(ISERROR(SEARCH("Трактор базы",B2087)))</formula>
    </cfRule>
  </conditionalFormatting>
  <conditionalFormatting sqref="A2087:A2089">
    <cfRule type="containsText" dxfId="438" priority="33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37" priority="32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36" priority="326" operator="containsText" text="Газель базы">
      <formula>NOT(ISERROR(SEARCH("Газель базы",B2101)))</formula>
    </cfRule>
    <cfRule type="containsText" dxfId="435" priority="327" operator="containsText" text="Погрузчик базы">
      <formula>NOT(ISERROR(SEARCH("Погрузчик базы",B2101)))</formula>
    </cfRule>
  </conditionalFormatting>
  <conditionalFormatting sqref="B2101">
    <cfRule type="containsText" dxfId="434" priority="325" operator="containsText" text="Трактор базы">
      <formula>NOT(ISERROR(SEARCH("Трактор базы",B2101)))</formula>
    </cfRule>
  </conditionalFormatting>
  <conditionalFormatting sqref="B2102">
    <cfRule type="containsText" dxfId="433" priority="32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32" priority="322" operator="containsText" text="Газель базы">
      <formula>NOT(ISERROR(SEARCH("Газель базы",B2102)))</formula>
    </cfRule>
    <cfRule type="containsText" dxfId="431" priority="323" operator="containsText" text="Погрузчик базы">
      <formula>NOT(ISERROR(SEARCH("Погрузчик базы",B2102)))</formula>
    </cfRule>
  </conditionalFormatting>
  <conditionalFormatting sqref="B2102">
    <cfRule type="containsText" dxfId="430" priority="321" operator="containsText" text="Трактор базы">
      <formula>NOT(ISERROR(SEARCH("Трактор базы",B2102)))</formula>
    </cfRule>
  </conditionalFormatting>
  <conditionalFormatting sqref="B2103">
    <cfRule type="containsText" dxfId="429" priority="317" operator="containsText" text="Трактор базы">
      <formula>NOT(ISERROR(SEARCH("Трактор базы",B2103)))</formula>
    </cfRule>
  </conditionalFormatting>
  <conditionalFormatting sqref="B2103">
    <cfRule type="containsText" dxfId="428" priority="32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27" priority="318" operator="containsText" text="Газель базы">
      <formula>NOT(ISERROR(SEARCH("Газель базы",B2103)))</formula>
    </cfRule>
    <cfRule type="containsText" dxfId="426" priority="31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25" priority="31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24" priority="31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23" priority="31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22" priority="31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21" priority="311" operator="containsText" text="Газель базы">
      <formula>NOT(ISERROR(SEARCH("Газель базы",B2276)))</formula>
    </cfRule>
    <cfRule type="containsText" dxfId="420" priority="312" operator="containsText" text="Погрузчик базы">
      <formula>NOT(ISERROR(SEARCH("Погрузчик базы",B2276)))</formula>
    </cfRule>
  </conditionalFormatting>
  <conditionalFormatting sqref="B2276">
    <cfRule type="containsText" dxfId="419" priority="310" operator="containsText" text="Трактор базы">
      <formula>NOT(ISERROR(SEARCH("Трактор базы",B2276)))</formula>
    </cfRule>
  </conditionalFormatting>
  <conditionalFormatting sqref="B2277">
    <cfRule type="containsText" dxfId="418" priority="306" operator="containsText" text="Трактор базы">
      <formula>NOT(ISERROR(SEARCH("Трактор базы",B2277)))</formula>
    </cfRule>
  </conditionalFormatting>
  <conditionalFormatting sqref="B2277">
    <cfRule type="containsText" dxfId="417" priority="30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16" priority="307" operator="containsText" text="Газель базы">
      <formula>NOT(ISERROR(SEARCH("Газель базы",B2277)))</formula>
    </cfRule>
    <cfRule type="containsText" dxfId="415" priority="308" operator="containsText" text="Погрузчик базы">
      <formula>NOT(ISERROR(SEARCH("Погрузчик базы",B2277)))</formula>
    </cfRule>
  </conditionalFormatting>
  <conditionalFormatting sqref="A2279">
    <cfRule type="containsText" dxfId="414" priority="30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13" priority="30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12" priority="30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11" priority="30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10" priority="30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09" priority="30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08" priority="281" operator="containsText" text="Трактор базы">
      <formula>NOT(ISERROR(SEARCH("Трактор базы",B2382)))</formula>
    </cfRule>
  </conditionalFormatting>
  <conditionalFormatting sqref="B2348:B2349">
    <cfRule type="containsText" dxfId="407" priority="29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06" priority="297" operator="containsText" text="Газель базы">
      <formula>NOT(ISERROR(SEARCH("Газель базы",B2348)))</formula>
    </cfRule>
    <cfRule type="containsText" dxfId="405" priority="298" operator="containsText" text="Погрузчик базы">
      <formula>NOT(ISERROR(SEARCH("Погрузчик базы",B2348)))</formula>
    </cfRule>
  </conditionalFormatting>
  <conditionalFormatting sqref="B2348:B2349">
    <cfRule type="containsText" dxfId="404" priority="296" operator="containsText" text="Трактор базы">
      <formula>NOT(ISERROR(SEARCH("Трактор базы",B2348)))</formula>
    </cfRule>
  </conditionalFormatting>
  <conditionalFormatting sqref="A2350">
    <cfRule type="containsText" dxfId="403" priority="29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02" priority="29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01" priority="29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00" priority="29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99" priority="290" operator="containsText" text="Газель базы">
      <formula>NOT(ISERROR(SEARCH("Газель базы",B2352)))</formula>
    </cfRule>
    <cfRule type="containsText" dxfId="398" priority="291" operator="containsText" text="Погрузчик базы">
      <formula>NOT(ISERROR(SEARCH("Погрузчик базы",B2352)))</formula>
    </cfRule>
  </conditionalFormatting>
  <conditionalFormatting sqref="B2352:B2354">
    <cfRule type="containsText" dxfId="397" priority="289" operator="containsText" text="Трактор базы">
      <formula>NOT(ISERROR(SEARCH("Трактор базы",B2352)))</formula>
    </cfRule>
  </conditionalFormatting>
  <conditionalFormatting sqref="B2358">
    <cfRule type="containsText" dxfId="396" priority="28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95" priority="286" operator="containsText" text="Газель базы">
      <formula>NOT(ISERROR(SEARCH("Газель базы",B2358)))</formula>
    </cfRule>
    <cfRule type="containsText" dxfId="394" priority="287" operator="containsText" text="Погрузчик базы">
      <formula>NOT(ISERROR(SEARCH("Погрузчик базы",B2358)))</formula>
    </cfRule>
  </conditionalFormatting>
  <conditionalFormatting sqref="B2358">
    <cfRule type="containsText" dxfId="393" priority="285" operator="containsText" text="Трактор базы">
      <formula>NOT(ISERROR(SEARCH("Трактор базы",B2358)))</formula>
    </cfRule>
  </conditionalFormatting>
  <conditionalFormatting sqref="B2382">
    <cfRule type="containsText" dxfId="392" priority="28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91" priority="282" operator="containsText" text="Газель базы">
      <formula>NOT(ISERROR(SEARCH("Газель базы",B2382)))</formula>
    </cfRule>
    <cfRule type="containsText" dxfId="390" priority="283" operator="containsText" text="Погрузчик базы">
      <formula>NOT(ISERROR(SEARCH("Погрузчик базы",B2382)))</formula>
    </cfRule>
  </conditionalFormatting>
  <conditionalFormatting sqref="B2423:B2424">
    <cfRule type="containsText" dxfId="389" priority="28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88" priority="278" operator="containsText" text="Газель базы">
      <formula>NOT(ISERROR(SEARCH("Газель базы",B2423)))</formula>
    </cfRule>
    <cfRule type="containsText" dxfId="387" priority="279" operator="containsText" text="Погрузчик базы">
      <formula>NOT(ISERROR(SEARCH("Погрузчик базы",B2423)))</formula>
    </cfRule>
  </conditionalFormatting>
  <conditionalFormatting sqref="B2423:B2424">
    <cfRule type="containsText" dxfId="386" priority="277" operator="containsText" text="Трактор базы">
      <formula>NOT(ISERROR(SEARCH("Трактор базы",B2423)))</formula>
    </cfRule>
  </conditionalFormatting>
  <conditionalFormatting sqref="B2431">
    <cfRule type="containsText" dxfId="385" priority="27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84" priority="274" operator="containsText" text="Газель базы">
      <formula>NOT(ISERROR(SEARCH("Газель базы",B2431)))</formula>
    </cfRule>
    <cfRule type="containsText" dxfId="383" priority="275" operator="containsText" text="Погрузчик базы">
      <formula>NOT(ISERROR(SEARCH("Погрузчик базы",B2431)))</formula>
    </cfRule>
  </conditionalFormatting>
  <conditionalFormatting sqref="B2431">
    <cfRule type="containsText" dxfId="382" priority="273" operator="containsText" text="Трактор базы">
      <formula>NOT(ISERROR(SEARCH("Трактор базы",B2431)))</formula>
    </cfRule>
  </conditionalFormatting>
  <conditionalFormatting sqref="B2478">
    <cfRule type="containsText" dxfId="381" priority="261" operator="containsText" text="Трактор базы">
      <formula>NOT(ISERROR(SEARCH("Трактор базы",B2478)))</formula>
    </cfRule>
  </conditionalFormatting>
  <conditionalFormatting sqref="B2462:B2463">
    <cfRule type="containsText" dxfId="380" priority="27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79" priority="270" operator="containsText" text="Газель базы">
      <formula>NOT(ISERROR(SEARCH("Газель базы",B2462)))</formula>
    </cfRule>
    <cfRule type="containsText" dxfId="378" priority="271" operator="containsText" text="Погрузчик базы">
      <formula>NOT(ISERROR(SEARCH("Погрузчик базы",B2462)))</formula>
    </cfRule>
  </conditionalFormatting>
  <conditionalFormatting sqref="B2462:B2463">
    <cfRule type="containsText" dxfId="377" priority="269" operator="containsText" text="Трактор базы">
      <formula>NOT(ISERROR(SEARCH("Трактор базы",B2462)))</formula>
    </cfRule>
  </conditionalFormatting>
  <conditionalFormatting sqref="B2467">
    <cfRule type="containsText" dxfId="376" priority="26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75" priority="266" operator="containsText" text="Газель базы">
      <formula>NOT(ISERROR(SEARCH("Газель базы",B2467)))</formula>
    </cfRule>
    <cfRule type="containsText" dxfId="374" priority="267" operator="containsText" text="Погрузчик базы">
      <formula>NOT(ISERROR(SEARCH("Погрузчик базы",B2467)))</formula>
    </cfRule>
  </conditionalFormatting>
  <conditionalFormatting sqref="B2467">
    <cfRule type="containsText" dxfId="373" priority="265" operator="containsText" text="Трактор базы">
      <formula>NOT(ISERROR(SEARCH("Трактор базы",B2467)))</formula>
    </cfRule>
  </conditionalFormatting>
  <conditionalFormatting sqref="B2478">
    <cfRule type="containsText" dxfId="372" priority="26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71" priority="262" operator="containsText" text="Газель базы">
      <formula>NOT(ISERROR(SEARCH("Газель базы",B2478)))</formula>
    </cfRule>
    <cfRule type="containsText" dxfId="370" priority="263" operator="containsText" text="Погрузчик базы">
      <formula>NOT(ISERROR(SEARCH("Погрузчик базы",B2478)))</formula>
    </cfRule>
  </conditionalFormatting>
  <conditionalFormatting sqref="B2499">
    <cfRule type="containsText" dxfId="369" priority="249" operator="containsText" text="Трактор базы">
      <formula>NOT(ISERROR(SEARCH("Трактор базы",B2499)))</formula>
    </cfRule>
  </conditionalFormatting>
  <conditionalFormatting sqref="B2497">
    <cfRule type="containsText" dxfId="368" priority="26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67" priority="258" operator="containsText" text="Газель базы">
      <formula>NOT(ISERROR(SEARCH("Газель базы",B2497)))</formula>
    </cfRule>
    <cfRule type="containsText" dxfId="366" priority="259" operator="containsText" text="Погрузчик базы">
      <formula>NOT(ISERROR(SEARCH("Погрузчик базы",B2497)))</formula>
    </cfRule>
  </conditionalFormatting>
  <conditionalFormatting sqref="B2497">
    <cfRule type="containsText" dxfId="365" priority="257" operator="containsText" text="Трактор базы">
      <formula>NOT(ISERROR(SEARCH("Трактор базы",B2497)))</formula>
    </cfRule>
  </conditionalFormatting>
  <conditionalFormatting sqref="B2498">
    <cfRule type="containsText" dxfId="364" priority="25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63" priority="254" operator="containsText" text="Газель базы">
      <formula>NOT(ISERROR(SEARCH("Газель базы",B2498)))</formula>
    </cfRule>
    <cfRule type="containsText" dxfId="362" priority="255" operator="containsText" text="Погрузчик базы">
      <formula>NOT(ISERROR(SEARCH("Погрузчик базы",B2498)))</formula>
    </cfRule>
  </conditionalFormatting>
  <conditionalFormatting sqref="B2498">
    <cfRule type="containsText" dxfId="361" priority="253" operator="containsText" text="Трактор базы">
      <formula>NOT(ISERROR(SEARCH("Трактор базы",B2498)))</formula>
    </cfRule>
  </conditionalFormatting>
  <conditionalFormatting sqref="B2499">
    <cfRule type="containsText" dxfId="360" priority="25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59" priority="250" operator="containsText" text="Газель базы">
      <formula>NOT(ISERROR(SEARCH("Газель базы",B2499)))</formula>
    </cfRule>
    <cfRule type="containsText" dxfId="358" priority="251" operator="containsText" text="Погрузчик базы">
      <formula>NOT(ISERROR(SEARCH("Погрузчик базы",B2499)))</formula>
    </cfRule>
  </conditionalFormatting>
  <conditionalFormatting sqref="B2512:B2513">
    <cfRule type="containsText" dxfId="357" priority="223" operator="containsText" text="Трактор базы">
      <formula>NOT(ISERROR(SEARCH("Трактор базы",B2512)))</formula>
    </cfRule>
  </conditionalFormatting>
  <conditionalFormatting sqref="B2500">
    <cfRule type="containsText" dxfId="356" priority="24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55" priority="246" operator="containsText" text="Газель базы">
      <formula>NOT(ISERROR(SEARCH("Газель базы",B2500)))</formula>
    </cfRule>
    <cfRule type="containsText" dxfId="354" priority="247" operator="containsText" text="Погрузчик базы">
      <formula>NOT(ISERROR(SEARCH("Погрузчик базы",B2500)))</formula>
    </cfRule>
  </conditionalFormatting>
  <conditionalFormatting sqref="B2500">
    <cfRule type="containsText" dxfId="353" priority="245" operator="containsText" text="Трактор базы">
      <formula>NOT(ISERROR(SEARCH("Трактор базы",B2500)))</formula>
    </cfRule>
  </conditionalFormatting>
  <conditionalFormatting sqref="B2501">
    <cfRule type="containsText" dxfId="352" priority="24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51" priority="242" operator="containsText" text="Газель базы">
      <formula>NOT(ISERROR(SEARCH("Газель базы",B2501)))</formula>
    </cfRule>
    <cfRule type="containsText" dxfId="350" priority="243" operator="containsText" text="Погрузчик базы">
      <formula>NOT(ISERROR(SEARCH("Погрузчик базы",B2501)))</formula>
    </cfRule>
  </conditionalFormatting>
  <conditionalFormatting sqref="B2501">
    <cfRule type="containsText" dxfId="349" priority="241" operator="containsText" text="Трактор базы">
      <formula>NOT(ISERROR(SEARCH("Трактор базы",B2501)))</formula>
    </cfRule>
  </conditionalFormatting>
  <conditionalFormatting sqref="B2502">
    <cfRule type="containsText" dxfId="348" priority="237" operator="containsText" text="Трактор базы">
      <formula>NOT(ISERROR(SEARCH("Трактор базы",B2502)))</formula>
    </cfRule>
  </conditionalFormatting>
  <conditionalFormatting sqref="B2502">
    <cfRule type="containsText" dxfId="347" priority="24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46" priority="238" operator="containsText" text="Газель базы">
      <formula>NOT(ISERROR(SEARCH("Газель базы",B2502)))</formula>
    </cfRule>
    <cfRule type="containsText" dxfId="345" priority="239" operator="containsText" text="Погрузчик базы">
      <formula>NOT(ISERROR(SEARCH("Погрузчик базы",B2502)))</formula>
    </cfRule>
  </conditionalFormatting>
  <conditionalFormatting sqref="A2503:A2504">
    <cfRule type="containsText" dxfId="344" priority="23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43" priority="23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42" priority="23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41" priority="23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40" priority="23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39" priority="23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38" priority="23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37" priority="228" operator="containsText" text="Газель базы">
      <formula>NOT(ISERROR(SEARCH("Газель базы",B2509)))</formula>
    </cfRule>
    <cfRule type="containsText" dxfId="336" priority="229" operator="containsText" text="Погрузчик базы">
      <formula>NOT(ISERROR(SEARCH("Погрузчик базы",B2509)))</formula>
    </cfRule>
  </conditionalFormatting>
  <conditionalFormatting sqref="B2509">
    <cfRule type="containsText" dxfId="335" priority="227" operator="containsText" text="Трактор базы">
      <formula>NOT(ISERROR(SEARCH("Трактор базы",B2509)))</formula>
    </cfRule>
  </conditionalFormatting>
  <conditionalFormatting sqref="B2512:B2513">
    <cfRule type="containsText" dxfId="334" priority="22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33" priority="224" operator="containsText" text="Газель базы">
      <formula>NOT(ISERROR(SEARCH("Газель базы",B2512)))</formula>
    </cfRule>
    <cfRule type="containsText" dxfId="332" priority="225" operator="containsText" text="Погрузчик базы">
      <formula>NOT(ISERROR(SEARCH("Погрузчик базы",B2512)))</formula>
    </cfRule>
  </conditionalFormatting>
  <conditionalFormatting sqref="E2586">
    <cfRule type="containsText" dxfId="331" priority="22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30" priority="21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29" priority="22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28" priority="22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27" priority="21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26" priority="216" operator="containsText" text="Газель базы">
      <formula>NOT(ISERROR(SEARCH("Газель базы",B2810)))</formula>
    </cfRule>
    <cfRule type="containsText" dxfId="325" priority="217" operator="containsText" text="Погрузчик базы">
      <formula>NOT(ISERROR(SEARCH("Погрузчик базы",B2810)))</formula>
    </cfRule>
  </conditionalFormatting>
  <conditionalFormatting sqref="B2810:B2811">
    <cfRule type="containsText" dxfId="324" priority="215" operator="containsText" text="Трактор базы">
      <formula>NOT(ISERROR(SEARCH("Трактор базы",B2810)))</formula>
    </cfRule>
  </conditionalFormatting>
  <conditionalFormatting sqref="B2923:B2927">
    <cfRule type="containsText" dxfId="323" priority="211" operator="containsText" text="Трактор базы">
      <formula>NOT(ISERROR(SEARCH("Трактор базы",B2923)))</formula>
    </cfRule>
  </conditionalFormatting>
  <conditionalFormatting sqref="B2923:B2927">
    <cfRule type="containsText" dxfId="322" priority="21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21" priority="212" operator="containsText" text="Газель базы">
      <formula>NOT(ISERROR(SEARCH("Газель базы",B2923)))</formula>
    </cfRule>
    <cfRule type="containsText" dxfId="320" priority="213" operator="containsText" text="Погрузчик базы">
      <formula>NOT(ISERROR(SEARCH("Погрузчик базы",B2923)))</formula>
    </cfRule>
  </conditionalFormatting>
  <conditionalFormatting sqref="A2991">
    <cfRule type="containsText" dxfId="319" priority="21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18" priority="20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17" priority="20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16" priority="20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15" priority="205" operator="containsText" text="Газель базы">
      <formula>NOT(ISERROR(SEARCH("Газель базы",B2993)))</formula>
    </cfRule>
    <cfRule type="containsText" dxfId="314" priority="206" operator="containsText" text="Погрузчик базы">
      <formula>NOT(ISERROR(SEARCH("Погрузчик базы",B2993)))</formula>
    </cfRule>
  </conditionalFormatting>
  <conditionalFormatting sqref="B2993">
    <cfRule type="containsText" dxfId="313" priority="204" operator="containsText" text="Трактор базы">
      <formula>NOT(ISERROR(SEARCH("Трактор базы",B2993)))</formula>
    </cfRule>
  </conditionalFormatting>
  <conditionalFormatting sqref="B2995">
    <cfRule type="containsText" dxfId="312" priority="200" operator="containsText" text="Трактор базы">
      <formula>NOT(ISERROR(SEARCH("Трактор базы",B2995)))</formula>
    </cfRule>
  </conditionalFormatting>
  <conditionalFormatting sqref="B2995">
    <cfRule type="containsText" dxfId="311" priority="20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10" priority="201" operator="containsText" text="Газель базы">
      <formula>NOT(ISERROR(SEARCH("Газель базы",B2995)))</formula>
    </cfRule>
    <cfRule type="containsText" dxfId="309" priority="202" operator="containsText" text="Погрузчик базы">
      <formula>NOT(ISERROR(SEARCH("Погрузчик базы",B2995)))</formula>
    </cfRule>
  </conditionalFormatting>
  <conditionalFormatting sqref="A3008">
    <cfRule type="containsText" dxfId="308" priority="19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07" priority="19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06" priority="19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05" priority="19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04" priority="19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03" priority="19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02" priority="19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01" priority="19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00" priority="19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99" priority="187" operator="containsText" text="Трактор базы">
      <formula>NOT(ISERROR(SEARCH("Трактор базы",B3150)))</formula>
    </cfRule>
  </conditionalFormatting>
  <conditionalFormatting sqref="B3203">
    <cfRule type="containsText" dxfId="298" priority="179" operator="containsText" text="Трактор базы">
      <formula>NOT(ISERROR(SEARCH("Трактор базы",B3203)))</formula>
    </cfRule>
  </conditionalFormatting>
  <conditionalFormatting sqref="B3150:B3151">
    <cfRule type="containsText" dxfId="297" priority="19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96" priority="188" operator="containsText" text="Газель базы">
      <formula>NOT(ISERROR(SEARCH("Газель базы",B3150)))</formula>
    </cfRule>
    <cfRule type="containsText" dxfId="295" priority="189" operator="containsText" text="Погрузчик базы">
      <formula>NOT(ISERROR(SEARCH("Погрузчик базы",B3150)))</formula>
    </cfRule>
  </conditionalFormatting>
  <conditionalFormatting sqref="B3201">
    <cfRule type="containsText" dxfId="294" priority="183" operator="containsText" text="Трактор базы">
      <formula>NOT(ISERROR(SEARCH("Трактор базы",B3201)))</formula>
    </cfRule>
  </conditionalFormatting>
  <conditionalFormatting sqref="B3201">
    <cfRule type="containsText" dxfId="293" priority="18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92" priority="184" operator="containsText" text="Газель базы">
      <formula>NOT(ISERROR(SEARCH("Газель базы",B3201)))</formula>
    </cfRule>
    <cfRule type="containsText" dxfId="291" priority="185" operator="containsText" text="Погрузчик базы">
      <formula>NOT(ISERROR(SEARCH("Погрузчик базы",B3201)))</formula>
    </cfRule>
  </conditionalFormatting>
  <conditionalFormatting sqref="B3203">
    <cfRule type="containsText" dxfId="290" priority="18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89" priority="180" operator="containsText" text="Газель базы">
      <formula>NOT(ISERROR(SEARCH("Газель базы",B3203)))</formula>
    </cfRule>
    <cfRule type="containsText" dxfId="288" priority="181" operator="containsText" text="Погрузчик базы">
      <formula>NOT(ISERROR(SEARCH("Погрузчик базы",B3203)))</formula>
    </cfRule>
  </conditionalFormatting>
  <conditionalFormatting sqref="B3227:B3229">
    <cfRule type="containsText" dxfId="287" priority="17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86" priority="176" operator="containsText" text="Газель базы">
      <formula>NOT(ISERROR(SEARCH("Газель базы",B3227)))</formula>
    </cfRule>
    <cfRule type="containsText" dxfId="285" priority="177" operator="containsText" text="Погрузчик базы">
      <formula>NOT(ISERROR(SEARCH("Погрузчик базы",B3227)))</formula>
    </cfRule>
  </conditionalFormatting>
  <conditionalFormatting sqref="B3227:B3229">
    <cfRule type="containsText" dxfId="284" priority="175" operator="containsText" text="Трактор базы">
      <formula>NOT(ISERROR(SEARCH("Трактор базы",B3227)))</formula>
    </cfRule>
  </conditionalFormatting>
  <conditionalFormatting sqref="B3259:B3261">
    <cfRule type="containsText" dxfId="283" priority="17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82" priority="172" operator="containsText" text="Газель базы">
      <formula>NOT(ISERROR(SEARCH("Газель базы",B3259)))</formula>
    </cfRule>
    <cfRule type="containsText" dxfId="281" priority="173" operator="containsText" text="Погрузчик базы">
      <formula>NOT(ISERROR(SEARCH("Погрузчик базы",B3259)))</formula>
    </cfRule>
  </conditionalFormatting>
  <conditionalFormatting sqref="B3259:B3261">
    <cfRule type="containsText" dxfId="280" priority="171" operator="containsText" text="Трактор базы">
      <formula>NOT(ISERROR(SEARCH("Трактор базы",B3259)))</formula>
    </cfRule>
  </conditionalFormatting>
  <conditionalFormatting sqref="A3335:A3336 A3373:A3374">
    <cfRule type="containsText" dxfId="279" priority="16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78" priority="16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77" priority="16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76" priority="16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75" priority="16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74" priority="16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73" priority="16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72" priority="159" operator="containsText" text="Газель базы">
      <formula>NOT(ISERROR(SEARCH("Газель базы",B3364)))</formula>
    </cfRule>
    <cfRule type="containsText" dxfId="271" priority="160" operator="containsText" text="Погрузчик базы">
      <formula>NOT(ISERROR(SEARCH("Погрузчик базы",B3364)))</formula>
    </cfRule>
  </conditionalFormatting>
  <conditionalFormatting sqref="B3364:B3365">
    <cfRule type="containsText" dxfId="270" priority="158" operator="containsText" text="Трактор базы">
      <formula>NOT(ISERROR(SEARCH("Трактор базы",B3364)))</formula>
    </cfRule>
  </conditionalFormatting>
  <conditionalFormatting sqref="A3364">
    <cfRule type="containsText" dxfId="269" priority="15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68" priority="15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67" priority="15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66" priority="153" operator="containsText" text="Газель базы">
      <formula>NOT(ISERROR(SEARCH("Газель базы",B3366)))</formula>
    </cfRule>
    <cfRule type="containsText" dxfId="265" priority="154" operator="containsText" text="Погрузчик базы">
      <formula>NOT(ISERROR(SEARCH("Погрузчик базы",B3366)))</formula>
    </cfRule>
  </conditionalFormatting>
  <conditionalFormatting sqref="B3366">
    <cfRule type="containsText" dxfId="264" priority="152" operator="containsText" text="Трактор базы">
      <formula>NOT(ISERROR(SEARCH("Трактор базы",B3366)))</formula>
    </cfRule>
  </conditionalFormatting>
  <conditionalFormatting sqref="A3366">
    <cfRule type="containsText" dxfId="263" priority="15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62" priority="15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61" priority="14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60" priority="147" operator="containsText" text="Газель базы">
      <formula>NOT(ISERROR(SEARCH("Газель базы",B3367)))</formula>
    </cfRule>
    <cfRule type="containsText" dxfId="259" priority="148" operator="containsText" text="Погрузчик базы">
      <formula>NOT(ISERROR(SEARCH("Погрузчик базы",B3367)))</formula>
    </cfRule>
  </conditionalFormatting>
  <conditionalFormatting sqref="B3367">
    <cfRule type="containsText" dxfId="258" priority="146" operator="containsText" text="Трактор базы">
      <formula>NOT(ISERROR(SEARCH("Трактор базы",B3367)))</formula>
    </cfRule>
  </conditionalFormatting>
  <conditionalFormatting sqref="A3430:B3430">
    <cfRule type="containsText" dxfId="257" priority="14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56" priority="143" operator="containsText" text="Газель базы">
      <formula>NOT(ISERROR(SEARCH("Газель базы",B3430)))</formula>
    </cfRule>
    <cfRule type="containsText" dxfId="255" priority="144" operator="containsText" text="Погрузчик базы">
      <formula>NOT(ISERROR(SEARCH("Погрузчик базы",B3430)))</formula>
    </cfRule>
  </conditionalFormatting>
  <conditionalFormatting sqref="B3430">
    <cfRule type="containsText" dxfId="254" priority="142" operator="containsText" text="Трактор базы">
      <formula>NOT(ISERROR(SEARCH("Трактор базы",B3430)))</formula>
    </cfRule>
  </conditionalFormatting>
  <conditionalFormatting sqref="A3430">
    <cfRule type="containsText" dxfId="253" priority="14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52" priority="14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51" priority="13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50" priority="13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49" priority="13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48" priority="13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47" priority="128" operator="containsText" text="Газель базы">
      <formula>NOT(ISERROR(SEARCH("Газель базы",B3480)))</formula>
    </cfRule>
    <cfRule type="containsText" dxfId="246" priority="129" operator="containsText" text="Погрузчик базы">
      <formula>NOT(ISERROR(SEARCH("Погрузчик базы",B3480)))</formula>
    </cfRule>
  </conditionalFormatting>
  <conditionalFormatting sqref="B3480">
    <cfRule type="containsText" dxfId="245" priority="127" operator="containsText" text="Трактор базы">
      <formula>NOT(ISERROR(SEARCH("Трактор базы",B3480)))</formula>
    </cfRule>
  </conditionalFormatting>
  <conditionalFormatting sqref="A3480">
    <cfRule type="containsText" dxfId="244" priority="12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43" priority="12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42" priority="12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41" priority="12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40" priority="12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39" priority="11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38" priority="12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37" priority="12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36" priority="111" operator="containsText" text="Трактор базы">
      <formula>NOT(ISERROR(SEARCH("Трактор базы",B3601)))</formula>
    </cfRule>
  </conditionalFormatting>
  <conditionalFormatting sqref="B3601:B3612">
    <cfRule type="containsText" dxfId="235" priority="11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34" priority="112" operator="containsText" text="Газель базы">
      <formula>NOT(ISERROR(SEARCH("Газель базы",B3601)))</formula>
    </cfRule>
    <cfRule type="containsText" dxfId="233" priority="113" operator="containsText" text="Погрузчик базы">
      <formula>NOT(ISERROR(SEARCH("Погрузчик базы",B3601)))</formula>
    </cfRule>
  </conditionalFormatting>
  <conditionalFormatting sqref="A3696">
    <cfRule type="containsText" dxfId="232" priority="108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31" priority="110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30" priority="109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29" priority="105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28" priority="102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27" priority="107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26" priority="106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25" priority="104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24" priority="103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23" priority="101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22" priority="99" operator="containsText" text="Газель базы">
      <formula>NOT(ISERROR(SEARCH("Газель базы",B3750)))</formula>
    </cfRule>
    <cfRule type="containsText" dxfId="221" priority="100" operator="containsText" text="Погрузчик базы">
      <formula>NOT(ISERROR(SEARCH("Погрузчик базы",B3750)))</formula>
    </cfRule>
  </conditionalFormatting>
  <conditionalFormatting sqref="B3750:B3751">
    <cfRule type="containsText" dxfId="220" priority="98" operator="containsText" text="Трактор базы">
      <formula>NOT(ISERROR(SEARCH("Трактор базы",B3750)))</formula>
    </cfRule>
  </conditionalFormatting>
  <conditionalFormatting sqref="B3761:B3762">
    <cfRule type="containsText" dxfId="219" priority="97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18" priority="95" operator="containsText" text="Газель базы">
      <formula>NOT(ISERROR(SEARCH("Газель базы",B3761)))</formula>
    </cfRule>
    <cfRule type="containsText" dxfId="217" priority="96" operator="containsText" text="Погрузчик базы">
      <formula>NOT(ISERROR(SEARCH("Погрузчик базы",B3761)))</formula>
    </cfRule>
  </conditionalFormatting>
  <conditionalFormatting sqref="B3761:B3762">
    <cfRule type="containsText" dxfId="216" priority="94" operator="containsText" text="Трактор базы">
      <formula>NOT(ISERROR(SEARCH("Трактор базы",B3761)))</formula>
    </cfRule>
  </conditionalFormatting>
  <conditionalFormatting sqref="A3778">
    <cfRule type="containsText" dxfId="215" priority="93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14" priority="92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13" priority="91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12" priority="87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11" priority="90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10" priority="89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09" priority="88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08" priority="86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07" priority="84" operator="containsText" text="Газель базы">
      <formula>NOT(ISERROR(SEARCH("Газель базы",B3797)))</formula>
    </cfRule>
    <cfRule type="containsText" dxfId="206" priority="85" operator="containsText" text="Погрузчик базы">
      <formula>NOT(ISERROR(SEARCH("Погрузчик базы",B3797)))</formula>
    </cfRule>
  </conditionalFormatting>
  <conditionalFormatting sqref="B3797">
    <cfRule type="containsText" dxfId="205" priority="83" operator="containsText" text="Трактор базы">
      <formula>NOT(ISERROR(SEARCH("Трактор базы",B3797)))</formula>
    </cfRule>
  </conditionalFormatting>
  <conditionalFormatting sqref="B3799:B3800">
    <cfRule type="containsText" dxfId="204" priority="82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03" priority="80" operator="containsText" text="Газель базы">
      <formula>NOT(ISERROR(SEARCH("Газель базы",B3799)))</formula>
    </cfRule>
    <cfRule type="containsText" dxfId="202" priority="81" operator="containsText" text="Погрузчик базы">
      <formula>NOT(ISERROR(SEARCH("Погрузчик базы",B3799)))</formula>
    </cfRule>
  </conditionalFormatting>
  <conditionalFormatting sqref="B3799:B3800">
    <cfRule type="containsText" dxfId="201" priority="79" operator="containsText" text="Трактор базы">
      <formula>NOT(ISERROR(SEARCH("Трактор базы",B3799)))</formula>
    </cfRule>
  </conditionalFormatting>
  <conditionalFormatting sqref="B3881">
    <cfRule type="containsText" dxfId="200" priority="78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99" priority="76" operator="containsText" text="Газель базы">
      <formula>NOT(ISERROR(SEARCH("Газель базы",B3881)))</formula>
    </cfRule>
    <cfRule type="containsText" dxfId="198" priority="77" operator="containsText" text="Погрузчик базы">
      <formula>NOT(ISERROR(SEARCH("Погрузчик базы",B3881)))</formula>
    </cfRule>
  </conditionalFormatting>
  <conditionalFormatting sqref="B3881">
    <cfRule type="containsText" dxfId="197" priority="75" operator="containsText" text="Трактор базы">
      <formula>NOT(ISERROR(SEARCH("Трактор базы",B3881)))</formula>
    </cfRule>
  </conditionalFormatting>
  <conditionalFormatting sqref="B3884">
    <cfRule type="containsText" dxfId="196" priority="71" operator="containsText" text="Трактор базы">
      <formula>NOT(ISERROR(SEARCH("Трактор базы",B3884)))</formula>
    </cfRule>
  </conditionalFormatting>
  <conditionalFormatting sqref="B3884">
    <cfRule type="containsText" dxfId="195" priority="74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94" priority="72" operator="containsText" text="Газель базы">
      <formula>NOT(ISERROR(SEARCH("Газель базы",B3884)))</formula>
    </cfRule>
    <cfRule type="containsText" dxfId="193" priority="73" operator="containsText" text="Погрузчик базы">
      <formula>NOT(ISERROR(SEARCH("Погрузчик базы",B3884)))</formula>
    </cfRule>
  </conditionalFormatting>
  <conditionalFormatting sqref="B3913">
    <cfRule type="containsText" dxfId="192" priority="67" operator="containsText" text="Трактор базы">
      <formula>NOT(ISERROR(SEARCH("Трактор базы",B3913)))</formula>
    </cfRule>
  </conditionalFormatting>
  <conditionalFormatting sqref="B3913">
    <cfRule type="containsText" dxfId="191" priority="70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90" priority="68" operator="containsText" text="Газель базы">
      <formula>NOT(ISERROR(SEARCH("Газель базы",B3913)))</formula>
    </cfRule>
    <cfRule type="containsText" dxfId="189" priority="69" operator="containsText" text="Погрузчик базы">
      <formula>NOT(ISERROR(SEARCH("Погрузчик базы",B3913)))</formula>
    </cfRule>
  </conditionalFormatting>
  <conditionalFormatting sqref="A3935">
    <cfRule type="containsText" dxfId="188" priority="61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87" priority="66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86" priority="64" operator="containsText" text="Газель базы">
      <formula>NOT(ISERROR(SEARCH("Газель базы",B3935)))</formula>
    </cfRule>
    <cfRule type="containsText" dxfId="185" priority="65" operator="containsText" text="Погрузчик базы">
      <formula>NOT(ISERROR(SEARCH("Погрузчик базы",B3935)))</formula>
    </cfRule>
  </conditionalFormatting>
  <conditionalFormatting sqref="B3935">
    <cfRule type="containsText" dxfId="184" priority="63" operator="containsText" text="Трактор базы">
      <formula>NOT(ISERROR(SEARCH("Трактор базы",B3935)))</formula>
    </cfRule>
  </conditionalFormatting>
  <conditionalFormatting sqref="A3935">
    <cfRule type="containsText" dxfId="183" priority="62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82" priority="57" operator="containsText" text="Трактор базы">
      <formula>NOT(ISERROR(SEARCH("Трактор базы",B3937)))</formula>
    </cfRule>
  </conditionalFormatting>
  <conditionalFormatting sqref="B3937">
    <cfRule type="containsText" dxfId="181" priority="60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80" priority="58" operator="containsText" text="Газель базы">
      <formula>NOT(ISERROR(SEARCH("Газель базы",B3937)))</formula>
    </cfRule>
    <cfRule type="containsText" dxfId="179" priority="59" operator="containsText" text="Погрузчик базы">
      <formula>NOT(ISERROR(SEARCH("Погрузчик базы",B3937)))</formula>
    </cfRule>
  </conditionalFormatting>
  <conditionalFormatting sqref="B3946">
    <cfRule type="containsText" dxfId="178" priority="48" operator="containsText" text="Трактор базы">
      <formula>NOT(ISERROR(SEARCH("Трактор базы",B3946)))</formula>
    </cfRule>
  </conditionalFormatting>
  <conditionalFormatting sqref="B3945">
    <cfRule type="containsText" dxfId="177" priority="56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76" priority="54" operator="containsText" text="Газель базы">
      <formula>NOT(ISERROR(SEARCH("Газель базы",B3945)))</formula>
    </cfRule>
    <cfRule type="containsText" dxfId="175" priority="55" operator="containsText" text="Погрузчик базы">
      <formula>NOT(ISERROR(SEARCH("Погрузчик базы",B3945)))</formula>
    </cfRule>
  </conditionalFormatting>
  <conditionalFormatting sqref="B3945">
    <cfRule type="containsText" dxfId="174" priority="53" operator="containsText" text="Трактор базы">
      <formula>NOT(ISERROR(SEARCH("Трактор базы",B3945)))</formula>
    </cfRule>
  </conditionalFormatting>
  <conditionalFormatting sqref="D3946:E3946 B3946">
    <cfRule type="containsText" dxfId="173" priority="52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72" priority="51" operator="notContains" text="порожний">
      <formula>ISERROR(SEARCH("порожний",C3946))</formula>
    </cfRule>
  </conditionalFormatting>
  <conditionalFormatting sqref="B3946">
    <cfRule type="containsText" dxfId="171" priority="49" operator="containsText" text="Газель базы">
      <formula>NOT(ISERROR(SEARCH("Газель базы",B3946)))</formula>
    </cfRule>
    <cfRule type="containsText" dxfId="170" priority="50" operator="containsText" text="Погрузчик базы">
      <formula>NOT(ISERROR(SEARCH("Погрузчик базы",B3946)))</formula>
    </cfRule>
  </conditionalFormatting>
  <conditionalFormatting sqref="B3966:B3967">
    <cfRule type="containsText" dxfId="169" priority="44" operator="containsText" text="Трактор базы">
      <formula>NOT(ISERROR(SEARCH("Трактор базы",B3966)))</formula>
    </cfRule>
  </conditionalFormatting>
  <conditionalFormatting sqref="B3966:B3967">
    <cfRule type="containsText" dxfId="168" priority="47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67" priority="45" operator="containsText" text="Газель базы">
      <formula>NOT(ISERROR(SEARCH("Газель базы",B3966)))</formula>
    </cfRule>
    <cfRule type="containsText" dxfId="166" priority="46" operator="containsText" text="Погрузчик базы">
      <formula>NOT(ISERROR(SEARCH("Погрузчик базы",B3966)))</formula>
    </cfRule>
  </conditionalFormatting>
  <conditionalFormatting sqref="B3976">
    <cfRule type="containsText" dxfId="165" priority="43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64" priority="41" operator="containsText" text="Газель базы">
      <formula>NOT(ISERROR(SEARCH("Газель базы",B3976)))</formula>
    </cfRule>
    <cfRule type="containsText" dxfId="163" priority="42" operator="containsText" text="Погрузчик базы">
      <formula>NOT(ISERROR(SEARCH("Погрузчик базы",B3976)))</formula>
    </cfRule>
  </conditionalFormatting>
  <conditionalFormatting sqref="B3976">
    <cfRule type="containsText" dxfId="162" priority="40" operator="containsText" text="Трактор базы">
      <formula>NOT(ISERROR(SEARCH("Трактор базы",B3976)))</formula>
    </cfRule>
  </conditionalFormatting>
  <conditionalFormatting sqref="B3984">
    <cfRule type="containsText" dxfId="161" priority="39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60" priority="37" operator="containsText" text="Газель базы">
      <formula>NOT(ISERROR(SEARCH("Газель базы",B3984)))</formula>
    </cfRule>
    <cfRule type="containsText" dxfId="159" priority="38" operator="containsText" text="Погрузчик базы">
      <formula>NOT(ISERROR(SEARCH("Погрузчик базы",B3984)))</formula>
    </cfRule>
  </conditionalFormatting>
  <conditionalFormatting sqref="B3984">
    <cfRule type="containsText" dxfId="158" priority="36" operator="containsText" text="Трактор базы">
      <formula>NOT(ISERROR(SEARCH("Трактор базы",B3984)))</formula>
    </cfRule>
  </conditionalFormatting>
  <conditionalFormatting sqref="B4007:B4008">
    <cfRule type="containsText" dxfId="157" priority="32" operator="containsText" text="Трактор базы">
      <formula>NOT(ISERROR(SEARCH("Трактор базы",B4007)))</formula>
    </cfRule>
  </conditionalFormatting>
  <conditionalFormatting sqref="B4007:B4008">
    <cfRule type="containsText" dxfId="156" priority="35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55" priority="33" operator="containsText" text="Газель базы">
      <formula>NOT(ISERROR(SEARCH("Газель базы",B4007)))</formula>
    </cfRule>
    <cfRule type="containsText" dxfId="154" priority="34" operator="containsText" text="Погрузчик базы">
      <formula>NOT(ISERROR(SEARCH("Погрузчик базы",B4007)))</formula>
    </cfRule>
  </conditionalFormatting>
  <conditionalFormatting sqref="B4096">
    <cfRule type="containsText" dxfId="153" priority="20" operator="containsText" text="Трактор базы">
      <formula>NOT(ISERROR(SEARCH("Трактор базы",B4096)))</formula>
    </cfRule>
  </conditionalFormatting>
  <conditionalFormatting sqref="B4080:B4082">
    <cfRule type="containsText" dxfId="152" priority="31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51" priority="29" operator="containsText" text="Газель базы">
      <formula>NOT(ISERROR(SEARCH("Газель базы",B4080)))</formula>
    </cfRule>
    <cfRule type="containsText" dxfId="150" priority="30" operator="containsText" text="Погрузчик базы">
      <formula>NOT(ISERROR(SEARCH("Погрузчик базы",B4080)))</formula>
    </cfRule>
  </conditionalFormatting>
  <conditionalFormatting sqref="B4080:B4082">
    <cfRule type="containsText" dxfId="149" priority="28" operator="containsText" text="Трактор базы">
      <formula>NOT(ISERROR(SEARCH("Трактор базы",B4080)))</formula>
    </cfRule>
  </conditionalFormatting>
  <conditionalFormatting sqref="B4088:B4094">
    <cfRule type="containsText" dxfId="148" priority="27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47" priority="25" operator="containsText" text="Газель базы">
      <formula>NOT(ISERROR(SEARCH("Газель базы",B4088)))</formula>
    </cfRule>
    <cfRule type="containsText" dxfId="146" priority="26" operator="containsText" text="Погрузчик базы">
      <formula>NOT(ISERROR(SEARCH("Погрузчик базы",B4088)))</formula>
    </cfRule>
  </conditionalFormatting>
  <conditionalFormatting sqref="B4088:B4094">
    <cfRule type="containsText" dxfId="145" priority="24" operator="containsText" text="Трактор базы">
      <formula>NOT(ISERROR(SEARCH("Трактор базы",B4088)))</formula>
    </cfRule>
  </conditionalFormatting>
  <conditionalFormatting sqref="B4096">
    <cfRule type="containsText" dxfId="144" priority="23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43" priority="21" operator="containsText" text="Газель базы">
      <formula>NOT(ISERROR(SEARCH("Газель базы",B4096)))</formula>
    </cfRule>
    <cfRule type="containsText" dxfId="142" priority="22" operator="containsText" text="Погрузчик базы">
      <formula>NOT(ISERROR(SEARCH("Погрузчик базы",B4096)))</formula>
    </cfRule>
  </conditionalFormatting>
  <conditionalFormatting sqref="A4374:A4375">
    <cfRule type="containsText" dxfId="141" priority="13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40" priority="15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39" priority="14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38" priority="12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37" priority="10" operator="containsText" text="Газель базы">
      <formula>NOT(ISERROR(SEARCH("Газель базы",B4453)))</formula>
    </cfRule>
    <cfRule type="containsText" dxfId="136" priority="11" operator="containsText" text="Погрузчик базы">
      <formula>NOT(ISERROR(SEARCH("Погрузчик базы",B4453)))</formula>
    </cfRule>
  </conditionalFormatting>
  <conditionalFormatting sqref="B4453:B4456">
    <cfRule type="containsText" dxfId="135" priority="9" operator="containsText" text="Трактор базы">
      <formula>NOT(ISERROR(SEARCH("Трактор базы",B4453)))</formula>
    </cfRule>
  </conditionalFormatting>
  <conditionalFormatting sqref="B4465:B4467">
    <cfRule type="containsText" dxfId="134" priority="5" operator="containsText" text="Трактор базы">
      <formula>NOT(ISERROR(SEARCH("Трактор базы",B4465)))</formula>
    </cfRule>
  </conditionalFormatting>
  <conditionalFormatting sqref="B4465:B4467">
    <cfRule type="containsText" dxfId="133" priority="8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32" priority="6" operator="containsText" text="Газель базы">
      <formula>NOT(ISERROR(SEARCH("Газель базы",B4465)))</formula>
    </cfRule>
    <cfRule type="containsText" dxfId="131" priority="7" operator="containsText" text="Погрузчик базы">
      <formula>NOT(ISERROR(SEARCH("Погрузчик базы",B4465)))</formula>
    </cfRule>
  </conditionalFormatting>
  <conditionalFormatting sqref="B4488">
    <cfRule type="containsText" dxfId="130" priority="1" operator="containsText" text="Трактор базы">
      <formula>NOT(ISERROR(SEARCH("Трактор базы",B4488)))</formula>
    </cfRule>
  </conditionalFormatting>
  <conditionalFormatting sqref="B4488">
    <cfRule type="containsText" dxfId="129" priority="4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28" priority="2" operator="containsText" text="Газель базы">
      <formula>NOT(ISERROR(SEARCH("Газель базы",B4488)))</formula>
    </cfRule>
    <cfRule type="containsText" dxfId="127" priority="3" operator="containsText" text="Погрузчик базы">
      <formula>NOT(ISERROR(SEARCH("Погрузчик базы",B4488)))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63"/>
  <sheetViews>
    <sheetView zoomScale="90" zoomScaleNormal="90" workbookViewId="0">
      <pane ySplit="1" topLeftCell="A31" activePane="bottomLeft" state="frozen"/>
      <selection pane="bottomLeft" activeCell="I42" sqref="I42:I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18.42578125" bestFit="1" customWidth="1"/>
    <col min="6" max="6" width="19.5703125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11083</v>
      </c>
      <c r="E2" t="s">
        <v>11066</v>
      </c>
      <c r="I2" t="s">
        <v>10883</v>
      </c>
      <c r="J2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10891</v>
      </c>
      <c r="J5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11073</v>
      </c>
      <c r="E6" t="s">
        <v>86</v>
      </c>
      <c r="I6" t="s">
        <v>10894</v>
      </c>
      <c r="J6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13900</v>
      </c>
      <c r="E7" t="s">
        <v>11066</v>
      </c>
      <c r="I7" t="s">
        <v>10897</v>
      </c>
      <c r="J7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11084</v>
      </c>
      <c r="E8" t="s">
        <v>11066</v>
      </c>
      <c r="I8" t="s">
        <v>10900</v>
      </c>
      <c r="J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13653</v>
      </c>
      <c r="J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588</v>
      </c>
      <c r="E10" t="s">
        <v>8</v>
      </c>
      <c r="I10" t="s">
        <v>13656</v>
      </c>
      <c r="J10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588</v>
      </c>
      <c r="E11" t="s">
        <v>8</v>
      </c>
      <c r="I11" t="s">
        <v>13659</v>
      </c>
      <c r="J11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588</v>
      </c>
      <c r="E12" t="s">
        <v>8</v>
      </c>
      <c r="I12" t="s">
        <v>13662</v>
      </c>
      <c r="J12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588</v>
      </c>
      <c r="E13" t="s">
        <v>8</v>
      </c>
      <c r="I13" t="s">
        <v>13665</v>
      </c>
      <c r="J13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588</v>
      </c>
      <c r="E14" t="s">
        <v>8</v>
      </c>
      <c r="I14" t="s">
        <v>13668</v>
      </c>
      <c r="J14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588</v>
      </c>
      <c r="E15" t="s">
        <v>8</v>
      </c>
      <c r="I15" t="s">
        <v>13671</v>
      </c>
      <c r="J15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13900</v>
      </c>
      <c r="E16" t="s">
        <v>8</v>
      </c>
      <c r="I16" t="s">
        <v>13674</v>
      </c>
      <c r="J16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11084</v>
      </c>
      <c r="E17" t="s">
        <v>8</v>
      </c>
      <c r="I17" t="s">
        <v>13677</v>
      </c>
      <c r="J17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588</v>
      </c>
      <c r="E18" t="s">
        <v>8</v>
      </c>
      <c r="I18" t="s">
        <v>13680</v>
      </c>
      <c r="J1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588</v>
      </c>
      <c r="E19" t="s">
        <v>8</v>
      </c>
      <c r="I19" t="s">
        <v>13683</v>
      </c>
      <c r="J1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587</v>
      </c>
      <c r="E20" t="s">
        <v>8</v>
      </c>
      <c r="I20" t="s">
        <v>13686</v>
      </c>
      <c r="J20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587</v>
      </c>
      <c r="E21" t="s">
        <v>8</v>
      </c>
      <c r="H21" t="s">
        <v>2352</v>
      </c>
      <c r="I21" t="s">
        <v>13689</v>
      </c>
      <c r="J21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13901</v>
      </c>
      <c r="E22" t="s">
        <v>8</v>
      </c>
      <c r="I22" t="s">
        <v>13692</v>
      </c>
      <c r="J22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588</v>
      </c>
      <c r="E23" t="s">
        <v>8</v>
      </c>
      <c r="I23" t="s">
        <v>13695</v>
      </c>
      <c r="J23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588</v>
      </c>
      <c r="E24" t="s">
        <v>8</v>
      </c>
      <c r="I24" t="s">
        <v>13698</v>
      </c>
      <c r="J24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13902</v>
      </c>
      <c r="E25" t="s">
        <v>8</v>
      </c>
      <c r="I25" t="s">
        <v>13701</v>
      </c>
      <c r="J25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13704</v>
      </c>
      <c r="J26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1273</v>
      </c>
      <c r="E27" t="s">
        <v>8</v>
      </c>
      <c r="I27" t="s">
        <v>13707</v>
      </c>
      <c r="J27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13903</v>
      </c>
      <c r="E28" t="s">
        <v>8</v>
      </c>
      <c r="F28" t="s">
        <v>1288</v>
      </c>
      <c r="I28" t="s">
        <v>13710</v>
      </c>
      <c r="J2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13903</v>
      </c>
      <c r="E29" t="s">
        <v>8</v>
      </c>
      <c r="F29" t="s">
        <v>1288</v>
      </c>
      <c r="G29" s="7">
        <v>1</v>
      </c>
      <c r="H29" t="s">
        <v>2352</v>
      </c>
      <c r="I29" t="s">
        <v>13713</v>
      </c>
      <c r="J2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10572</v>
      </c>
      <c r="E30" t="s">
        <v>8</v>
      </c>
      <c r="I30" t="s">
        <v>13716</v>
      </c>
      <c r="J30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13903</v>
      </c>
      <c r="E31" t="s">
        <v>8</v>
      </c>
      <c r="F31" t="s">
        <v>10243</v>
      </c>
      <c r="G31" s="7">
        <v>1</v>
      </c>
      <c r="I31" t="s">
        <v>13719</v>
      </c>
      <c r="J31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13903</v>
      </c>
      <c r="E32" t="s">
        <v>8</v>
      </c>
      <c r="F32" t="s">
        <v>10243</v>
      </c>
      <c r="G32" s="7">
        <v>1</v>
      </c>
      <c r="I32" t="s">
        <v>13723</v>
      </c>
      <c r="J32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13903</v>
      </c>
      <c r="E33" t="s">
        <v>8</v>
      </c>
      <c r="F33" t="s">
        <v>10243</v>
      </c>
      <c r="G33" s="7">
        <v>1</v>
      </c>
      <c r="I33" t="s">
        <v>13726</v>
      </c>
      <c r="J33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13903</v>
      </c>
      <c r="E34" t="s">
        <v>8</v>
      </c>
      <c r="F34" t="s">
        <v>10243</v>
      </c>
      <c r="G34" s="7">
        <v>1</v>
      </c>
      <c r="I34" t="s">
        <v>13729</v>
      </c>
      <c r="J34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10572</v>
      </c>
      <c r="E35" t="s">
        <v>8</v>
      </c>
      <c r="I35" t="s">
        <v>13732</v>
      </c>
      <c r="J35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13903</v>
      </c>
      <c r="E36" t="s">
        <v>8</v>
      </c>
      <c r="F36" t="s">
        <v>13904</v>
      </c>
      <c r="I36" t="s">
        <v>13735</v>
      </c>
      <c r="J36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13903</v>
      </c>
      <c r="E37" t="s">
        <v>8</v>
      </c>
      <c r="F37" t="s">
        <v>13904</v>
      </c>
      <c r="I37" t="s">
        <v>13738</v>
      </c>
      <c r="J37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10572</v>
      </c>
      <c r="E38" t="s">
        <v>8</v>
      </c>
      <c r="H38" t="s">
        <v>13905</v>
      </c>
      <c r="I38" t="s">
        <v>13741</v>
      </c>
      <c r="J3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13744</v>
      </c>
      <c r="J3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10015</v>
      </c>
      <c r="E40" t="s">
        <v>8</v>
      </c>
      <c r="I40" t="s">
        <v>13747</v>
      </c>
      <c r="J40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13750</v>
      </c>
      <c r="J41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1607</v>
      </c>
      <c r="E42" t="s">
        <v>8</v>
      </c>
      <c r="I42" t="s">
        <v>14038</v>
      </c>
      <c r="J42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1607</v>
      </c>
      <c r="E43" t="s">
        <v>8</v>
      </c>
      <c r="I43" t="s">
        <v>14041</v>
      </c>
      <c r="J43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I44" t="s">
        <v>14912</v>
      </c>
      <c r="J44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I45" t="s">
        <v>14915</v>
      </c>
      <c r="J45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I46" t="s">
        <v>14918</v>
      </c>
      <c r="J46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I47" t="s">
        <v>14921</v>
      </c>
      <c r="J47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I48" t="s">
        <v>14924</v>
      </c>
      <c r="J4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I49" t="s">
        <v>14927</v>
      </c>
      <c r="J4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I50" t="s">
        <v>14930</v>
      </c>
      <c r="J50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I51" t="s">
        <v>14933</v>
      </c>
      <c r="J51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I52" t="s">
        <v>14936</v>
      </c>
      <c r="J52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I53" t="s">
        <v>16631</v>
      </c>
      <c r="J53" t="s">
        <v>10884</v>
      </c>
      <c r="K53" t="s">
        <v>16632</v>
      </c>
      <c r="L53" t="s">
        <v>16633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I54" t="s">
        <v>14939</v>
      </c>
      <c r="J54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I55" t="s">
        <v>14942</v>
      </c>
      <c r="J55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I56" t="s">
        <v>16634</v>
      </c>
      <c r="J56" t="s">
        <v>10884</v>
      </c>
      <c r="K56" t="s">
        <v>16635</v>
      </c>
      <c r="L56" t="s">
        <v>16636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0.40535879629629629</v>
      </c>
      <c r="I57" t="s">
        <v>16637</v>
      </c>
      <c r="J57" t="s">
        <v>10884</v>
      </c>
      <c r="K57" t="s">
        <v>16638</v>
      </c>
      <c r="L57" t="s">
        <v>16639</v>
      </c>
      <c r="M57" s="2" t="str">
        <f>HYPERLINK(площадкаСнавесом[[#This Row],[RelativePath]])</f>
        <v>17 Площадка с навесом\GA3948333_10_20260304T094343Z.jpg</v>
      </c>
    </row>
    <row r="58" spans="1:13" x14ac:dyDescent="0.25">
      <c r="A58" s="1" t="s">
        <v>15</v>
      </c>
      <c r="B58" s="3">
        <v>46085</v>
      </c>
      <c r="C58" s="4">
        <v>0.43104166666666666</v>
      </c>
      <c r="I58" t="s">
        <v>16640</v>
      </c>
      <c r="J58" t="s">
        <v>10884</v>
      </c>
      <c r="K58" t="s">
        <v>16641</v>
      </c>
      <c r="L58" t="s">
        <v>16642</v>
      </c>
      <c r="M58" s="2" t="str">
        <f>HYPERLINK(площадкаСнавесом[[#This Row],[RelativePath]])</f>
        <v>17 Площадка с навесом\GA3948333_10_20260304T102042Z.jpg</v>
      </c>
    </row>
    <row r="59" spans="1:13" x14ac:dyDescent="0.25">
      <c r="A59" s="1" t="s">
        <v>15</v>
      </c>
      <c r="B59" s="3">
        <v>46085</v>
      </c>
      <c r="C59" s="4">
        <v>0.49809027777777776</v>
      </c>
      <c r="I59" t="s">
        <v>16643</v>
      </c>
      <c r="J59" t="s">
        <v>10884</v>
      </c>
      <c r="K59" t="s">
        <v>16644</v>
      </c>
      <c r="L59" t="s">
        <v>16645</v>
      </c>
      <c r="M59" s="2" t="str">
        <f>HYPERLINK(площадкаСнавесом[[#This Row],[RelativePath]])</f>
        <v>17 Площадка с навесом\GA3948333_10_20260304T115715Z.jpg</v>
      </c>
    </row>
    <row r="60" spans="1:13" x14ac:dyDescent="0.25">
      <c r="A60" s="1" t="s">
        <v>15</v>
      </c>
      <c r="B60" s="3">
        <v>46085</v>
      </c>
      <c r="C60" s="4">
        <v>0.62496527777777777</v>
      </c>
      <c r="I60" t="s">
        <v>16646</v>
      </c>
      <c r="J60" t="s">
        <v>10884</v>
      </c>
      <c r="K60" t="s">
        <v>16647</v>
      </c>
      <c r="L60" t="s">
        <v>16648</v>
      </c>
      <c r="M60" s="2" t="str">
        <f>HYPERLINK(площадкаСнавесом[[#This Row],[RelativePath]])</f>
        <v>17 Площадка с навесом\GA3948333_10_20260304T145957Z.jpg</v>
      </c>
    </row>
    <row r="61" spans="1:13" x14ac:dyDescent="0.25">
      <c r="A61" s="1" t="s">
        <v>15</v>
      </c>
      <c r="B61" s="3">
        <v>46085</v>
      </c>
      <c r="C61" s="4">
        <v>0.66469907407407403</v>
      </c>
      <c r="I61" t="s">
        <v>16649</v>
      </c>
      <c r="J61" t="s">
        <v>10884</v>
      </c>
      <c r="K61" t="s">
        <v>16650</v>
      </c>
      <c r="L61" t="s">
        <v>16651</v>
      </c>
      <c r="M61" s="2" t="str">
        <f>HYPERLINK(площадкаСнавесом[[#This Row],[RelativePath]])</f>
        <v>17 Площадка с навесом\GA3948333_10_20260304T155710Z.jpg</v>
      </c>
    </row>
    <row r="62" spans="1:13" x14ac:dyDescent="0.25">
      <c r="A62" s="1" t="s">
        <v>15</v>
      </c>
      <c r="B62" s="3">
        <v>46085</v>
      </c>
      <c r="C62" s="4">
        <v>0.71535879629629628</v>
      </c>
      <c r="I62" t="s">
        <v>16652</v>
      </c>
      <c r="J62" t="s">
        <v>10884</v>
      </c>
      <c r="K62" t="s">
        <v>16653</v>
      </c>
      <c r="L62" t="s">
        <v>16654</v>
      </c>
      <c r="M62" s="2" t="str">
        <f>HYPERLINK(площадкаСнавесом[[#This Row],[RelativePath]])</f>
        <v>17 Площадка с навесом\GA3948333_10_20260304T171007Z.jpg</v>
      </c>
    </row>
    <row r="63" spans="1:13" x14ac:dyDescent="0.25">
      <c r="A63" s="1" t="s">
        <v>15</v>
      </c>
      <c r="B63" s="3">
        <v>46085</v>
      </c>
      <c r="C63" s="4">
        <v>0.75615740740740744</v>
      </c>
      <c r="I63" t="s">
        <v>16655</v>
      </c>
      <c r="J63" t="s">
        <v>10884</v>
      </c>
      <c r="K63" t="s">
        <v>16656</v>
      </c>
      <c r="L63" t="s">
        <v>16657</v>
      </c>
      <c r="M63" s="2" t="str">
        <f>HYPERLINK(площадкаСнавесом[[#This Row],[RelativePath]])</f>
        <v>17 Площадка с навесом\GA3948333_10_20260304T180852Z.jpg</v>
      </c>
    </row>
  </sheetData>
  <conditionalFormatting sqref="D64:D74 E64:E77 D2:E63 G2:H63">
    <cfRule type="containsText" dxfId="126" priority="14" operator="containsText" text="Выезд с территории">
      <formula>NOT(ISERROR(SEARCH("Выезд с территории",D2)))</formula>
    </cfRule>
  </conditionalFormatting>
  <conditionalFormatting sqref="F2:F63">
    <cfRule type="notContainsText" dxfId="125" priority="13" operator="notContains" text="порожний">
      <formula>ISERROR(SEARCH("порожний",F2))</formula>
    </cfRule>
  </conditionalFormatting>
  <conditionalFormatting sqref="E2:E77">
    <cfRule type="containsText" dxfId="124" priority="11" operator="containsText" text="Газель базы">
      <formula>NOT(ISERROR(SEARCH("Газель базы",E2)))</formula>
    </cfRule>
    <cfRule type="containsText" dxfId="123" priority="12" operator="containsText" text="Погрузчик базы">
      <formula>NOT(ISERROR(SEARCH("Погрузчик базы",E2)))</formula>
    </cfRule>
  </conditionalFormatting>
  <conditionalFormatting sqref="E2:E77">
    <cfRule type="containsText" dxfId="122" priority="10" operator="containsText" text="Трактор базы">
      <formula>NOT(ISERROR(SEARCH("Трактор базы",E2)))</formula>
    </cfRule>
  </conditionalFormatting>
  <conditionalFormatting sqref="A2:C63">
    <cfRule type="expression" dxfId="121" priority="9">
      <formula>$A2="пн"</formula>
    </cfRule>
  </conditionalFormatting>
  <conditionalFormatting sqref="A2:C65">
    <cfRule type="expression" dxfId="120" priority="3">
      <formula>$A2="вс"</formula>
    </cfRule>
    <cfRule type="expression" dxfId="119" priority="4">
      <formula>$A2="сб"</formula>
    </cfRule>
    <cfRule type="expression" dxfId="118" priority="5">
      <formula>$A2="пт"</formula>
    </cfRule>
    <cfRule type="expression" dxfId="117" priority="6">
      <formula>$A2="чт"</formula>
    </cfRule>
    <cfRule type="expression" dxfId="116" priority="7">
      <formula>$A2="ср"</formula>
    </cfRule>
    <cfRule type="expression" dxfId="115" priority="8">
      <formula>$A2="вт"</formula>
    </cfRule>
  </conditionalFormatting>
  <conditionalFormatting sqref="D2:D74">
    <cfRule type="containsText" dxfId="1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4">
    <cfRule type="containsText" dxfId="1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15057</v>
      </c>
      <c r="K40" t="s">
        <v>15058</v>
      </c>
      <c r="L40" t="s">
        <v>15059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15060</v>
      </c>
      <c r="J41" t="s">
        <v>15057</v>
      </c>
      <c r="K41" t="s">
        <v>15061</v>
      </c>
      <c r="L41" t="s">
        <v>15062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15063</v>
      </c>
      <c r="J42" t="s">
        <v>15057</v>
      </c>
      <c r="K42" t="s">
        <v>15064</v>
      </c>
      <c r="L42" t="s">
        <v>15065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15066</v>
      </c>
      <c r="J43" t="s">
        <v>15057</v>
      </c>
      <c r="K43" t="s">
        <v>15067</v>
      </c>
      <c r="L43" t="s">
        <v>15068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15069</v>
      </c>
      <c r="J44" t="s">
        <v>15057</v>
      </c>
      <c r="K44" t="s">
        <v>15070</v>
      </c>
      <c r="L44" t="s">
        <v>15071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15072</v>
      </c>
      <c r="J45" t="s">
        <v>15057</v>
      </c>
      <c r="K45" t="s">
        <v>15073</v>
      </c>
      <c r="L45" t="s">
        <v>15074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15075</v>
      </c>
      <c r="J46" t="s">
        <v>15057</v>
      </c>
      <c r="K46" t="s">
        <v>15076</v>
      </c>
      <c r="L46" t="s">
        <v>15077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15078</v>
      </c>
      <c r="J47" t="s">
        <v>15057</v>
      </c>
      <c r="K47" t="s">
        <v>15079</v>
      </c>
      <c r="L47" t="s">
        <v>15080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15081</v>
      </c>
      <c r="J48" t="s">
        <v>15057</v>
      </c>
      <c r="K48" t="s">
        <v>15082</v>
      </c>
      <c r="L48" t="s">
        <v>15083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15084</v>
      </c>
      <c r="J49" t="s">
        <v>15057</v>
      </c>
      <c r="K49" t="s">
        <v>15085</v>
      </c>
      <c r="L49" t="s">
        <v>15086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15087</v>
      </c>
      <c r="J50" t="s">
        <v>15057</v>
      </c>
      <c r="K50" t="s">
        <v>15088</v>
      </c>
      <c r="L50" t="s">
        <v>15089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15090</v>
      </c>
      <c r="J51" t="s">
        <v>15057</v>
      </c>
      <c r="K51" t="s">
        <v>15091</v>
      </c>
      <c r="L51" t="s">
        <v>15092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15093</v>
      </c>
      <c r="J52" t="s">
        <v>15057</v>
      </c>
      <c r="K52" t="s">
        <v>15094</v>
      </c>
      <c r="L52" t="s">
        <v>15095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15096</v>
      </c>
      <c r="J53" t="s">
        <v>15057</v>
      </c>
      <c r="K53" t="s">
        <v>15097</v>
      </c>
      <c r="L53" t="s">
        <v>15098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15099</v>
      </c>
      <c r="J54" t="s">
        <v>15057</v>
      </c>
      <c r="K54" t="s">
        <v>15100</v>
      </c>
      <c r="L54" t="s">
        <v>15101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15102</v>
      </c>
      <c r="J55" t="s">
        <v>15057</v>
      </c>
      <c r="K55" t="s">
        <v>15103</v>
      </c>
      <c r="L55" t="s">
        <v>15104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15105</v>
      </c>
      <c r="J56" t="s">
        <v>15057</v>
      </c>
      <c r="K56" t="s">
        <v>15106</v>
      </c>
      <c r="L56" t="s">
        <v>15107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15108</v>
      </c>
      <c r="J57" t="s">
        <v>15057</v>
      </c>
      <c r="K57" t="s">
        <v>15109</v>
      </c>
      <c r="L57" t="s">
        <v>15110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15111</v>
      </c>
      <c r="J58" t="s">
        <v>15057</v>
      </c>
      <c r="K58" t="s">
        <v>15112</v>
      </c>
      <c r="L58" t="s">
        <v>15113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15114</v>
      </c>
      <c r="J59" t="s">
        <v>15057</v>
      </c>
      <c r="K59" t="s">
        <v>15115</v>
      </c>
      <c r="L59" t="s">
        <v>15116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15117</v>
      </c>
      <c r="J60" t="s">
        <v>15057</v>
      </c>
      <c r="K60" t="s">
        <v>15118</v>
      </c>
      <c r="L60" t="s">
        <v>15119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15120</v>
      </c>
      <c r="J61" t="s">
        <v>15057</v>
      </c>
      <c r="K61" t="s">
        <v>15121</v>
      </c>
      <c r="L61" t="s">
        <v>15122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15123</v>
      </c>
      <c r="J62" t="s">
        <v>15057</v>
      </c>
      <c r="K62" t="s">
        <v>15124</v>
      </c>
      <c r="L62" t="s">
        <v>15125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15126</v>
      </c>
      <c r="J63" t="s">
        <v>15057</v>
      </c>
      <c r="K63" t="s">
        <v>15127</v>
      </c>
      <c r="L63" t="s">
        <v>15128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15129</v>
      </c>
      <c r="J64" t="s">
        <v>15057</v>
      </c>
      <c r="K64" t="s">
        <v>15130</v>
      </c>
      <c r="L64" t="s">
        <v>15131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15132</v>
      </c>
      <c r="J65" t="s">
        <v>15057</v>
      </c>
      <c r="K65" t="s">
        <v>15133</v>
      </c>
      <c r="L65" t="s">
        <v>15134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15135</v>
      </c>
      <c r="J66" t="s">
        <v>15057</v>
      </c>
      <c r="K66" t="s">
        <v>15136</v>
      </c>
      <c r="L66" t="s">
        <v>15137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15138</v>
      </c>
      <c r="J67" t="s">
        <v>15057</v>
      </c>
      <c r="K67" t="s">
        <v>15139</v>
      </c>
      <c r="L67" t="s">
        <v>15140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15141</v>
      </c>
      <c r="J68" t="s">
        <v>15057</v>
      </c>
      <c r="K68" t="s">
        <v>15142</v>
      </c>
      <c r="L68" t="s">
        <v>15143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15144</v>
      </c>
      <c r="J69" t="s">
        <v>15057</v>
      </c>
      <c r="K69" t="s">
        <v>15145</v>
      </c>
      <c r="L69" t="s">
        <v>15146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15147</v>
      </c>
      <c r="J70" t="s">
        <v>15057</v>
      </c>
      <c r="K70" t="s">
        <v>15148</v>
      </c>
      <c r="L70" t="s">
        <v>15149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15150</v>
      </c>
      <c r="J71" t="s">
        <v>15057</v>
      </c>
      <c r="K71" t="s">
        <v>15151</v>
      </c>
      <c r="L71" t="s">
        <v>15152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15153</v>
      </c>
      <c r="J72" t="s">
        <v>15057</v>
      </c>
      <c r="K72" t="s">
        <v>15154</v>
      </c>
      <c r="L72" t="s">
        <v>15155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15156</v>
      </c>
      <c r="J73" t="s">
        <v>15057</v>
      </c>
      <c r="K73" t="s">
        <v>15157</v>
      </c>
      <c r="L73" t="s">
        <v>15158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15159</v>
      </c>
      <c r="J74" t="s">
        <v>15057</v>
      </c>
      <c r="K74" t="s">
        <v>15160</v>
      </c>
      <c r="L74" t="s">
        <v>15161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15162</v>
      </c>
      <c r="J75" t="s">
        <v>15057</v>
      </c>
      <c r="K75" t="s">
        <v>15163</v>
      </c>
      <c r="L75" t="s">
        <v>15164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15165</v>
      </c>
      <c r="J76" t="s">
        <v>15057</v>
      </c>
      <c r="K76" t="s">
        <v>15166</v>
      </c>
      <c r="L76" t="s">
        <v>15167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15168</v>
      </c>
      <c r="J77" t="s">
        <v>15057</v>
      </c>
      <c r="K77" t="s">
        <v>15169</v>
      </c>
      <c r="L77" t="s">
        <v>15170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15171</v>
      </c>
      <c r="J78" t="s">
        <v>15057</v>
      </c>
      <c r="K78" t="s">
        <v>15172</v>
      </c>
      <c r="L78" t="s">
        <v>15173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15174</v>
      </c>
      <c r="J79" t="s">
        <v>15057</v>
      </c>
      <c r="K79" t="s">
        <v>15175</v>
      </c>
      <c r="L79" t="s">
        <v>15176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15177</v>
      </c>
      <c r="J80" t="s">
        <v>15057</v>
      </c>
      <c r="K80" t="s">
        <v>15178</v>
      </c>
      <c r="L80" t="s">
        <v>15179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15180</v>
      </c>
      <c r="J81" t="s">
        <v>15057</v>
      </c>
      <c r="K81" t="s">
        <v>15181</v>
      </c>
      <c r="L81" t="s">
        <v>15182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15183</v>
      </c>
      <c r="J82" t="s">
        <v>15057</v>
      </c>
      <c r="K82" t="s">
        <v>15184</v>
      </c>
      <c r="L82" t="s">
        <v>15185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15186</v>
      </c>
      <c r="J83" t="s">
        <v>15057</v>
      </c>
      <c r="K83" t="s">
        <v>15187</v>
      </c>
      <c r="L83" t="s">
        <v>15188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15189</v>
      </c>
      <c r="J84" t="s">
        <v>15057</v>
      </c>
      <c r="K84" t="s">
        <v>15190</v>
      </c>
      <c r="L84" t="s">
        <v>15191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15192</v>
      </c>
      <c r="J85" t="s">
        <v>15057</v>
      </c>
      <c r="K85" t="s">
        <v>15193</v>
      </c>
      <c r="L85" t="s">
        <v>15194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15195</v>
      </c>
      <c r="J86" t="s">
        <v>15057</v>
      </c>
      <c r="K86" t="s">
        <v>15196</v>
      </c>
      <c r="L86" t="s">
        <v>15197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15198</v>
      </c>
      <c r="J87" t="s">
        <v>15057</v>
      </c>
      <c r="K87" t="s">
        <v>15199</v>
      </c>
      <c r="L87" t="s">
        <v>15200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15201</v>
      </c>
      <c r="J88" t="s">
        <v>15057</v>
      </c>
      <c r="K88" t="s">
        <v>15202</v>
      </c>
      <c r="L88" t="s">
        <v>15203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15204</v>
      </c>
      <c r="J89" t="s">
        <v>15057</v>
      </c>
      <c r="K89" t="s">
        <v>15205</v>
      </c>
      <c r="L89" t="s">
        <v>15206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15207</v>
      </c>
      <c r="J90" t="s">
        <v>15057</v>
      </c>
      <c r="K90" t="s">
        <v>15208</v>
      </c>
      <c r="L90" t="s">
        <v>15209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15210</v>
      </c>
      <c r="J91" t="s">
        <v>15057</v>
      </c>
      <c r="K91" t="s">
        <v>15211</v>
      </c>
      <c r="L91" t="s">
        <v>15212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15213</v>
      </c>
      <c r="J92" t="s">
        <v>15057</v>
      </c>
      <c r="K92" t="s">
        <v>15214</v>
      </c>
      <c r="L92" t="s">
        <v>15215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15216</v>
      </c>
      <c r="J93" t="s">
        <v>15057</v>
      </c>
      <c r="K93" t="s">
        <v>15217</v>
      </c>
      <c r="L93" t="s">
        <v>15218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15219</v>
      </c>
      <c r="J94" t="s">
        <v>15057</v>
      </c>
      <c r="K94" t="s">
        <v>15220</v>
      </c>
      <c r="L94" t="s">
        <v>15221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15222</v>
      </c>
      <c r="J95" t="s">
        <v>15057</v>
      </c>
      <c r="K95" t="s">
        <v>15223</v>
      </c>
      <c r="L95" t="s">
        <v>15224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15225</v>
      </c>
      <c r="J96" t="s">
        <v>15057</v>
      </c>
      <c r="K96" t="s">
        <v>15226</v>
      </c>
      <c r="L96" t="s">
        <v>15227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15228</v>
      </c>
      <c r="J97" t="s">
        <v>15057</v>
      </c>
      <c r="K97" t="s">
        <v>15229</v>
      </c>
      <c r="L97" t="s">
        <v>15230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15231</v>
      </c>
      <c r="J98" t="s">
        <v>15057</v>
      </c>
      <c r="K98" t="s">
        <v>15232</v>
      </c>
      <c r="L98" t="s">
        <v>15233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15234</v>
      </c>
      <c r="J99" t="s">
        <v>15057</v>
      </c>
      <c r="K99" t="s">
        <v>15235</v>
      </c>
      <c r="L99" t="s">
        <v>15236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15237</v>
      </c>
      <c r="J100" t="s">
        <v>15057</v>
      </c>
      <c r="K100" t="s">
        <v>15238</v>
      </c>
      <c r="L100" t="s">
        <v>15239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15240</v>
      </c>
      <c r="J101" t="s">
        <v>15057</v>
      </c>
      <c r="K101" t="s">
        <v>15241</v>
      </c>
      <c r="L101" t="s">
        <v>15242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15243</v>
      </c>
      <c r="J102" t="s">
        <v>15057</v>
      </c>
      <c r="K102" t="s">
        <v>15244</v>
      </c>
      <c r="L102" t="s">
        <v>15245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15246</v>
      </c>
      <c r="J103" t="s">
        <v>15057</v>
      </c>
      <c r="K103" t="s">
        <v>15247</v>
      </c>
      <c r="L103" t="s">
        <v>15248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15249</v>
      </c>
      <c r="J104" t="s">
        <v>15057</v>
      </c>
      <c r="K104" t="s">
        <v>15250</v>
      </c>
      <c r="L104" t="s">
        <v>15251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15252</v>
      </c>
      <c r="J105" t="s">
        <v>15057</v>
      </c>
      <c r="K105" t="s">
        <v>15253</v>
      </c>
      <c r="L105" t="s">
        <v>15254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15255</v>
      </c>
      <c r="J106" t="s">
        <v>15057</v>
      </c>
      <c r="K106" t="s">
        <v>15256</v>
      </c>
      <c r="L106" t="s">
        <v>15257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15260</v>
      </c>
      <c r="J107" t="s">
        <v>15057</v>
      </c>
      <c r="K107" t="s">
        <v>15261</v>
      </c>
      <c r="L107" t="s">
        <v>15262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15263</v>
      </c>
      <c r="J108" t="s">
        <v>15057</v>
      </c>
      <c r="K108" t="s">
        <v>15264</v>
      </c>
      <c r="L108" t="s">
        <v>15265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15266</v>
      </c>
      <c r="J109" t="s">
        <v>15057</v>
      </c>
      <c r="K109" t="s">
        <v>15267</v>
      </c>
      <c r="L109" t="s">
        <v>15268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15269</v>
      </c>
      <c r="J110" t="s">
        <v>15057</v>
      </c>
      <c r="K110" t="s">
        <v>15270</v>
      </c>
      <c r="L110" t="s">
        <v>15271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15272</v>
      </c>
      <c r="J111" t="s">
        <v>15057</v>
      </c>
      <c r="K111" t="s">
        <v>15273</v>
      </c>
      <c r="L111" t="s">
        <v>15274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15275</v>
      </c>
      <c r="J112" t="s">
        <v>15057</v>
      </c>
      <c r="K112" t="s">
        <v>15276</v>
      </c>
      <c r="L112" t="s">
        <v>15277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15278</v>
      </c>
      <c r="J113" t="s">
        <v>15057</v>
      </c>
      <c r="K113" t="s">
        <v>15279</v>
      </c>
      <c r="L113" t="s">
        <v>15280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15281</v>
      </c>
      <c r="J114" t="s">
        <v>15057</v>
      </c>
      <c r="K114" t="s">
        <v>15282</v>
      </c>
      <c r="L114" t="s">
        <v>15283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15284</v>
      </c>
      <c r="J115" t="s">
        <v>15057</v>
      </c>
      <c r="K115" t="s">
        <v>15285</v>
      </c>
      <c r="L115" t="s">
        <v>15286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15287</v>
      </c>
      <c r="J116" t="s">
        <v>15057</v>
      </c>
      <c r="K116" t="s">
        <v>15288</v>
      </c>
      <c r="L116" t="s">
        <v>15289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15290</v>
      </c>
      <c r="J117" t="s">
        <v>15057</v>
      </c>
      <c r="K117" t="s">
        <v>15291</v>
      </c>
      <c r="L117" t="s">
        <v>15292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15293</v>
      </c>
      <c r="J118" t="s">
        <v>15057</v>
      </c>
      <c r="K118" t="s">
        <v>15294</v>
      </c>
      <c r="L118" t="s">
        <v>15295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15296</v>
      </c>
      <c r="J119" t="s">
        <v>15057</v>
      </c>
      <c r="K119" t="s">
        <v>15297</v>
      </c>
      <c r="L119" t="s">
        <v>15298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15299</v>
      </c>
      <c r="J120" t="s">
        <v>15057</v>
      </c>
      <c r="K120" t="s">
        <v>15300</v>
      </c>
      <c r="L120" t="s">
        <v>15301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15302</v>
      </c>
      <c r="J121" t="s">
        <v>15057</v>
      </c>
      <c r="K121" t="s">
        <v>15303</v>
      </c>
      <c r="L121" t="s">
        <v>15304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15305</v>
      </c>
      <c r="J122" t="s">
        <v>15057</v>
      </c>
      <c r="K122" t="s">
        <v>15306</v>
      </c>
      <c r="L122" t="s">
        <v>15307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15308</v>
      </c>
      <c r="J123" t="s">
        <v>15057</v>
      </c>
      <c r="K123" t="s">
        <v>15309</v>
      </c>
      <c r="L123" t="s">
        <v>15310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15311</v>
      </c>
      <c r="J124" t="s">
        <v>15057</v>
      </c>
      <c r="K124" t="s">
        <v>15312</v>
      </c>
      <c r="L124" t="s">
        <v>15313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15314</v>
      </c>
      <c r="J125" t="s">
        <v>15057</v>
      </c>
      <c r="K125" t="s">
        <v>15315</v>
      </c>
      <c r="L125" t="s">
        <v>15316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15317</v>
      </c>
      <c r="J126" t="s">
        <v>15057</v>
      </c>
      <c r="K126" t="s">
        <v>15318</v>
      </c>
      <c r="L126" t="s">
        <v>15319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15320</v>
      </c>
      <c r="J127" t="s">
        <v>15057</v>
      </c>
      <c r="K127" t="s">
        <v>15321</v>
      </c>
      <c r="L127" t="s">
        <v>15322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15323</v>
      </c>
      <c r="J128" t="s">
        <v>15057</v>
      </c>
      <c r="K128" t="s">
        <v>15324</v>
      </c>
      <c r="L128" t="s">
        <v>15325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15326</v>
      </c>
      <c r="J129" t="s">
        <v>15057</v>
      </c>
      <c r="K129" t="s">
        <v>15327</v>
      </c>
      <c r="L129" t="s">
        <v>15328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15329</v>
      </c>
      <c r="J130" t="s">
        <v>15057</v>
      </c>
      <c r="K130" t="s">
        <v>15330</v>
      </c>
      <c r="L130" t="s">
        <v>15331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15332</v>
      </c>
      <c r="J131" t="s">
        <v>15057</v>
      </c>
      <c r="K131" t="s">
        <v>15333</v>
      </c>
      <c r="L131" t="s">
        <v>15334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15335</v>
      </c>
      <c r="J132" t="s">
        <v>15057</v>
      </c>
      <c r="K132" t="s">
        <v>15336</v>
      </c>
      <c r="L132" t="s">
        <v>15337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15338</v>
      </c>
      <c r="J133" t="s">
        <v>15057</v>
      </c>
      <c r="K133" t="s">
        <v>15339</v>
      </c>
      <c r="L133" t="s">
        <v>15340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15341</v>
      </c>
      <c r="J134" t="s">
        <v>15057</v>
      </c>
      <c r="K134" t="s">
        <v>15342</v>
      </c>
      <c r="L134" t="s">
        <v>15343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15344</v>
      </c>
      <c r="J135" t="s">
        <v>15057</v>
      </c>
      <c r="K135" t="s">
        <v>15345</v>
      </c>
      <c r="L135" t="s">
        <v>15346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15347</v>
      </c>
      <c r="J136" t="s">
        <v>15057</v>
      </c>
      <c r="K136" t="s">
        <v>15348</v>
      </c>
      <c r="L136" t="s">
        <v>15349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15350</v>
      </c>
      <c r="J137" t="s">
        <v>15057</v>
      </c>
      <c r="K137" t="s">
        <v>15351</v>
      </c>
      <c r="L137" t="s">
        <v>15352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15353</v>
      </c>
      <c r="J138" t="s">
        <v>15057</v>
      </c>
      <c r="K138" t="s">
        <v>15354</v>
      </c>
      <c r="L138" t="s">
        <v>15355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15356</v>
      </c>
      <c r="J139" t="s">
        <v>15057</v>
      </c>
      <c r="K139" t="s">
        <v>15357</v>
      </c>
      <c r="L139" t="s">
        <v>15358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15359</v>
      </c>
      <c r="J140" t="s">
        <v>15057</v>
      </c>
      <c r="K140" t="s">
        <v>15360</v>
      </c>
      <c r="L140" t="s">
        <v>15361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15362</v>
      </c>
      <c r="J141" t="s">
        <v>15057</v>
      </c>
      <c r="K141" t="s">
        <v>15363</v>
      </c>
      <c r="L141" t="s">
        <v>15364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15365</v>
      </c>
      <c r="J142" t="s">
        <v>15057</v>
      </c>
      <c r="K142" t="s">
        <v>15366</v>
      </c>
      <c r="L142" t="s">
        <v>15367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15368</v>
      </c>
      <c r="J143" t="s">
        <v>15057</v>
      </c>
      <c r="K143" t="s">
        <v>15369</v>
      </c>
      <c r="L143" t="s">
        <v>15370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15371</v>
      </c>
      <c r="J144" t="s">
        <v>15057</v>
      </c>
      <c r="K144" t="s">
        <v>15372</v>
      </c>
      <c r="L144" t="s">
        <v>15373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15374</v>
      </c>
      <c r="J145" t="s">
        <v>15057</v>
      </c>
      <c r="K145" t="s">
        <v>15375</v>
      </c>
      <c r="L145" t="s">
        <v>15376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15377</v>
      </c>
      <c r="J146" t="s">
        <v>15057</v>
      </c>
      <c r="K146" t="s">
        <v>15378</v>
      </c>
      <c r="L146" t="s">
        <v>15379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15380</v>
      </c>
      <c r="J147" t="s">
        <v>15057</v>
      </c>
      <c r="K147" t="s">
        <v>15381</v>
      </c>
      <c r="L147" t="s">
        <v>15382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15383</v>
      </c>
      <c r="J148" t="s">
        <v>15057</v>
      </c>
      <c r="K148" t="s">
        <v>15384</v>
      </c>
      <c r="L148" t="s">
        <v>15385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15386</v>
      </c>
      <c r="J149" t="s">
        <v>15057</v>
      </c>
      <c r="K149" t="s">
        <v>15387</v>
      </c>
      <c r="L149" t="s">
        <v>15388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15389</v>
      </c>
      <c r="J150" t="s">
        <v>15057</v>
      </c>
      <c r="K150" t="s">
        <v>15390</v>
      </c>
      <c r="L150" t="s">
        <v>15391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15392</v>
      </c>
      <c r="J151" t="s">
        <v>15057</v>
      </c>
      <c r="K151" t="s">
        <v>15393</v>
      </c>
      <c r="L151" t="s">
        <v>15394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15395</v>
      </c>
      <c r="J152" t="s">
        <v>15057</v>
      </c>
      <c r="K152" t="s">
        <v>15396</v>
      </c>
      <c r="L152" t="s">
        <v>15397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15398</v>
      </c>
      <c r="J153" t="s">
        <v>15057</v>
      </c>
      <c r="K153" t="s">
        <v>15399</v>
      </c>
      <c r="L153" t="s">
        <v>15400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15401</v>
      </c>
      <c r="J154" t="s">
        <v>15057</v>
      </c>
      <c r="K154" t="s">
        <v>15402</v>
      </c>
      <c r="L154" t="s">
        <v>15403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15404</v>
      </c>
      <c r="J155" t="s">
        <v>15057</v>
      </c>
      <c r="K155" t="s">
        <v>15405</v>
      </c>
      <c r="L155" t="s">
        <v>15406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15407</v>
      </c>
      <c r="J156" t="s">
        <v>15057</v>
      </c>
      <c r="K156" t="s">
        <v>15408</v>
      </c>
      <c r="L156" t="s">
        <v>15409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15410</v>
      </c>
      <c r="J157" t="s">
        <v>15057</v>
      </c>
      <c r="K157" t="s">
        <v>15411</v>
      </c>
      <c r="L157" t="s">
        <v>15412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15413</v>
      </c>
      <c r="J158" t="s">
        <v>15057</v>
      </c>
      <c r="K158" t="s">
        <v>15414</v>
      </c>
      <c r="L158" t="s">
        <v>15415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15416</v>
      </c>
      <c r="J159" t="s">
        <v>15057</v>
      </c>
      <c r="K159" t="s">
        <v>15417</v>
      </c>
      <c r="L159" t="s">
        <v>15418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15419</v>
      </c>
      <c r="J160" t="s">
        <v>15057</v>
      </c>
      <c r="K160" t="s">
        <v>15420</v>
      </c>
      <c r="L160" t="s">
        <v>15421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15422</v>
      </c>
      <c r="J161" t="s">
        <v>15057</v>
      </c>
      <c r="K161" t="s">
        <v>15423</v>
      </c>
      <c r="L161" t="s">
        <v>15424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15425</v>
      </c>
      <c r="J162" t="s">
        <v>15057</v>
      </c>
      <c r="K162" t="s">
        <v>15426</v>
      </c>
      <c r="L162" t="s">
        <v>15427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15428</v>
      </c>
      <c r="J163" t="s">
        <v>15057</v>
      </c>
      <c r="K163" t="s">
        <v>15429</v>
      </c>
      <c r="L163" t="s">
        <v>15430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15431</v>
      </c>
      <c r="J164" t="s">
        <v>15057</v>
      </c>
      <c r="K164" t="s">
        <v>15432</v>
      </c>
      <c r="L164" t="s">
        <v>15433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15434</v>
      </c>
      <c r="J165" t="s">
        <v>15057</v>
      </c>
      <c r="K165" t="s">
        <v>15435</v>
      </c>
      <c r="L165" t="s">
        <v>15436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15437</v>
      </c>
      <c r="J166" t="s">
        <v>15057</v>
      </c>
      <c r="K166" t="s">
        <v>15438</v>
      </c>
      <c r="L166" t="s">
        <v>15439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15440</v>
      </c>
      <c r="J167" t="s">
        <v>15057</v>
      </c>
      <c r="K167" t="s">
        <v>15441</v>
      </c>
      <c r="L167" t="s">
        <v>15442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15443</v>
      </c>
      <c r="J168" t="s">
        <v>15057</v>
      </c>
      <c r="K168" t="s">
        <v>15444</v>
      </c>
      <c r="L168" t="s">
        <v>15445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15446</v>
      </c>
      <c r="J169" t="s">
        <v>15057</v>
      </c>
      <c r="K169" t="s">
        <v>15447</v>
      </c>
      <c r="L169" t="s">
        <v>15448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15449</v>
      </c>
      <c r="J170" t="s">
        <v>15057</v>
      </c>
      <c r="K170" t="s">
        <v>15450</v>
      </c>
      <c r="L170" t="s">
        <v>15451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15452</v>
      </c>
      <c r="J171" t="s">
        <v>15057</v>
      </c>
      <c r="K171" t="s">
        <v>15453</v>
      </c>
      <c r="L171" t="s">
        <v>15454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15455</v>
      </c>
      <c r="J172" t="s">
        <v>15057</v>
      </c>
      <c r="K172" t="s">
        <v>15456</v>
      </c>
      <c r="L172" t="s">
        <v>15457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15458</v>
      </c>
      <c r="J173" t="s">
        <v>15057</v>
      </c>
      <c r="K173" t="s">
        <v>15459</v>
      </c>
      <c r="L173" t="s">
        <v>15460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15461</v>
      </c>
      <c r="J174" t="s">
        <v>15057</v>
      </c>
      <c r="K174" t="s">
        <v>15462</v>
      </c>
      <c r="L174" t="s">
        <v>15463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15464</v>
      </c>
      <c r="J175" t="s">
        <v>15057</v>
      </c>
      <c r="K175" t="s">
        <v>15465</v>
      </c>
      <c r="L175" t="s">
        <v>15466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15467</v>
      </c>
      <c r="J176" t="s">
        <v>15057</v>
      </c>
      <c r="K176" t="s">
        <v>15468</v>
      </c>
      <c r="L176" t="s">
        <v>15469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15470</v>
      </c>
      <c r="J177" t="s">
        <v>15057</v>
      </c>
      <c r="K177" t="s">
        <v>15471</v>
      </c>
      <c r="L177" t="s">
        <v>15472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15473</v>
      </c>
      <c r="J178" t="s">
        <v>15057</v>
      </c>
      <c r="K178" t="s">
        <v>15474</v>
      </c>
      <c r="L178" t="s">
        <v>15475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15476</v>
      </c>
      <c r="J179" t="s">
        <v>15057</v>
      </c>
      <c r="K179" t="s">
        <v>15477</v>
      </c>
      <c r="L179" t="s">
        <v>15478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15479</v>
      </c>
      <c r="J180" t="s">
        <v>15057</v>
      </c>
      <c r="K180" t="s">
        <v>15480</v>
      </c>
      <c r="L180" t="s">
        <v>15481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15482</v>
      </c>
      <c r="J181" t="s">
        <v>15057</v>
      </c>
      <c r="K181" t="s">
        <v>15483</v>
      </c>
      <c r="L181" t="s">
        <v>15484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15485</v>
      </c>
      <c r="J182" t="s">
        <v>15057</v>
      </c>
      <c r="K182" t="s">
        <v>15486</v>
      </c>
      <c r="L182" t="s">
        <v>15487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15488</v>
      </c>
      <c r="J183" t="s">
        <v>15057</v>
      </c>
      <c r="K183" t="s">
        <v>15489</v>
      </c>
      <c r="L183" t="s">
        <v>15490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15491</v>
      </c>
      <c r="J184" t="s">
        <v>15057</v>
      </c>
      <c r="K184" t="s">
        <v>15492</v>
      </c>
      <c r="L184" t="s">
        <v>15493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15494</v>
      </c>
      <c r="J185" t="s">
        <v>15057</v>
      </c>
      <c r="K185" t="s">
        <v>15495</v>
      </c>
      <c r="L185" t="s">
        <v>15496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15497</v>
      </c>
      <c r="J186" t="s">
        <v>15057</v>
      </c>
      <c r="K186" t="s">
        <v>15498</v>
      </c>
      <c r="L186" t="s">
        <v>15499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15500</v>
      </c>
      <c r="J187" t="s">
        <v>15057</v>
      </c>
      <c r="K187" t="s">
        <v>15501</v>
      </c>
      <c r="L187" t="s">
        <v>15502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15503</v>
      </c>
      <c r="J188" t="s">
        <v>15057</v>
      </c>
      <c r="K188" t="s">
        <v>15504</v>
      </c>
      <c r="L188" t="s">
        <v>15505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15506</v>
      </c>
      <c r="J189" t="s">
        <v>15057</v>
      </c>
      <c r="K189" t="s">
        <v>15507</v>
      </c>
      <c r="L189" t="s">
        <v>15508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15509</v>
      </c>
      <c r="J190" t="s">
        <v>15057</v>
      </c>
      <c r="K190" t="s">
        <v>15510</v>
      </c>
      <c r="L190" t="s">
        <v>15511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15512</v>
      </c>
      <c r="J191" t="s">
        <v>15057</v>
      </c>
      <c r="K191" t="s">
        <v>15513</v>
      </c>
      <c r="L191" t="s">
        <v>15514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15515</v>
      </c>
      <c r="J192" t="s">
        <v>15057</v>
      </c>
      <c r="K192" t="s">
        <v>15516</v>
      </c>
      <c r="L192" t="s">
        <v>15517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15518</v>
      </c>
      <c r="J193" t="s">
        <v>15057</v>
      </c>
      <c r="K193" t="s">
        <v>15519</v>
      </c>
      <c r="L193" t="s">
        <v>15520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15521</v>
      </c>
      <c r="J194" t="s">
        <v>15057</v>
      </c>
      <c r="K194" t="s">
        <v>15522</v>
      </c>
      <c r="L194" t="s">
        <v>15523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15524</v>
      </c>
      <c r="J195" t="s">
        <v>15057</v>
      </c>
      <c r="K195" t="s">
        <v>15525</v>
      </c>
      <c r="L195" t="s">
        <v>15526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15527</v>
      </c>
      <c r="J196" t="s">
        <v>15057</v>
      </c>
      <c r="K196" t="s">
        <v>15528</v>
      </c>
      <c r="L196" t="s">
        <v>15529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15530</v>
      </c>
      <c r="J197" t="s">
        <v>15057</v>
      </c>
      <c r="K197" t="s">
        <v>15531</v>
      </c>
      <c r="L197" t="s">
        <v>15532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15533</v>
      </c>
      <c r="J198" t="s">
        <v>15057</v>
      </c>
      <c r="K198" t="s">
        <v>15534</v>
      </c>
      <c r="L198" t="s">
        <v>15535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15536</v>
      </c>
      <c r="J199" t="s">
        <v>15057</v>
      </c>
      <c r="K199" t="s">
        <v>15537</v>
      </c>
      <c r="L199" t="s">
        <v>15538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15539</v>
      </c>
      <c r="J200" t="s">
        <v>15057</v>
      </c>
      <c r="K200" t="s">
        <v>15540</v>
      </c>
      <c r="L200" t="s">
        <v>15541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15542</v>
      </c>
      <c r="J201" t="s">
        <v>15057</v>
      </c>
      <c r="K201" t="s">
        <v>15543</v>
      </c>
      <c r="L201" t="s">
        <v>15544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15545</v>
      </c>
      <c r="J202" t="s">
        <v>15057</v>
      </c>
      <c r="K202" t="s">
        <v>15546</v>
      </c>
      <c r="L202" t="s">
        <v>15547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15548</v>
      </c>
      <c r="J203" t="s">
        <v>15057</v>
      </c>
      <c r="K203" t="s">
        <v>15549</v>
      </c>
      <c r="L203" t="s">
        <v>15550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15551</v>
      </c>
      <c r="J204" t="s">
        <v>15057</v>
      </c>
      <c r="K204" t="s">
        <v>15552</v>
      </c>
      <c r="L204" t="s">
        <v>15553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15554</v>
      </c>
      <c r="J205" t="s">
        <v>15057</v>
      </c>
      <c r="K205" t="s">
        <v>15555</v>
      </c>
      <c r="L205" t="s">
        <v>15556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15557</v>
      </c>
      <c r="J206" t="s">
        <v>15057</v>
      </c>
      <c r="K206" t="s">
        <v>15558</v>
      </c>
      <c r="L206" t="s">
        <v>15559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15560</v>
      </c>
      <c r="J207" t="s">
        <v>15057</v>
      </c>
      <c r="K207" t="s">
        <v>15561</v>
      </c>
      <c r="L207" t="s">
        <v>15562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15563</v>
      </c>
      <c r="J208" t="s">
        <v>15057</v>
      </c>
      <c r="K208" t="s">
        <v>15564</v>
      </c>
      <c r="L208" t="s">
        <v>15565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15566</v>
      </c>
      <c r="J209" t="s">
        <v>15057</v>
      </c>
      <c r="K209" t="s">
        <v>15567</v>
      </c>
      <c r="L209" t="s">
        <v>15568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15569</v>
      </c>
      <c r="J210" t="s">
        <v>15057</v>
      </c>
      <c r="K210" t="s">
        <v>15570</v>
      </c>
      <c r="L210" t="s">
        <v>15571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15572</v>
      </c>
      <c r="J211" t="s">
        <v>15057</v>
      </c>
      <c r="K211" t="s">
        <v>15573</v>
      </c>
      <c r="L211" t="s">
        <v>15574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15575</v>
      </c>
      <c r="J212" t="s">
        <v>15057</v>
      </c>
      <c r="K212" t="s">
        <v>15576</v>
      </c>
      <c r="L212" t="s">
        <v>15577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15578</v>
      </c>
      <c r="J213" t="s">
        <v>15057</v>
      </c>
      <c r="K213" t="s">
        <v>15579</v>
      </c>
      <c r="L213" t="s">
        <v>15580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15581</v>
      </c>
      <c r="J214" t="s">
        <v>15057</v>
      </c>
      <c r="K214" t="s">
        <v>15582</v>
      </c>
      <c r="L214" t="s">
        <v>15583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15584</v>
      </c>
      <c r="J215" t="s">
        <v>15057</v>
      </c>
      <c r="K215" t="s">
        <v>15585</v>
      </c>
      <c r="L215" t="s">
        <v>15586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15587</v>
      </c>
      <c r="J216" t="s">
        <v>15057</v>
      </c>
      <c r="K216" t="s">
        <v>15588</v>
      </c>
      <c r="L216" t="s">
        <v>15589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15590</v>
      </c>
      <c r="J217" t="s">
        <v>15057</v>
      </c>
      <c r="K217" t="s">
        <v>15591</v>
      </c>
      <c r="L217" t="s">
        <v>15592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15593</v>
      </c>
      <c r="J218" t="s">
        <v>15057</v>
      </c>
      <c r="K218" t="s">
        <v>15594</v>
      </c>
      <c r="L218" t="s">
        <v>15595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15596</v>
      </c>
      <c r="J219" t="s">
        <v>15057</v>
      </c>
      <c r="K219" t="s">
        <v>15597</v>
      </c>
      <c r="L219" t="s">
        <v>15598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15599</v>
      </c>
      <c r="J220" t="s">
        <v>15057</v>
      </c>
      <c r="K220" t="s">
        <v>15600</v>
      </c>
      <c r="L220" t="s">
        <v>15601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15602</v>
      </c>
      <c r="J221" t="s">
        <v>15057</v>
      </c>
      <c r="K221" t="s">
        <v>15603</v>
      </c>
      <c r="L221" t="s">
        <v>15604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15605</v>
      </c>
      <c r="J222" t="s">
        <v>15057</v>
      </c>
      <c r="K222" t="s">
        <v>15606</v>
      </c>
      <c r="L222" t="s">
        <v>15607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15608</v>
      </c>
      <c r="J223" t="s">
        <v>15057</v>
      </c>
      <c r="K223" t="s">
        <v>15609</v>
      </c>
      <c r="L223" t="s">
        <v>15610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15611</v>
      </c>
      <c r="J224" t="s">
        <v>15057</v>
      </c>
      <c r="K224" t="s">
        <v>15612</v>
      </c>
      <c r="L224" t="s">
        <v>15613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15614</v>
      </c>
      <c r="J225" t="s">
        <v>15057</v>
      </c>
      <c r="K225" t="s">
        <v>15615</v>
      </c>
      <c r="L225" t="s">
        <v>15616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15617</v>
      </c>
      <c r="J226" t="s">
        <v>15057</v>
      </c>
      <c r="K226" t="s">
        <v>15618</v>
      </c>
      <c r="L226" t="s">
        <v>15619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15620</v>
      </c>
      <c r="J227" t="s">
        <v>15057</v>
      </c>
      <c r="K227" t="s">
        <v>15621</v>
      </c>
      <c r="L227" t="s">
        <v>15622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15623</v>
      </c>
      <c r="J228" t="s">
        <v>15057</v>
      </c>
      <c r="K228" t="s">
        <v>15624</v>
      </c>
      <c r="L228" t="s">
        <v>15625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15626</v>
      </c>
      <c r="J229" t="s">
        <v>15057</v>
      </c>
      <c r="K229" t="s">
        <v>15627</v>
      </c>
      <c r="L229" t="s">
        <v>15628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15629</v>
      </c>
      <c r="J230" t="s">
        <v>15057</v>
      </c>
      <c r="K230" t="s">
        <v>15630</v>
      </c>
      <c r="L230" t="s">
        <v>15631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15632</v>
      </c>
      <c r="J231" t="s">
        <v>15057</v>
      </c>
      <c r="K231" t="s">
        <v>15633</v>
      </c>
      <c r="L231" t="s">
        <v>15634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15635</v>
      </c>
      <c r="J232" t="s">
        <v>15057</v>
      </c>
      <c r="K232" t="s">
        <v>15636</v>
      </c>
      <c r="L232" t="s">
        <v>15637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15638</v>
      </c>
      <c r="J233" t="s">
        <v>15057</v>
      </c>
      <c r="K233" t="s">
        <v>15639</v>
      </c>
      <c r="L233" t="s">
        <v>15640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15641</v>
      </c>
      <c r="J234" t="s">
        <v>15057</v>
      </c>
      <c r="K234" t="s">
        <v>15642</v>
      </c>
      <c r="L234" t="s">
        <v>15643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15644</v>
      </c>
      <c r="J235" t="s">
        <v>15057</v>
      </c>
      <c r="K235" t="s">
        <v>15645</v>
      </c>
      <c r="L235" t="s">
        <v>15646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15647</v>
      </c>
      <c r="J236" t="s">
        <v>15057</v>
      </c>
      <c r="K236" t="s">
        <v>15648</v>
      </c>
      <c r="L236" t="s">
        <v>15649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15650</v>
      </c>
      <c r="J237" t="s">
        <v>15057</v>
      </c>
      <c r="K237" t="s">
        <v>15651</v>
      </c>
      <c r="L237" t="s">
        <v>15652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15653</v>
      </c>
      <c r="J238" t="s">
        <v>15057</v>
      </c>
      <c r="K238" t="s">
        <v>15654</v>
      </c>
      <c r="L238" t="s">
        <v>15655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15656</v>
      </c>
      <c r="J239" t="s">
        <v>15057</v>
      </c>
      <c r="K239" t="s">
        <v>15657</v>
      </c>
      <c r="L239" t="s">
        <v>15658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15659</v>
      </c>
      <c r="J240" t="s">
        <v>15057</v>
      </c>
      <c r="K240" t="s">
        <v>15660</v>
      </c>
      <c r="L240" t="s">
        <v>15661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15662</v>
      </c>
      <c r="J241" t="s">
        <v>15057</v>
      </c>
      <c r="K241" t="s">
        <v>15663</v>
      </c>
      <c r="L241" t="s">
        <v>15664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15665</v>
      </c>
      <c r="J242" t="s">
        <v>15057</v>
      </c>
      <c r="K242" t="s">
        <v>15666</v>
      </c>
      <c r="L242" t="s">
        <v>15667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15668</v>
      </c>
      <c r="J243" t="s">
        <v>15057</v>
      </c>
      <c r="K243" t="s">
        <v>15669</v>
      </c>
      <c r="L243" t="s">
        <v>15670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15671</v>
      </c>
      <c r="J244" t="s">
        <v>15057</v>
      </c>
      <c r="K244" t="s">
        <v>15672</v>
      </c>
      <c r="L244" t="s">
        <v>15673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15674</v>
      </c>
      <c r="J245" t="s">
        <v>15057</v>
      </c>
      <c r="K245" t="s">
        <v>15675</v>
      </c>
      <c r="L245" t="s">
        <v>15676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15677</v>
      </c>
      <c r="J246" t="s">
        <v>15057</v>
      </c>
      <c r="K246" t="s">
        <v>15678</v>
      </c>
      <c r="L246" t="s">
        <v>15679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15680</v>
      </c>
      <c r="J247" t="s">
        <v>15057</v>
      </c>
      <c r="K247" t="s">
        <v>15681</v>
      </c>
      <c r="L247" t="s">
        <v>15682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15683</v>
      </c>
      <c r="J248" t="s">
        <v>15057</v>
      </c>
      <c r="K248" t="s">
        <v>15684</v>
      </c>
      <c r="L248" t="s">
        <v>15685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15686</v>
      </c>
      <c r="J249" t="s">
        <v>15057</v>
      </c>
      <c r="K249" t="s">
        <v>15687</v>
      </c>
      <c r="L249" t="s">
        <v>15688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15689</v>
      </c>
      <c r="J250" t="s">
        <v>15057</v>
      </c>
      <c r="K250" t="s">
        <v>15690</v>
      </c>
      <c r="L250" t="s">
        <v>15691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15692</v>
      </c>
      <c r="J251" t="s">
        <v>15057</v>
      </c>
      <c r="K251" t="s">
        <v>15693</v>
      </c>
      <c r="L251" t="s">
        <v>15694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15695</v>
      </c>
      <c r="J252" t="s">
        <v>15057</v>
      </c>
      <c r="K252" t="s">
        <v>15696</v>
      </c>
      <c r="L252" t="s">
        <v>15697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15698</v>
      </c>
      <c r="J253" t="s">
        <v>15057</v>
      </c>
      <c r="K253" t="s">
        <v>15699</v>
      </c>
      <c r="L253" t="s">
        <v>15700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15701</v>
      </c>
      <c r="J254" t="s">
        <v>15057</v>
      </c>
      <c r="K254" t="s">
        <v>15702</v>
      </c>
      <c r="L254" t="s">
        <v>15703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15704</v>
      </c>
      <c r="J255" t="s">
        <v>15057</v>
      </c>
      <c r="K255" t="s">
        <v>15705</v>
      </c>
      <c r="L255" t="s">
        <v>15706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15707</v>
      </c>
      <c r="J256" t="s">
        <v>15057</v>
      </c>
      <c r="K256" t="s">
        <v>15708</v>
      </c>
      <c r="L256" t="s">
        <v>15709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15710</v>
      </c>
      <c r="J257" t="s">
        <v>15057</v>
      </c>
      <c r="K257" t="s">
        <v>15711</v>
      </c>
      <c r="L257" t="s">
        <v>15712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15713</v>
      </c>
      <c r="J258" t="s">
        <v>15057</v>
      </c>
      <c r="K258" t="s">
        <v>15714</v>
      </c>
      <c r="L258" t="s">
        <v>15715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15716</v>
      </c>
      <c r="J259" t="s">
        <v>15057</v>
      </c>
      <c r="K259" t="s">
        <v>15717</v>
      </c>
      <c r="L259" t="s">
        <v>15718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15719</v>
      </c>
      <c r="J260" t="s">
        <v>15057</v>
      </c>
      <c r="K260" t="s">
        <v>15720</v>
      </c>
      <c r="L260" t="s">
        <v>15721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15722</v>
      </c>
      <c r="J261" t="s">
        <v>15057</v>
      </c>
      <c r="K261" t="s">
        <v>15723</v>
      </c>
      <c r="L261" t="s">
        <v>15724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15725</v>
      </c>
      <c r="J262" t="s">
        <v>15057</v>
      </c>
      <c r="K262" t="s">
        <v>15726</v>
      </c>
      <c r="L262" t="s">
        <v>15727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15728</v>
      </c>
      <c r="J263" t="s">
        <v>15057</v>
      </c>
      <c r="K263" t="s">
        <v>15729</v>
      </c>
      <c r="L263" t="s">
        <v>15730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15731</v>
      </c>
      <c r="J264" t="s">
        <v>15057</v>
      </c>
      <c r="K264" t="s">
        <v>15732</v>
      </c>
      <c r="L264" t="s">
        <v>15733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15734</v>
      </c>
      <c r="J265" t="s">
        <v>15057</v>
      </c>
      <c r="K265" t="s">
        <v>15735</v>
      </c>
      <c r="L265" t="s">
        <v>15736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15737</v>
      </c>
      <c r="J266" t="s">
        <v>15057</v>
      </c>
      <c r="K266" t="s">
        <v>15738</v>
      </c>
      <c r="L266" t="s">
        <v>15739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15740</v>
      </c>
      <c r="J267" t="s">
        <v>15057</v>
      </c>
      <c r="K267" t="s">
        <v>15741</v>
      </c>
      <c r="L267" t="s">
        <v>15742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15743</v>
      </c>
      <c r="J268" t="s">
        <v>15057</v>
      </c>
      <c r="K268" t="s">
        <v>15744</v>
      </c>
      <c r="L268" t="s">
        <v>15745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15746</v>
      </c>
      <c r="J269" t="s">
        <v>15057</v>
      </c>
      <c r="K269" t="s">
        <v>15747</v>
      </c>
      <c r="L269" t="s">
        <v>15748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15749</v>
      </c>
      <c r="J270" t="s">
        <v>15057</v>
      </c>
      <c r="K270" t="s">
        <v>15750</v>
      </c>
      <c r="L270" t="s">
        <v>15751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15752</v>
      </c>
      <c r="J271" t="s">
        <v>15057</v>
      </c>
      <c r="K271" t="s">
        <v>15753</v>
      </c>
      <c r="L271" t="s">
        <v>15754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15755</v>
      </c>
      <c r="J272" t="s">
        <v>15057</v>
      </c>
      <c r="K272" t="s">
        <v>15756</v>
      </c>
      <c r="L272" t="s">
        <v>15757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15758</v>
      </c>
      <c r="J273" t="s">
        <v>15057</v>
      </c>
      <c r="K273" t="s">
        <v>15759</v>
      </c>
      <c r="L273" t="s">
        <v>15760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15761</v>
      </c>
      <c r="J274" t="s">
        <v>15057</v>
      </c>
      <c r="K274" t="s">
        <v>15762</v>
      </c>
      <c r="L274" t="s">
        <v>15763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15764</v>
      </c>
      <c r="J275" t="s">
        <v>15057</v>
      </c>
      <c r="K275" t="s">
        <v>15765</v>
      </c>
      <c r="L275" t="s">
        <v>15766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15767</v>
      </c>
      <c r="J276" t="s">
        <v>15057</v>
      </c>
      <c r="K276" t="s">
        <v>15768</v>
      </c>
      <c r="L276" t="s">
        <v>15769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15770</v>
      </c>
      <c r="J277" t="s">
        <v>15057</v>
      </c>
      <c r="K277" t="s">
        <v>15771</v>
      </c>
      <c r="L277" t="s">
        <v>15772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15773</v>
      </c>
      <c r="J278" t="s">
        <v>15057</v>
      </c>
      <c r="K278" t="s">
        <v>15774</v>
      </c>
      <c r="L278" t="s">
        <v>15775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15776</v>
      </c>
      <c r="J279" t="s">
        <v>15057</v>
      </c>
      <c r="K279" t="s">
        <v>15777</v>
      </c>
      <c r="L279" t="s">
        <v>15778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15779</v>
      </c>
      <c r="J280" t="s">
        <v>15057</v>
      </c>
      <c r="K280" t="s">
        <v>15780</v>
      </c>
      <c r="L280" t="s">
        <v>15781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15782</v>
      </c>
      <c r="J281" t="s">
        <v>15057</v>
      </c>
      <c r="K281" t="s">
        <v>15783</v>
      </c>
      <c r="L281" t="s">
        <v>15784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15785</v>
      </c>
      <c r="J282" t="s">
        <v>15057</v>
      </c>
      <c r="K282" t="s">
        <v>15786</v>
      </c>
      <c r="L282" t="s">
        <v>15787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15788</v>
      </c>
      <c r="J283" t="s">
        <v>15057</v>
      </c>
      <c r="K283" t="s">
        <v>15789</v>
      </c>
      <c r="L283" t="s">
        <v>15790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15791</v>
      </c>
      <c r="J284" t="s">
        <v>15057</v>
      </c>
      <c r="K284" t="s">
        <v>15792</v>
      </c>
      <c r="L284" t="s">
        <v>15793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15794</v>
      </c>
      <c r="J285" t="s">
        <v>15057</v>
      </c>
      <c r="K285" t="s">
        <v>15795</v>
      </c>
      <c r="L285" t="s">
        <v>15796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15797</v>
      </c>
      <c r="J286" t="s">
        <v>15057</v>
      </c>
      <c r="K286" t="s">
        <v>15798</v>
      </c>
      <c r="L286" t="s">
        <v>15799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15800</v>
      </c>
      <c r="J287" t="s">
        <v>15057</v>
      </c>
      <c r="K287" t="s">
        <v>15801</v>
      </c>
      <c r="L287" t="s">
        <v>15802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15803</v>
      </c>
      <c r="J288" t="s">
        <v>15057</v>
      </c>
      <c r="K288" t="s">
        <v>15804</v>
      </c>
      <c r="L288" t="s">
        <v>15805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15806</v>
      </c>
      <c r="J289" t="s">
        <v>15057</v>
      </c>
      <c r="K289" t="s">
        <v>15807</v>
      </c>
      <c r="L289" t="s">
        <v>15808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15809</v>
      </c>
      <c r="J290" t="s">
        <v>15057</v>
      </c>
      <c r="K290" t="s">
        <v>15810</v>
      </c>
      <c r="L290" t="s">
        <v>15811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15812</v>
      </c>
      <c r="J291" t="s">
        <v>15057</v>
      </c>
      <c r="K291" t="s">
        <v>15813</v>
      </c>
      <c r="L291" t="s">
        <v>15814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15815</v>
      </c>
      <c r="J292" t="s">
        <v>15057</v>
      </c>
      <c r="K292" t="s">
        <v>15816</v>
      </c>
      <c r="L292" t="s">
        <v>15817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15818</v>
      </c>
      <c r="J293" t="s">
        <v>15057</v>
      </c>
      <c r="K293" t="s">
        <v>15819</v>
      </c>
      <c r="L293" t="s">
        <v>15820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15821</v>
      </c>
      <c r="J294" t="s">
        <v>15057</v>
      </c>
      <c r="K294" t="s">
        <v>15822</v>
      </c>
      <c r="L294" t="s">
        <v>15823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15824</v>
      </c>
      <c r="J295" t="s">
        <v>15057</v>
      </c>
      <c r="K295" t="s">
        <v>15825</v>
      </c>
      <c r="L295" t="s">
        <v>15826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15827</v>
      </c>
      <c r="J296" t="s">
        <v>15057</v>
      </c>
      <c r="K296" t="s">
        <v>15828</v>
      </c>
      <c r="L296" t="s">
        <v>15829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15830</v>
      </c>
      <c r="J297" t="s">
        <v>15057</v>
      </c>
      <c r="K297" t="s">
        <v>15831</v>
      </c>
      <c r="L297" t="s">
        <v>15832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15833</v>
      </c>
      <c r="J298" t="s">
        <v>15057</v>
      </c>
      <c r="K298" t="s">
        <v>15834</v>
      </c>
      <c r="L298" t="s">
        <v>15835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15836</v>
      </c>
      <c r="J299" t="s">
        <v>15057</v>
      </c>
      <c r="K299" t="s">
        <v>15837</v>
      </c>
      <c r="L299" t="s">
        <v>15838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15839</v>
      </c>
      <c r="J300" t="s">
        <v>15057</v>
      </c>
      <c r="K300" t="s">
        <v>15840</v>
      </c>
      <c r="L300" t="s">
        <v>15841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15842</v>
      </c>
      <c r="J301" t="s">
        <v>15057</v>
      </c>
      <c r="K301" t="s">
        <v>15843</v>
      </c>
      <c r="L301" t="s">
        <v>15844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15845</v>
      </c>
      <c r="J302" t="s">
        <v>15057</v>
      </c>
      <c r="K302" t="s">
        <v>15846</v>
      </c>
      <c r="L302" t="s">
        <v>15847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15848</v>
      </c>
      <c r="J303" t="s">
        <v>15057</v>
      </c>
      <c r="K303" t="s">
        <v>15849</v>
      </c>
      <c r="L303" t="s">
        <v>15850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15851</v>
      </c>
      <c r="J304" t="s">
        <v>15057</v>
      </c>
      <c r="K304" t="s">
        <v>15852</v>
      </c>
      <c r="L304" t="s">
        <v>15853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15854</v>
      </c>
      <c r="J305" t="s">
        <v>15057</v>
      </c>
      <c r="K305" t="s">
        <v>15855</v>
      </c>
      <c r="L305" t="s">
        <v>15856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15857</v>
      </c>
      <c r="J306" t="s">
        <v>15057</v>
      </c>
      <c r="K306" t="s">
        <v>15858</v>
      </c>
      <c r="L306" t="s">
        <v>15859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15860</v>
      </c>
      <c r="J307" t="s">
        <v>15057</v>
      </c>
      <c r="K307" t="s">
        <v>15861</v>
      </c>
      <c r="L307" t="s">
        <v>15862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15863</v>
      </c>
      <c r="J308" t="s">
        <v>15057</v>
      </c>
      <c r="K308" t="s">
        <v>15864</v>
      </c>
      <c r="L308" t="s">
        <v>15865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15866</v>
      </c>
      <c r="J309" t="s">
        <v>15057</v>
      </c>
      <c r="K309" t="s">
        <v>15867</v>
      </c>
      <c r="L309" t="s">
        <v>15868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15869</v>
      </c>
      <c r="J310" t="s">
        <v>15057</v>
      </c>
      <c r="K310" t="s">
        <v>15870</v>
      </c>
      <c r="L310" t="s">
        <v>15871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15872</v>
      </c>
      <c r="J311" t="s">
        <v>15057</v>
      </c>
      <c r="K311" t="s">
        <v>15873</v>
      </c>
      <c r="L311" t="s">
        <v>15874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15875</v>
      </c>
      <c r="J312" t="s">
        <v>15057</v>
      </c>
      <c r="K312" t="s">
        <v>15876</v>
      </c>
      <c r="L312" t="s">
        <v>15877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15878</v>
      </c>
      <c r="J313" t="s">
        <v>15057</v>
      </c>
      <c r="K313" t="s">
        <v>15879</v>
      </c>
      <c r="L313" t="s">
        <v>15880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15881</v>
      </c>
      <c r="J314" t="s">
        <v>15057</v>
      </c>
      <c r="K314" t="s">
        <v>15882</v>
      </c>
      <c r="L314" t="s">
        <v>15883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15884</v>
      </c>
      <c r="J315" t="s">
        <v>15057</v>
      </c>
      <c r="K315" t="s">
        <v>15885</v>
      </c>
      <c r="L315" t="s">
        <v>15886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15887</v>
      </c>
      <c r="J316" t="s">
        <v>15057</v>
      </c>
      <c r="K316" t="s">
        <v>15888</v>
      </c>
      <c r="L316" t="s">
        <v>15889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15890</v>
      </c>
      <c r="J317" t="s">
        <v>15057</v>
      </c>
      <c r="K317" t="s">
        <v>15891</v>
      </c>
      <c r="L317" t="s">
        <v>15892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15893</v>
      </c>
      <c r="J318" t="s">
        <v>15057</v>
      </c>
      <c r="K318" t="s">
        <v>15894</v>
      </c>
      <c r="L318" t="s">
        <v>15895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15896</v>
      </c>
      <c r="J319" t="s">
        <v>15057</v>
      </c>
      <c r="K319" t="s">
        <v>15897</v>
      </c>
      <c r="L319" t="s">
        <v>15898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15899</v>
      </c>
      <c r="J320" t="s">
        <v>15057</v>
      </c>
      <c r="K320" t="s">
        <v>15900</v>
      </c>
      <c r="L320" t="s">
        <v>15901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15902</v>
      </c>
      <c r="J321" t="s">
        <v>15057</v>
      </c>
      <c r="K321" t="s">
        <v>15903</v>
      </c>
      <c r="L321" t="s">
        <v>15904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15905</v>
      </c>
      <c r="J322" t="s">
        <v>15057</v>
      </c>
      <c r="K322" t="s">
        <v>15906</v>
      </c>
      <c r="L322" t="s">
        <v>15907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15908</v>
      </c>
      <c r="J323" t="s">
        <v>15057</v>
      </c>
      <c r="K323" t="s">
        <v>15909</v>
      </c>
      <c r="L323" t="s">
        <v>15910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15911</v>
      </c>
      <c r="J324" t="s">
        <v>15057</v>
      </c>
      <c r="K324" t="s">
        <v>15912</v>
      </c>
      <c r="L324" t="s">
        <v>15913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15914</v>
      </c>
      <c r="J325" t="s">
        <v>15057</v>
      </c>
      <c r="K325" t="s">
        <v>15915</v>
      </c>
      <c r="L325" t="s">
        <v>15916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15917</v>
      </c>
      <c r="J326" t="s">
        <v>15057</v>
      </c>
      <c r="K326" t="s">
        <v>15918</v>
      </c>
      <c r="L326" t="s">
        <v>15919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15920</v>
      </c>
      <c r="J327" t="s">
        <v>15057</v>
      </c>
      <c r="K327" t="s">
        <v>15921</v>
      </c>
      <c r="L327" t="s">
        <v>15922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15923</v>
      </c>
      <c r="J328" t="s">
        <v>15057</v>
      </c>
      <c r="K328" t="s">
        <v>15924</v>
      </c>
      <c r="L328" t="s">
        <v>15925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15926</v>
      </c>
      <c r="J329" t="s">
        <v>15057</v>
      </c>
      <c r="K329" t="s">
        <v>15927</v>
      </c>
      <c r="L329" t="s">
        <v>15928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15929</v>
      </c>
      <c r="J330" t="s">
        <v>15057</v>
      </c>
      <c r="K330" t="s">
        <v>15930</v>
      </c>
      <c r="L330" t="s">
        <v>15931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15932</v>
      </c>
      <c r="J331" t="s">
        <v>15057</v>
      </c>
      <c r="K331" t="s">
        <v>15933</v>
      </c>
      <c r="L331" t="s">
        <v>15934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15935</v>
      </c>
      <c r="J332" t="s">
        <v>15057</v>
      </c>
      <c r="K332" t="s">
        <v>15936</v>
      </c>
      <c r="L332" t="s">
        <v>15937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15938</v>
      </c>
      <c r="J333" t="s">
        <v>15057</v>
      </c>
      <c r="K333" t="s">
        <v>15939</v>
      </c>
      <c r="L333" t="s">
        <v>15940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15941</v>
      </c>
      <c r="J334" t="s">
        <v>15057</v>
      </c>
      <c r="K334" t="s">
        <v>15942</v>
      </c>
      <c r="L334" t="s">
        <v>15943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15944</v>
      </c>
      <c r="J335" t="s">
        <v>15057</v>
      </c>
      <c r="K335" t="s">
        <v>15945</v>
      </c>
      <c r="L335" t="s">
        <v>15946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15947</v>
      </c>
      <c r="J336" t="s">
        <v>15057</v>
      </c>
      <c r="K336" t="s">
        <v>15948</v>
      </c>
      <c r="L336" t="s">
        <v>15949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15950</v>
      </c>
      <c r="J337" t="s">
        <v>15057</v>
      </c>
      <c r="K337" t="s">
        <v>15951</v>
      </c>
      <c r="L337" t="s">
        <v>15952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15953</v>
      </c>
      <c r="J338" t="s">
        <v>15057</v>
      </c>
      <c r="K338" t="s">
        <v>15954</v>
      </c>
      <c r="L338" t="s">
        <v>15955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15956</v>
      </c>
      <c r="J339" t="s">
        <v>15057</v>
      </c>
      <c r="K339" t="s">
        <v>15957</v>
      </c>
      <c r="L339" t="s">
        <v>15958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15959</v>
      </c>
      <c r="J340" t="s">
        <v>15057</v>
      </c>
      <c r="K340" t="s">
        <v>15960</v>
      </c>
      <c r="L340" t="s">
        <v>15961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15962</v>
      </c>
      <c r="J341" t="s">
        <v>15057</v>
      </c>
      <c r="K341" t="s">
        <v>15963</v>
      </c>
      <c r="L341" t="s">
        <v>15964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15965</v>
      </c>
      <c r="J342" t="s">
        <v>15057</v>
      </c>
      <c r="K342" t="s">
        <v>15966</v>
      </c>
      <c r="L342" t="s">
        <v>15967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15968</v>
      </c>
      <c r="J343" t="s">
        <v>15057</v>
      </c>
      <c r="K343" t="s">
        <v>15969</v>
      </c>
      <c r="L343" t="s">
        <v>15970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15971</v>
      </c>
      <c r="J344" t="s">
        <v>15057</v>
      </c>
      <c r="K344" t="s">
        <v>15972</v>
      </c>
      <c r="L344" t="s">
        <v>15973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15974</v>
      </c>
      <c r="J345" t="s">
        <v>15057</v>
      </c>
      <c r="K345" t="s">
        <v>15975</v>
      </c>
      <c r="L345" t="s">
        <v>15976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15977</v>
      </c>
      <c r="J346" t="s">
        <v>15057</v>
      </c>
      <c r="K346" t="s">
        <v>15978</v>
      </c>
      <c r="L346" t="s">
        <v>15979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15980</v>
      </c>
      <c r="J347" t="s">
        <v>15057</v>
      </c>
      <c r="K347" t="s">
        <v>15981</v>
      </c>
      <c r="L347" t="s">
        <v>15982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15983</v>
      </c>
      <c r="J348" t="s">
        <v>15057</v>
      </c>
      <c r="K348" t="s">
        <v>15984</v>
      </c>
      <c r="L348" t="s">
        <v>15985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15986</v>
      </c>
      <c r="J349" t="s">
        <v>15057</v>
      </c>
      <c r="K349" t="s">
        <v>15987</v>
      </c>
      <c r="L349" t="s">
        <v>15988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15989</v>
      </c>
      <c r="J350" t="s">
        <v>15057</v>
      </c>
      <c r="K350" t="s">
        <v>15990</v>
      </c>
      <c r="L350" t="s">
        <v>15991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15992</v>
      </c>
      <c r="J351" t="s">
        <v>15057</v>
      </c>
      <c r="K351" t="s">
        <v>15993</v>
      </c>
      <c r="L351" t="s">
        <v>15994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15995</v>
      </c>
      <c r="J352" t="s">
        <v>15057</v>
      </c>
      <c r="K352" t="s">
        <v>15996</v>
      </c>
      <c r="L352" t="s">
        <v>15997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15998</v>
      </c>
      <c r="J353" t="s">
        <v>15057</v>
      </c>
      <c r="K353" t="s">
        <v>15999</v>
      </c>
      <c r="L353" t="s">
        <v>16000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16001</v>
      </c>
      <c r="J354" t="s">
        <v>15057</v>
      </c>
      <c r="K354" t="s">
        <v>16002</v>
      </c>
      <c r="L354" t="s">
        <v>16003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16004</v>
      </c>
      <c r="J355" t="s">
        <v>15057</v>
      </c>
      <c r="K355" t="s">
        <v>16005</v>
      </c>
      <c r="L355" t="s">
        <v>16006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16007</v>
      </c>
      <c r="J356" t="s">
        <v>15057</v>
      </c>
      <c r="K356" t="s">
        <v>16008</v>
      </c>
      <c r="L356" t="s">
        <v>16009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16010</v>
      </c>
      <c r="J357" t="s">
        <v>15057</v>
      </c>
      <c r="K357" t="s">
        <v>16011</v>
      </c>
      <c r="L357" t="s">
        <v>16012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16013</v>
      </c>
      <c r="J358" t="s">
        <v>15057</v>
      </c>
      <c r="K358" t="s">
        <v>16014</v>
      </c>
      <c r="L358" t="s">
        <v>16015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16016</v>
      </c>
      <c r="J359" t="s">
        <v>15057</v>
      </c>
      <c r="K359" t="s">
        <v>16017</v>
      </c>
      <c r="L359" t="s">
        <v>16018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16019</v>
      </c>
      <c r="J360" t="s">
        <v>15057</v>
      </c>
      <c r="K360" t="s">
        <v>16020</v>
      </c>
      <c r="L360" t="s">
        <v>16021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16022</v>
      </c>
      <c r="J361" t="s">
        <v>15057</v>
      </c>
      <c r="K361" t="s">
        <v>16023</v>
      </c>
      <c r="L361" t="s">
        <v>16024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16025</v>
      </c>
      <c r="J362" t="s">
        <v>15057</v>
      </c>
      <c r="K362" t="s">
        <v>16026</v>
      </c>
      <c r="L362" t="s">
        <v>16027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16028</v>
      </c>
      <c r="J363" t="s">
        <v>15057</v>
      </c>
      <c r="K363" t="s">
        <v>16029</v>
      </c>
      <c r="L363" t="s">
        <v>16030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16031</v>
      </c>
      <c r="J364" t="s">
        <v>15057</v>
      </c>
      <c r="K364" t="s">
        <v>16032</v>
      </c>
      <c r="L364" t="s">
        <v>16033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16034</v>
      </c>
      <c r="J365" t="s">
        <v>15057</v>
      </c>
      <c r="K365" t="s">
        <v>16035</v>
      </c>
      <c r="L365" t="s">
        <v>16036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16037</v>
      </c>
      <c r="J366" t="s">
        <v>15057</v>
      </c>
      <c r="K366" t="s">
        <v>16038</v>
      </c>
      <c r="L366" t="s">
        <v>16039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16040</v>
      </c>
      <c r="J367" t="s">
        <v>15057</v>
      </c>
      <c r="K367" t="s">
        <v>16041</v>
      </c>
      <c r="L367" t="s">
        <v>16042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16043</v>
      </c>
      <c r="J368" t="s">
        <v>15057</v>
      </c>
      <c r="K368" t="s">
        <v>16044</v>
      </c>
      <c r="L368" t="s">
        <v>16045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16046</v>
      </c>
      <c r="J369" t="s">
        <v>15057</v>
      </c>
      <c r="K369" t="s">
        <v>16047</v>
      </c>
      <c r="L369" t="s">
        <v>16048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16049</v>
      </c>
      <c r="J370" t="s">
        <v>15057</v>
      </c>
      <c r="K370" t="s">
        <v>16050</v>
      </c>
      <c r="L370" t="s">
        <v>16051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16052</v>
      </c>
      <c r="J371" t="s">
        <v>15057</v>
      </c>
      <c r="K371" t="s">
        <v>16053</v>
      </c>
      <c r="L371" t="s">
        <v>16054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16055</v>
      </c>
      <c r="J372" t="s">
        <v>15057</v>
      </c>
      <c r="K372" t="s">
        <v>16056</v>
      </c>
      <c r="L372" t="s">
        <v>16057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16058</v>
      </c>
      <c r="J373" t="s">
        <v>15057</v>
      </c>
      <c r="K373" t="s">
        <v>16059</v>
      </c>
      <c r="L373" t="s">
        <v>16060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16061</v>
      </c>
      <c r="J374" t="s">
        <v>15057</v>
      </c>
      <c r="K374" t="s">
        <v>16062</v>
      </c>
      <c r="L374" t="s">
        <v>16063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16064</v>
      </c>
      <c r="J375" t="s">
        <v>15057</v>
      </c>
      <c r="K375" t="s">
        <v>16065</v>
      </c>
      <c r="L375" t="s">
        <v>16066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16067</v>
      </c>
      <c r="J376" t="s">
        <v>15057</v>
      </c>
      <c r="K376" t="s">
        <v>16068</v>
      </c>
      <c r="L376" t="s">
        <v>16069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16070</v>
      </c>
      <c r="J377" t="s">
        <v>15057</v>
      </c>
      <c r="K377" t="s">
        <v>16071</v>
      </c>
      <c r="L377" t="s">
        <v>16072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16073</v>
      </c>
      <c r="J378" t="s">
        <v>15057</v>
      </c>
      <c r="K378" t="s">
        <v>16074</v>
      </c>
      <c r="L378" t="s">
        <v>16075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16076</v>
      </c>
      <c r="J379" t="s">
        <v>15057</v>
      </c>
      <c r="K379" t="s">
        <v>16077</v>
      </c>
      <c r="L379" t="s">
        <v>16078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16079</v>
      </c>
      <c r="J380" t="s">
        <v>15057</v>
      </c>
      <c r="K380" t="s">
        <v>16080</v>
      </c>
      <c r="L380" t="s">
        <v>16081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16082</v>
      </c>
      <c r="J381" t="s">
        <v>15057</v>
      </c>
      <c r="K381" t="s">
        <v>16083</v>
      </c>
      <c r="L381" t="s">
        <v>16084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16085</v>
      </c>
      <c r="J382" t="s">
        <v>15057</v>
      </c>
      <c r="K382" t="s">
        <v>16086</v>
      </c>
      <c r="L382" t="s">
        <v>16087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16088</v>
      </c>
      <c r="J383" t="s">
        <v>15057</v>
      </c>
      <c r="K383" t="s">
        <v>16089</v>
      </c>
      <c r="L383" t="s">
        <v>16090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16091</v>
      </c>
      <c r="J384" t="s">
        <v>15057</v>
      </c>
      <c r="K384" t="s">
        <v>16092</v>
      </c>
      <c r="L384" t="s">
        <v>16093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16094</v>
      </c>
      <c r="J385" t="s">
        <v>15057</v>
      </c>
      <c r="K385" t="s">
        <v>16095</v>
      </c>
      <c r="L385" t="s">
        <v>16096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16097</v>
      </c>
      <c r="J386" t="s">
        <v>15057</v>
      </c>
      <c r="K386" t="s">
        <v>16098</v>
      </c>
      <c r="L386" t="s">
        <v>16099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16100</v>
      </c>
      <c r="J387" t="s">
        <v>15057</v>
      </c>
      <c r="K387" t="s">
        <v>16101</v>
      </c>
      <c r="L387" t="s">
        <v>16102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16103</v>
      </c>
      <c r="J388" t="s">
        <v>15057</v>
      </c>
      <c r="K388" t="s">
        <v>16104</v>
      </c>
      <c r="L388" t="s">
        <v>16105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16106</v>
      </c>
      <c r="J389" t="s">
        <v>15057</v>
      </c>
      <c r="K389" t="s">
        <v>16107</v>
      </c>
      <c r="L389" t="s">
        <v>16108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16109</v>
      </c>
      <c r="J390" t="s">
        <v>15057</v>
      </c>
      <c r="K390" t="s">
        <v>16110</v>
      </c>
      <c r="L390" t="s">
        <v>16111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16112</v>
      </c>
      <c r="J391" t="s">
        <v>15057</v>
      </c>
      <c r="K391" t="s">
        <v>16113</v>
      </c>
      <c r="L391" t="s">
        <v>16114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16115</v>
      </c>
      <c r="J392" t="s">
        <v>15057</v>
      </c>
      <c r="K392" t="s">
        <v>16116</v>
      </c>
      <c r="L392" t="s">
        <v>16117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16118</v>
      </c>
      <c r="J393" t="s">
        <v>15057</v>
      </c>
      <c r="K393" t="s">
        <v>16119</v>
      </c>
      <c r="L393" t="s">
        <v>16120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16121</v>
      </c>
      <c r="J394" t="s">
        <v>15057</v>
      </c>
      <c r="K394" t="s">
        <v>16122</v>
      </c>
      <c r="L394" t="s">
        <v>16123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16124</v>
      </c>
      <c r="J395" t="s">
        <v>15057</v>
      </c>
      <c r="K395" t="s">
        <v>16125</v>
      </c>
      <c r="L395" t="s">
        <v>16126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16127</v>
      </c>
      <c r="J396" t="s">
        <v>15057</v>
      </c>
      <c r="K396" t="s">
        <v>16128</v>
      </c>
      <c r="L396" t="s">
        <v>16129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16130</v>
      </c>
      <c r="J397" t="s">
        <v>15057</v>
      </c>
      <c r="K397" t="s">
        <v>16131</v>
      </c>
      <c r="L397" t="s">
        <v>16132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16133</v>
      </c>
      <c r="J398" t="s">
        <v>15057</v>
      </c>
      <c r="K398" t="s">
        <v>16134</v>
      </c>
      <c r="L398" t="s">
        <v>16135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16136</v>
      </c>
      <c r="J399" t="s">
        <v>15057</v>
      </c>
      <c r="K399" t="s">
        <v>16137</v>
      </c>
      <c r="L399" t="s">
        <v>16138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16139</v>
      </c>
      <c r="J400" t="s">
        <v>15057</v>
      </c>
      <c r="K400" t="s">
        <v>16140</v>
      </c>
      <c r="L400" t="s">
        <v>16141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16142</v>
      </c>
      <c r="J401" t="s">
        <v>15057</v>
      </c>
      <c r="K401" t="s">
        <v>16143</v>
      </c>
      <c r="L401" t="s">
        <v>16144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16145</v>
      </c>
      <c r="J402" t="s">
        <v>15057</v>
      </c>
      <c r="K402" t="s">
        <v>16146</v>
      </c>
      <c r="L402" t="s">
        <v>16147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16148</v>
      </c>
      <c r="J403" t="s">
        <v>15057</v>
      </c>
      <c r="K403" t="s">
        <v>16149</v>
      </c>
      <c r="L403" t="s">
        <v>16150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16151</v>
      </c>
      <c r="J404" t="s">
        <v>15057</v>
      </c>
      <c r="K404" t="s">
        <v>16152</v>
      </c>
      <c r="L404" t="s">
        <v>16153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12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11" priority="13" operator="notContains" text="порожний">
      <formula>ISERROR(SEARCH("порожний",F2))</formula>
    </cfRule>
  </conditionalFormatting>
  <conditionalFormatting sqref="E2:E418">
    <cfRule type="containsText" dxfId="110" priority="11" operator="containsText" text="Газель базы">
      <formula>NOT(ISERROR(SEARCH("Газель базы",E2)))</formula>
    </cfRule>
    <cfRule type="containsText" dxfId="109" priority="12" operator="containsText" text="Погрузчик базы">
      <formula>NOT(ISERROR(SEARCH("Погрузчик базы",E2)))</formula>
    </cfRule>
  </conditionalFormatting>
  <conditionalFormatting sqref="E2:E418">
    <cfRule type="containsText" dxfId="108" priority="10" operator="containsText" text="Трактор базы">
      <formula>NOT(ISERROR(SEARCH("Трактор базы",E2)))</formula>
    </cfRule>
  </conditionalFormatting>
  <conditionalFormatting sqref="A2:C404">
    <cfRule type="expression" dxfId="107" priority="9">
      <formula>$A2="пн"</formula>
    </cfRule>
  </conditionalFormatting>
  <conditionalFormatting sqref="A2:C406">
    <cfRule type="expression" dxfId="106" priority="3">
      <formula>$A2="вс"</formula>
    </cfRule>
    <cfRule type="expression" dxfId="105" priority="4">
      <formula>$A2="сб"</formula>
    </cfRule>
    <cfRule type="expression" dxfId="104" priority="5">
      <formula>$A2="пт"</formula>
    </cfRule>
    <cfRule type="expression" dxfId="103" priority="6">
      <formula>$A2="чт"</formula>
    </cfRule>
    <cfRule type="expression" dxfId="102" priority="7">
      <formula>$A2="ср"</formula>
    </cfRule>
    <cfRule type="expression" dxfId="101" priority="8">
      <formula>$A2="вт"</formula>
    </cfRule>
  </conditionalFormatting>
  <conditionalFormatting sqref="D2:D415">
    <cfRule type="containsText" dxfId="1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63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9" t="s">
        <v>346</v>
      </c>
      <c r="J3" s="9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9" t="s">
        <v>1162</v>
      </c>
      <c r="J4" s="9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9" t="s">
        <v>1165</v>
      </c>
      <c r="J5" s="9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9" t="s">
        <v>337</v>
      </c>
      <c r="J6" s="9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9" t="s">
        <v>340</v>
      </c>
      <c r="J7" s="9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9" t="s">
        <v>343</v>
      </c>
      <c r="J8" s="9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9" t="s">
        <v>1168</v>
      </c>
      <c r="J9" s="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9" t="s">
        <v>1184</v>
      </c>
      <c r="J10" s="9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9" t="s">
        <v>1187</v>
      </c>
      <c r="J11" s="9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9" t="s">
        <v>1190</v>
      </c>
      <c r="J12" s="9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9" t="s">
        <v>1175</v>
      </c>
      <c r="J13" s="9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9" t="s">
        <v>1178</v>
      </c>
      <c r="J14" s="9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9" t="s">
        <v>1181</v>
      </c>
      <c r="J15" s="9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9" t="s">
        <v>313</v>
      </c>
      <c r="J16" s="9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9" t="s">
        <v>316</v>
      </c>
      <c r="J17" s="9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9" t="s">
        <v>319</v>
      </c>
      <c r="J18" s="9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9" t="s">
        <v>304</v>
      </c>
      <c r="J19" s="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9" t="s">
        <v>307</v>
      </c>
      <c r="J20" s="9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9" t="s">
        <v>310</v>
      </c>
      <c r="J21" s="9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9" t="s">
        <v>328</v>
      </c>
      <c r="J22" s="9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9" t="s">
        <v>331</v>
      </c>
      <c r="J23" s="9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9" t="s">
        <v>334</v>
      </c>
      <c r="J24" s="9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9" t="s">
        <v>322</v>
      </c>
      <c r="J25" s="9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9" t="s">
        <v>325</v>
      </c>
      <c r="J26" s="9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1215</v>
      </c>
      <c r="J27" s="9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1218</v>
      </c>
      <c r="J28" s="9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9" t="s">
        <v>2158</v>
      </c>
      <c r="J30" s="9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9" t="s">
        <v>2160</v>
      </c>
      <c r="J31" s="9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9" t="s">
        <v>2156</v>
      </c>
      <c r="J32" s="9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9" t="s">
        <v>2143</v>
      </c>
      <c r="J33" s="9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9" t="s">
        <v>2021</v>
      </c>
      <c r="J34" s="9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9" t="s">
        <v>2035</v>
      </c>
      <c r="J35" s="9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9" t="s">
        <v>2032</v>
      </c>
      <c r="J36" s="9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9" t="s">
        <v>2024</v>
      </c>
      <c r="J37" s="9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9" t="s">
        <v>2128</v>
      </c>
      <c r="J39" s="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9" t="s">
        <v>1663</v>
      </c>
      <c r="J40" s="9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9" t="s">
        <v>2122</v>
      </c>
      <c r="J41" s="9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9" t="s">
        <v>2125</v>
      </c>
      <c r="J42" s="9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9" t="s">
        <v>2137</v>
      </c>
      <c r="J43" s="9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9" t="s">
        <v>2131</v>
      </c>
      <c r="J44" s="9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9" t="s">
        <v>2134</v>
      </c>
      <c r="J45" s="9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9" t="s">
        <v>2140</v>
      </c>
      <c r="J46" s="9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9" t="s">
        <v>2229</v>
      </c>
      <c r="J47" s="9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9" t="s">
        <v>2226</v>
      </c>
      <c r="J48" s="9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9" t="s">
        <v>2220</v>
      </c>
      <c r="J49" s="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9" t="s">
        <v>2223</v>
      </c>
      <c r="J50" s="9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9" t="s">
        <v>2241</v>
      </c>
      <c r="J51" s="9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9" t="s">
        <v>2211</v>
      </c>
      <c r="J52" s="9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9" t="s">
        <v>2238</v>
      </c>
      <c r="J53" s="9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9" t="s">
        <v>2232</v>
      </c>
      <c r="J54" s="9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9" t="s">
        <v>2235</v>
      </c>
      <c r="J55" s="9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9" t="s">
        <v>2190</v>
      </c>
      <c r="J56" s="9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9" t="s">
        <v>2196</v>
      </c>
      <c r="J58" s="9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9" t="s">
        <v>2181</v>
      </c>
      <c r="J59" s="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9" t="s">
        <v>2184</v>
      </c>
      <c r="J60" s="9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9" t="s">
        <v>2187</v>
      </c>
      <c r="J61" s="9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9" t="s">
        <v>2208</v>
      </c>
      <c r="J62" s="9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9" t="s">
        <v>2214</v>
      </c>
      <c r="J63" s="9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9" t="s">
        <v>2217</v>
      </c>
      <c r="J64" s="9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9" t="s">
        <v>2199</v>
      </c>
      <c r="J65" s="9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9" t="s">
        <v>2202</v>
      </c>
      <c r="J66" s="9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9" t="s">
        <v>2205</v>
      </c>
      <c r="J67" s="9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3144</v>
      </c>
      <c r="J69" s="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3135</v>
      </c>
      <c r="J70" s="9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9" t="s">
        <v>3132</v>
      </c>
      <c r="J71" s="9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3141</v>
      </c>
      <c r="J72" s="9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3147</v>
      </c>
      <c r="J74" s="9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3150</v>
      </c>
      <c r="J75" s="9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3153</v>
      </c>
      <c r="J76" s="9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9" t="s">
        <v>3158</v>
      </c>
      <c r="J77" s="9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3181</v>
      </c>
      <c r="J78" s="9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9" t="s">
        <v>3166</v>
      </c>
      <c r="J79" s="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3169</v>
      </c>
      <c r="J80" s="9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3184</v>
      </c>
      <c r="J81" s="9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3211</v>
      </c>
      <c r="J82" s="9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3269</v>
      </c>
      <c r="J83" s="9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9" t="s">
        <v>3272</v>
      </c>
      <c r="J84" s="9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3275</v>
      </c>
      <c r="J85" s="9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9" t="s">
        <v>3266</v>
      </c>
      <c r="J86" s="9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3192</v>
      </c>
      <c r="J87" s="9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3195</v>
      </c>
      <c r="J88" s="9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3208</v>
      </c>
      <c r="J89" s="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9" t="s">
        <v>3189</v>
      </c>
      <c r="J90" s="9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3205</v>
      </c>
      <c r="J91" s="9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3178</v>
      </c>
      <c r="J92" s="9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9" t="s">
        <v>3175</v>
      </c>
      <c r="J93" s="9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3172</v>
      </c>
      <c r="J94" s="9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9" t="s">
        <v>3202</v>
      </c>
      <c r="J95" s="9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9" t="s">
        <v>2904</v>
      </c>
      <c r="J96" s="9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9" t="s">
        <v>2901</v>
      </c>
      <c r="J97" s="9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9" t="s">
        <v>2963</v>
      </c>
      <c r="J98" s="9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9" t="s">
        <v>2933</v>
      </c>
      <c r="J99" s="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9" t="s">
        <v>2898</v>
      </c>
      <c r="J100" s="9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9" t="s">
        <v>2889</v>
      </c>
      <c r="J101" s="9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9" t="s">
        <v>2919</v>
      </c>
      <c r="J102" s="9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9" t="s">
        <v>2927</v>
      </c>
      <c r="J103" s="9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9" t="s">
        <v>2930</v>
      </c>
      <c r="J104" s="9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9" t="s">
        <v>2892</v>
      </c>
      <c r="J105" s="9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9" t="s">
        <v>2895</v>
      </c>
      <c r="J106" s="9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9" t="s">
        <v>2907</v>
      </c>
      <c r="J107" s="9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2951</v>
      </c>
      <c r="J108" s="9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9" t="s">
        <v>2936</v>
      </c>
      <c r="J109" s="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9" t="s">
        <v>2939</v>
      </c>
      <c r="J110" s="9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9" t="s">
        <v>2736</v>
      </c>
      <c r="J111" s="9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9" t="s">
        <v>2945</v>
      </c>
      <c r="J112" s="9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9" t="s">
        <v>2948</v>
      </c>
      <c r="J113" s="9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9" t="s">
        <v>2942</v>
      </c>
      <c r="J114" s="9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9" t="s">
        <v>2972</v>
      </c>
      <c r="J115" s="9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9" t="s">
        <v>2957</v>
      </c>
      <c r="J116" s="9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9" t="s">
        <v>2960</v>
      </c>
      <c r="J117" s="9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9" t="s">
        <v>2954</v>
      </c>
      <c r="J118" s="9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9" t="s">
        <v>2966</v>
      </c>
      <c r="J119" s="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9" t="s">
        <v>2969</v>
      </c>
      <c r="J120" s="9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9" t="s">
        <v>2975</v>
      </c>
      <c r="J121" s="9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9" t="s">
        <v>2981</v>
      </c>
      <c r="J123" s="9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9" t="s">
        <v>2880</v>
      </c>
      <c r="J124" s="9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9" t="s">
        <v>2724</v>
      </c>
      <c r="J125" s="9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2984</v>
      </c>
      <c r="J126" s="9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9" t="s">
        <v>2886</v>
      </c>
      <c r="J127" s="9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9" t="s">
        <v>2868</v>
      </c>
      <c r="J128" s="9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9" t="s">
        <v>2874</v>
      </c>
      <c r="J129" s="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9" t="s">
        <v>2871</v>
      </c>
      <c r="J130" s="9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9" t="s">
        <v>2859</v>
      </c>
      <c r="J131" s="9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9" t="s">
        <v>2877</v>
      </c>
      <c r="J132" s="9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9" t="s">
        <v>2865</v>
      </c>
      <c r="J133" s="9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9" t="s">
        <v>2862</v>
      </c>
      <c r="J134" s="9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9" t="s">
        <v>2844</v>
      </c>
      <c r="J135" s="9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9" t="s">
        <v>2841</v>
      </c>
      <c r="J136" s="9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9" t="s">
        <v>2856</v>
      </c>
      <c r="J137" s="9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9" t="s">
        <v>2847</v>
      </c>
      <c r="J138" s="9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9" t="s">
        <v>2910</v>
      </c>
      <c r="J139" s="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9" t="s">
        <v>2913</v>
      </c>
      <c r="J140" s="9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9" t="s">
        <v>2916</v>
      </c>
      <c r="J141" s="9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9" t="s">
        <v>2730</v>
      </c>
      <c r="J142" s="9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9" t="s">
        <v>2733</v>
      </c>
      <c r="J143" s="9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9" t="s">
        <v>2727</v>
      </c>
      <c r="J144" s="9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9" t="s">
        <v>2650</v>
      </c>
      <c r="J145" s="9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9" t="s">
        <v>2853</v>
      </c>
      <c r="J146" s="9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9" t="s">
        <v>2850</v>
      </c>
      <c r="J147" s="9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9" t="s">
        <v>2721</v>
      </c>
      <c r="J148" s="9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9" t="s">
        <v>4080</v>
      </c>
      <c r="J150" s="9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9" t="s">
        <v>3575</v>
      </c>
      <c r="J151" s="9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9" t="s">
        <v>3581</v>
      </c>
      <c r="J153" s="9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9" t="s">
        <v>3584</v>
      </c>
      <c r="J154" s="9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9" t="s">
        <v>4159</v>
      </c>
      <c r="J155" s="9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4156</v>
      </c>
      <c r="J156" s="9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9" t="s">
        <v>4180</v>
      </c>
      <c r="J157" s="9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9" t="s">
        <v>4177</v>
      </c>
      <c r="J158" s="9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4147</v>
      </c>
      <c r="J159" s="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9" t="s">
        <v>4144</v>
      </c>
      <c r="J160" s="9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9" t="s">
        <v>4153</v>
      </c>
      <c r="J161" s="9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9" t="s">
        <v>4150</v>
      </c>
      <c r="J162" s="9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4871</v>
      </c>
      <c r="J163" s="9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4874</v>
      </c>
      <c r="J164" s="9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4877</v>
      </c>
      <c r="J165" s="9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4880</v>
      </c>
      <c r="J166" s="9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4883</v>
      </c>
      <c r="J167" s="9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4886</v>
      </c>
      <c r="J168" s="9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4889</v>
      </c>
      <c r="J169" s="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4892</v>
      </c>
      <c r="J170" s="9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9" t="s">
        <v>5149</v>
      </c>
      <c r="J171" s="9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5152</v>
      </c>
      <c r="J172" s="9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9" t="s">
        <v>5155</v>
      </c>
      <c r="J173" s="9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5140</v>
      </c>
      <c r="J174" s="9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9" t="s">
        <v>5143</v>
      </c>
      <c r="J175" s="9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9" t="s">
        <v>5146</v>
      </c>
      <c r="J176" s="9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5158</v>
      </c>
      <c r="J177" s="9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5161</v>
      </c>
      <c r="J178" s="9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5164</v>
      </c>
      <c r="J179" s="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9" t="s">
        <v>5173</v>
      </c>
      <c r="J180" s="9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5137</v>
      </c>
      <c r="J181" s="9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5107</v>
      </c>
      <c r="J182" s="9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5110</v>
      </c>
      <c r="J183" s="9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9" t="s">
        <v>5113</v>
      </c>
      <c r="J184" s="9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9" t="s">
        <v>5027</v>
      </c>
      <c r="J185" s="9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9" t="s">
        <v>5101</v>
      </c>
      <c r="J186" s="9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5104</v>
      </c>
      <c r="J187" s="9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9" t="s">
        <v>5116</v>
      </c>
      <c r="J188" s="9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9" t="s">
        <v>5128</v>
      </c>
      <c r="J189" s="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5131</v>
      </c>
      <c r="J190" s="9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5134</v>
      </c>
      <c r="J191" s="9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5119</v>
      </c>
      <c r="J192" s="9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5122</v>
      </c>
      <c r="J193" s="9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5125</v>
      </c>
      <c r="J194" s="9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9" t="s">
        <v>5967</v>
      </c>
      <c r="J196" s="9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5970</v>
      </c>
      <c r="J197" s="9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9" t="s">
        <v>5976</v>
      </c>
      <c r="J199" s="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5979</v>
      </c>
      <c r="J200" s="9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9" t="s">
        <v>6248</v>
      </c>
      <c r="J201" s="9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9" t="s">
        <v>6254</v>
      </c>
      <c r="J203" s="9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9" t="s">
        <v>7186</v>
      </c>
      <c r="J205" s="9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9" t="s">
        <v>7183</v>
      </c>
      <c r="J206" s="9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9" t="s">
        <v>8332</v>
      </c>
      <c r="J208" s="9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9" t="s">
        <v>8320</v>
      </c>
      <c r="J210" s="9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9" t="s">
        <v>8539</v>
      </c>
      <c r="J211" s="9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8542</v>
      </c>
      <c r="J212" s="9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9" t="s">
        <v>8545</v>
      </c>
      <c r="J213" s="9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8548</v>
      </c>
      <c r="J214" s="9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9" t="s">
        <v>8735</v>
      </c>
      <c r="J215" s="9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9" t="s">
        <v>8771</v>
      </c>
      <c r="J216" s="9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9" t="s">
        <v>8777</v>
      </c>
      <c r="J218" s="9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9" t="s">
        <v>8780</v>
      </c>
      <c r="J219" s="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8867</v>
      </c>
      <c r="J220" s="9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8870</v>
      </c>
      <c r="J221" s="9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8873</v>
      </c>
      <c r="J222" s="9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8876</v>
      </c>
      <c r="J223" s="9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8879</v>
      </c>
      <c r="J224" s="9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8885</v>
      </c>
      <c r="J226" s="9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8888</v>
      </c>
      <c r="J227" s="9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8891</v>
      </c>
      <c r="J228" s="9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8894</v>
      </c>
      <c r="J229" s="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8897</v>
      </c>
      <c r="J230" s="9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9" t="s">
        <v>8967</v>
      </c>
      <c r="J231" s="9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9" t="s">
        <v>8970</v>
      </c>
      <c r="J232" s="9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9" t="s">
        <v>10057</v>
      </c>
      <c r="J234" s="9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9" t="s">
        <v>10063</v>
      </c>
      <c r="J236" s="9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9" t="s">
        <v>10499</v>
      </c>
      <c r="J237" s="9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9" t="s">
        <v>10502</v>
      </c>
      <c r="J238" s="9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9" t="s">
        <v>10493</v>
      </c>
      <c r="J239" s="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9" t="s">
        <v>10496</v>
      </c>
      <c r="J240" s="9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9" t="s">
        <v>10505</v>
      </c>
      <c r="J241" s="9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9" t="s">
        <v>10514</v>
      </c>
      <c r="J242" s="9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10517</v>
      </c>
      <c r="J243" s="9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9" t="s">
        <v>10508</v>
      </c>
      <c r="J244" s="9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9" t="s">
        <v>10511</v>
      </c>
      <c r="J245" s="9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9" t="s">
        <v>10436</v>
      </c>
      <c r="J247" s="9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9" t="s">
        <v>10466</v>
      </c>
      <c r="J248" s="9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9" t="s">
        <v>10442</v>
      </c>
      <c r="J249" s="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9" t="s">
        <v>10439</v>
      </c>
      <c r="J250" s="9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9" t="s">
        <v>10469</v>
      </c>
      <c r="J251" s="9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9" t="s">
        <v>10484</v>
      </c>
      <c r="J252" s="9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9" t="s">
        <v>10487</v>
      </c>
      <c r="J253" s="9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9" t="s">
        <v>10475</v>
      </c>
      <c r="J254" s="9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10478</v>
      </c>
      <c r="J255" s="9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9" t="s">
        <v>10807</v>
      </c>
      <c r="J257" s="9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9" t="s">
        <v>10804</v>
      </c>
      <c r="J258" s="9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16668</v>
      </c>
      <c r="F259" t="s">
        <v>58</v>
      </c>
      <c r="I259" s="9" t="s">
        <v>16625</v>
      </c>
      <c r="J259" s="9" t="s">
        <v>11085</v>
      </c>
      <c r="K259" t="s">
        <v>16626</v>
      </c>
      <c r="L259" t="s">
        <v>16627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16668</v>
      </c>
      <c r="F260" t="s">
        <v>58</v>
      </c>
      <c r="H260" t="s">
        <v>16688</v>
      </c>
      <c r="I260" s="9" t="s">
        <v>16628</v>
      </c>
      <c r="J260" s="9" t="s">
        <v>11085</v>
      </c>
      <c r="K260" t="s">
        <v>16629</v>
      </c>
      <c r="L260" t="s">
        <v>16630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16668</v>
      </c>
      <c r="F261" t="s">
        <v>16664</v>
      </c>
      <c r="H261" t="s">
        <v>2352</v>
      </c>
      <c r="I261" s="9" t="s">
        <v>16553</v>
      </c>
      <c r="J261" s="9" t="s">
        <v>14253</v>
      </c>
      <c r="K261" t="s">
        <v>16554</v>
      </c>
      <c r="L261" t="s">
        <v>16555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9" t="s">
        <v>16538</v>
      </c>
      <c r="J262" s="9" t="s">
        <v>14253</v>
      </c>
      <c r="K262" t="s">
        <v>16539</v>
      </c>
      <c r="L262" t="s">
        <v>16540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16668</v>
      </c>
      <c r="F263" t="s">
        <v>16664</v>
      </c>
      <c r="I263" s="9" t="s">
        <v>16550</v>
      </c>
      <c r="J263" s="9" t="s">
        <v>14253</v>
      </c>
      <c r="K263" t="s">
        <v>16551</v>
      </c>
      <c r="L263" t="s">
        <v>16552</v>
      </c>
      <c r="M263" s="2" t="str">
        <f>HYPERLINK(Таблица3[[#This Row],[RelativePath]])</f>
        <v>10 Въезд ангар\GA3948333_6_20260305T190037Z.jpg</v>
      </c>
    </row>
  </sheetData>
  <phoneticPr fontId="2" type="noConversion"/>
  <conditionalFormatting sqref="E264:E285 D2:E263">
    <cfRule type="containsText" dxfId="98" priority="7" operator="containsText" text="Выезд с территории">
      <formula>NOT(ISERROR(SEARCH("Выезд с территории",D2)))</formula>
    </cfRule>
  </conditionalFormatting>
  <conditionalFormatting sqref="D2:D263">
    <cfRule type="containsText" dxfId="9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3">
    <cfRule type="containsText" dxfId="9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5">
    <cfRule type="containsText" dxfId="95" priority="2" operator="containsText" text="Газель базы">
      <formula>NOT(ISERROR(SEARCH("Газель базы",E2)))</formula>
    </cfRule>
    <cfRule type="containsText" dxfId="94" priority="3" operator="containsText" text="Погрузчик базы">
      <formula>NOT(ISERROR(SEARCH("Погрузчик базы",E2)))</formula>
    </cfRule>
  </conditionalFormatting>
  <conditionalFormatting sqref="E2:E285">
    <cfRule type="containsText" dxfId="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71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</sheetData>
  <conditionalFormatting sqref="E172:E193 D2:E171">
    <cfRule type="containsText" dxfId="92" priority="6" operator="containsText" text="Выезд с территории">
      <formula>NOT(ISERROR(SEARCH("Выезд с территории",D2)))</formula>
    </cfRule>
  </conditionalFormatting>
  <conditionalFormatting sqref="D2:D171">
    <cfRule type="containsText" dxfId="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1">
    <cfRule type="containsText" dxfId="9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3">
    <cfRule type="containsText" dxfId="89" priority="2" operator="containsText" text="Газель базы">
      <formula>NOT(ISERROR(SEARCH("Газель базы",E2)))</formula>
    </cfRule>
    <cfRule type="containsText" dxfId="88" priority="3" operator="containsText" text="Погрузчик базы">
      <formula>NOT(ISERROR(SEARCH("Погрузчик базы",E2)))</formula>
    </cfRule>
  </conditionalFormatting>
  <conditionalFormatting sqref="E2:E193">
    <cfRule type="containsText" dxfId="8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СпрСобытий</vt:lpstr>
      <vt:lpstr>17 Площадка с навесом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2026-03-07T19:02:11Z</dcterms:modified>
</cp:coreProperties>
</file>