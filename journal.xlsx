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B05F1352-843A-4FD7-B9AC-809360587FFD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state="hidden" r:id="rId14"/>
    <sheet name="Загрузка" sheetId="37" r:id="rId15"/>
    <sheet name="Стороний транспорт" sheetId="38" r:id="rId16"/>
  </sheets>
  <definedNames>
    <definedName name="ExternalData_1" localSheetId="0" hidden="1">'1 Ангар Склад 2 въезд'!$A$1:$L$251</definedName>
    <definedName name="ExternalData_1" localSheetId="9" hidden="1">'10 Сушилка навес'!$A$1:$L$622</definedName>
    <definedName name="ExternalData_1" localSheetId="10" hidden="1">'11 С ангара на базу'!$A$1:$L$303</definedName>
    <definedName name="ExternalData_1" localSheetId="11" hidden="1">'12 Площадка 3 кран'!$A$1:$L$190</definedName>
    <definedName name="ExternalData_1" localSheetId="12" hidden="1">'13 Склад хол'!$A$1:$L$165</definedName>
    <definedName name="ExternalData_1" localSheetId="1" hidden="1">'2 Пилорама поката'!$A$1:$L$279</definedName>
    <definedName name="ExternalData_1" localSheetId="2" hidden="1">'3 Въезд на базу'!$A$1:$L$161</definedName>
    <definedName name="ExternalData_1" localSheetId="3" hidden="1">'4 Крыльцо офиса'!$A$1:$L$177</definedName>
    <definedName name="ExternalData_1" localSheetId="4" hidden="1">'5 Крыльцо общага'!$A$1:$L$313</definedName>
    <definedName name="ExternalData_1" localSheetId="5" hidden="1">'6 Площадка 1 общага'!$A$1:$L$133</definedName>
    <definedName name="ExternalData_1" localSheetId="6" hidden="1">'7 Площадка 2 бетонщики'!$A$1:$L$267</definedName>
    <definedName name="ExternalData_1" localSheetId="7" hidden="1">'8 Рейсмус'!$A$1:$L$290</definedName>
    <definedName name="ExternalData_1" localSheetId="8" hidden="1">'9 Ангар пилорама'!$A$1:$L$603</definedName>
    <definedName name="ExternalData_1" localSheetId="14" hidden="1">Загрузка!$A$1:$L$233</definedName>
    <definedName name="ExternalData_1" localSheetId="15" hidden="1">'Стороний транспорт'!$A$1:$L$142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<sst xmlns="http://schemas.openxmlformats.org/spreadsheetml/2006/main" count="49427" uniqueCount="11784">
  <si>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</si>
  <si>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</si>
  <si>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</si>
  <si>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</si>
  <si>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</si>
  <si>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</si>
  <si>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</si>
  <si>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</si>
  <si>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</si>
  <si>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</si>
  <si>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</si>
  <si>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</si>
  <si>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</si>
  <si>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</si>
  <si>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</si>
  <si>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</si>
  <si>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</si>
  <si>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</si>
  <si>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</si>
  <si>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</si>
  <si>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</si>
  <si>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</si>
  <si>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</si>
  <si>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</si>
  <si>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</si>
  <si>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</si>
  <si>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</si>
  <si>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</si>
  <si>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</si>
  <si>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</si>
  <si>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</si>
  <si>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</si>
  <si>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</si>
  <si>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</si>
  <si>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</si>
  <si>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</si>
  <si>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</si>
  <si>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</si>
  <si>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</si>
  <si>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</si>
  <si>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</si>
  <si>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</si>
  <si>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</si>
  <si>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</si>
  <si>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</si>
  <si>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</si>
  <si>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</si>
  <si>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</si>
  <si>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</si>
  <si>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</si>
  <si>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</si>
  <si>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</si>
  <si>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</si>
  <si>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</si>
  <si>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</si>
  <si>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</si>
  <si>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</si>
  <si>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</si>
  <si>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</si>
  <si>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</si>
  <si>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</si>
  <si>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</si>
  <si>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</si>
  <si>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</si>
  <si>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</si>
  <si>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</si>
  <si>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</si>
  <si>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</si>
  <si>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</si>
  <si>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</si>
  <si>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</si>
  <si>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</si>
  <si>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</si>
  <si>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</si>
  <si>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</si>
  <si>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</si>
  <si>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</si>
  <si>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</si>
  <si>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</si>
  <si>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</si>
  <si>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</si>
  <si>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</si>
  <si>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</si>
  <si>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</si>
  <si>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</si>
  <si>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</si>
  <si>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</si>
  <si>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</si>
  <si>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</si>
  <si>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</si>
  <si>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</si>
  <si>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</si>
  <si>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</si>
  <si>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</si>
  <si>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</si>
  <si>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</si>
  <si>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</si>
  <si>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</si>
  <si>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</si>
  <si>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</si>
  <si>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</si>
  <si>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</si>
  <si>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</si>
  <si>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</si>
  <si>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</si>
  <si>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</si>
  <si>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</si>
  <si>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</si>
  <si>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</si>
  <si>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</si>
  <si>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</si>
  <si>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</si>
  <si>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</si>
  <si>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</si>
  <si>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</si>
  <si>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</si>
  <si>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</si>
  <si>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</si>
  <si>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</si>
  <si>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</si>
  <si>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</si>
  <si>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</si>
  <si>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</si>
  <si>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</si>
  <si>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</si>
  <si>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</si>
  <si>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</si>
  <si>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</si>
  <si>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</si>
  <si>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</si>
  <si>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</si>
  <si>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</si>
  <si>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</si>
  <si>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</si>
  <si>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</si>
  <si>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</si>
  <si>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</si>
  <si>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</si>
  <si>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</si>
  <si>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</si>
  <si>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</si>
  <si>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</si>
  <si>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</si>
  <si>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</si>
  <si>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</si>
  <si>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</si>
  <si>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</si>
  <si>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</si>
  <si>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</si>
  <si>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</si>
  <si>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</si>
  <si>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</si>
  <si>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</si>
  <si>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</si>
  <si>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</si>
  <si>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</si>
  <si>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</si>
  <si>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</si>
  <si>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</si>
  <si>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</si>
  <si>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</si>
  <si>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</si>
  <si>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</si>
  <si>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</si>
  <si>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</si>
  <si>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</si>
  <si>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</si>
  <si>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</si>
  <si>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</si>
  <si>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</si>
  <si>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</si>
  <si>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</si>
  <si>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</si>
  <si>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</si>
  <si>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</si>
  <si>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</si>
  <si>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</si>
  <si>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</si>
  <si>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</si>
  <si>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</si>
  <si>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</si>
  <si>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</si>
  <si>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</si>
  <si>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</si>
  <si>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</si>
  <si>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</si>
  <si>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</si>
  <si>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</si>
  <si>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</si>
  <si>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</si>
  <si>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</si>
  <si>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</si>
  <si>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</si>
  <si>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</si>
  <si>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</si>
  <si>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</si>
  <si>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</si>
  <si>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</si>
  <si>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</si>
  <si>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</si>
  <si>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</si>
  <si>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</si>
  <si>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</si>
  <si>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</si>
  <si>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</si>
  <si>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</si>
  <si>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</si>
  <si>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</si>
  <si>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</si>
  <si>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</si>
  <si>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</si>
  <si>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</si>
  <si>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</si>
  <si>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</si>
  <si>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</si>
  <si>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</si>
  <si>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</si>
  <si>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</si>
  <si>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</si>
  <si>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</si>
  <si>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</si>
  <si>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</si>
  <si>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</si>
  <si>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</si>
  <si>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</si>
  <si>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</si>
  <si>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</si>
  <si>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</si>
  <si>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</si>
  <si>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</si>
  <si>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</si>
  <si>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</si>
  <si>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</si>
  <si>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</si>
  <si>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</si>
  <si>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</si>
  <si>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</si>
  <si>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</si>
  <si>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</si>
  <si>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</si>
  <si>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</si>
  <si>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</si>
  <si>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</si>
  <si>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</si>
  <si>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</si>
  <si>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</si>
  <si>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</si>
  <si>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</si>
  <si>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</si>
  <si>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</si>
  <si>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</si>
  <si>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</si>
  <si>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</si>
  <si>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</si>
  <si>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</si>
  <si>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</si>
  <si>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</si>
  <si>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</si>
  <si>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</si>
  <si>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</si>
  <si>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</si>
  <si>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</si>
  <si>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</si>
  <si>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</si>
  <si>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</si>
  <si>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</si>
  <si>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</si>
  <si>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</si>
  <si>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</si>
  <si>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</si>
  <si>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</si>
  <si>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</si>
  <si>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</si>
  <si>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</si>
  <si>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</si>
  <si>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</si>
  <si>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</si>
  <si>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</si>
  <si>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</si>
  <si>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</si>
  <si>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</si>
  <si>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</si>
  <si>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</si>
  <si>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</si>
  <si>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</si>
  <si>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</si>
  <si>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</si>
  <si>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</si>
  <si>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</si>
  <si>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</si>
  <si>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</si>
  <si>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</si>
  <si>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</si>
  <si>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</si>
  <si>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</si>
  <si>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</si>
  <si>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</si>
  <si>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</si>
  <si>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</si>
  <si>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</si>
  <si>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</si>
  <si>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</si>
  <si>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</si>
  <si>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</si>
  <si>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</si>
  <si>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</si>
  <si>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</si>
  <si>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</si>
  <si>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</si>
  <si>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</si>
  <si>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</si>
  <si>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</si>
  <si>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</si>
  <si>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</si>
  <si>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</si>
  <si>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</si>
  <si>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</si>
  <si>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</si>
  <si>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</si>
  <si>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</si>
  <si>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</si>
  <si>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</si>
  <si>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</si>
  <si>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</si>
  <si>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</si>
  <si>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</si>
  <si>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</si>
  <si>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</si>
  <si>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</si>
  <si>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</si>
  <si>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</si>
  <si>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</si>
  <si>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</si>
  <si>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</si>
  <si>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</si>
  <si>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</si>
  <si>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</si>
  <si>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</si>
  <si>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</si>
  <si>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</si>
  <si>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</si>
  <si>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</si>
  <si>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</si>
  <si>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</si>
  <si>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</si>
  <si>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</si>
  <si>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</si>
  <si>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</si>
  <si>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</si>
  <si>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</si>
  <si>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</si>
  <si>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</si>
  <si>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</si>
  <si>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</si>
  <si>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</si>
  <si>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</si>
  <si>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</si>
  <si>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</si>
  <si>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</si>
  <si>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</si>
  <si>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</si>
  <si>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</si>
  <si>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</si>
  <si>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</si>
  <si>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</si>
  <si>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</si>
  <si>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</si>
  <si>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</si>
  <si>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</si>
  <si>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</si>
  <si>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</si>
  <si>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</si>
  <si>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</si>
  <si>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</si>
  <si>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</si>
  <si>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</si>
  <si>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</si>
  <si>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</si>
  <si>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</si>
  <si>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</si>
  <si>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</si>
  <si>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</si>
  <si>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</si>
  <si>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</si>
  <si>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</si>
  <si>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</si>
  <si>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</si>
  <si>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</si>
  <si>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</si>
  <si>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</si>
  <si>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</si>
  <si>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</si>
  <si>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</si>
  <si>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</si>
  <si>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</si>
  <si>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</si>
  <si>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</si>
  <si>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</si>
  <si>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</si>
  <si>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</si>
  <si>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</si>
  <si>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</si>
  <si>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</si>
  <si>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</si>
  <si>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</si>
  <si>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</si>
  <si>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</si>
  <si>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</si>
  <si>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</si>
  <si>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</si>
  <si>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</si>
  <si>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</si>
  <si>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</si>
  <si>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</si>
  <si>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</si>
  <si>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</si>
  <si>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</si>
  <si>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</si>
  <si>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</si>
  <si>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</si>
  <si>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</si>
  <si>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</si>
  <si>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</si>
  <si>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</si>
  <si>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</si>
  <si>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</si>
  <si>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</si>
  <si>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</si>
  <si>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</si>
  <si>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</si>
  <si>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</si>
  <si>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</si>
  <si>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</si>
  <si>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</si>
  <si>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</si>
  <si>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</si>
  <si>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</si>
  <si>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</si>
  <si>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</si>
  <si>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</si>
  <si>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</si>
  <si>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</si>
  <si>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</si>
  <si>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</si>
  <si>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</si>
  <si>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</si>
  <si>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</si>
  <si>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</si>
  <si>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</si>
  <si>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</si>
  <si>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</si>
  <si>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</si>
  <si>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</si>
  <si>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</si>
  <si>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</si>
  <si>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</si>
  <si>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</si>
  <si>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</si>
  <si>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</si>
  <si>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</si>
  <si>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</si>
  <si>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</si>
  <si>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</si>
  <si>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</si>
  <si>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</si>
  <si>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</si>
  <si>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</si>
  <si>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</si>
  <si>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</si>
  <si>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</si>
  <si>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</si>
  <si>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</si>
  <si>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</si>
  <si>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</si>
  <si>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</si>
  <si>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</si>
  <si>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</si>
  <si>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</si>
  <si>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</si>
  <si>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</si>
  <si>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</si>
  <si>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</si>
  <si>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</si>
  <si>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</si>
  <si>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</si>
  <si>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</si>
  <si>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</si>
  <si>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</si>
  <si>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</si>
  <si>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</si>
  <si>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</si>
  <si>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</si>
  <si>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</si>
  <si>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</si>
  <si>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</si>
  <si>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</si>
  <si>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</si>
  <si>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</si>
  <si>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</si>
  <si>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</si>
  <si>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</si>
  <si>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</si>
  <si>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</si>
  <si>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</si>
  <si>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</si>
  <si>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</si>
  <si>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</si>
  <si>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</si>
  <si>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</si>
  <si>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</si>
  <si>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</si>
  <si>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</si>
  <si>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</si>
  <si>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</si>
  <si>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</si>
  <si>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</si>
  <si>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</si>
  <si>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</si>
  <si>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</si>
  <si>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</si>
  <si>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</si>
  <si>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</si>
  <si>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</si>
  <si>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</si>
  <si>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</si>
  <si>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</si>
  <si>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</si>
  <si>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</si>
  <si>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</si>
  <si>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</si>
  <si>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</si>
  <si>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</si>
  <si>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</si>
  <si>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</si>
  <si>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</si>
  <si>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</si>
  <si>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</si>
  <si>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</si>
  <si>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</si>
  <si>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</si>
  <si>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</si>
  <si>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</si>
  <si>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</si>
  <si>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</si>
  <si>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</si>
  <si>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</si>
  <si>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</si>
  <si>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</si>
  <si>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</si>
  <si>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</si>
  <si>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</si>
  <si>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</si>
  <si>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</si>
  <si>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</si>
  <si>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</si>
  <si>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</si>
  <si>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</si>
  <si>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</si>
  <si>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</si>
  <si>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</si>
  <si>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</si>
  <si>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</si>
  <si>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</si>
  <si>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</si>
  <si>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</si>
  <si>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</si>
  <si>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</si>
  <si>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</si>
  <si>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</si>
  <si>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</si>
  <si>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</si>
  <si>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</si>
  <si>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</si>
  <si>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</si>
  <si>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</si>
  <si>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</si>
  <si>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</si>
  <si>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</si>
  <si>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</si>
  <si>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</si>
  <si>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</si>
  <si>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</si>
  <si>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</si>
  <si>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</si>
  <si>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</si>
  <si>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</si>
  <si>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</si>
  <si>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</si>
  <si>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</si>
  <si>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</si>
  <si>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</si>
  <si>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</si>
  <si>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</si>
  <si>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</si>
  <si>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</si>
  <si>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</si>
  <si>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</si>
  <si>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</si>
  <si>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</si>
  <si>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</si>
  <si>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</si>
  <si>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</si>
  <si>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</si>
  <si>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</si>
  <si>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</si>
  <si>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</si>
  <si>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</si>
  <si>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</si>
  <si>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</si>
  <si>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</si>
  <si>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</si>
  <si>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</si>
  <si>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</si>
  <si>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</si>
  <si>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</si>
  <si>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</si>
  <si>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</si>
  <si>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</si>
  <si>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</si>
  <si>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</si>
  <si>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</si>
  <si>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</si>
  <si>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</si>
  <si>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</si>
  <si>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</si>
  <si>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</si>
  <si>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</si>
  <si>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</si>
  <si>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</si>
  <si>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</si>
  <si>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</si>
  <si>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</si>
  <si>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</si>
  <si>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</si>
  <si>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</si>
  <si>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</si>
  <si>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</si>
  <si>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</si>
  <si>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</si>
  <si>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</si>
  <si>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</si>
  <si>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</si>
  <si>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</si>
  <si>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</si>
  <si>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</si>
  <si>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</si>
  <si>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</si>
  <si>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</si>
  <si>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</si>
  <si>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</si>
  <si>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</si>
  <si>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</si>
  <si>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</si>
  <si>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</si>
  <si>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</si>
  <si>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</si>
  <si>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</si>
  <si>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</si>
  <si>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</si>
  <si>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</si>
  <si>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</si>
  <si>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</si>
  <si>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</si>
  <si>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</si>
  <si>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</si>
  <si>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</si>
  <si>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</si>
  <si>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</si>
  <si>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</si>
  <si>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</si>
  <si>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</si>
  <si>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</si>
  <si>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</si>
  <si>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</si>
  <si>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</si>
  <si>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</si>
  <si>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</si>
  <si>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</si>
  <si>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</si>
  <si>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</si>
  <si>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</si>
  <si>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</si>
  <si>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</si>
  <si>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</si>
  <si>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</si>
  <si>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</si>
  <si>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</si>
  <si>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</si>
  <si>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</si>
  <si>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</si>
  <si>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</si>
  <si>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</si>
  <si>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</si>
  <si>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</si>
  <si>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</si>
  <si>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</si>
  <si>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</si>
  <si>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</si>
  <si>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</si>
  <si>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</si>
  <si>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</si>
  <si>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</si>
  <si>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</si>
  <si>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</si>
  <si>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</si>
  <si>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</si>
  <si>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</si>
  <si>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</si>
  <si>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</si>
  <si>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</si>
  <si>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</si>
  <si>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</si>
  <si>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</si>
  <si>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</si>
  <si>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</si>
  <si>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</si>
  <si>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</si>
  <si>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</si>
  <si>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</si>
  <si>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</si>
  <si>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</si>
  <si>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</si>
  <si>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</si>
  <si>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</si>
  <si>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</si>
  <si>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</si>
  <si>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</si>
  <si>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</si>
  <si>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</si>
  <si>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</si>
  <si>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</si>
  <si>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</si>
  <si>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</si>
  <si>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</si>
  <si>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</si>
  <si>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</si>
  <si>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</si>
  <si>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</si>
  <si>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</si>
  <si>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</si>
  <si>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</si>
  <si>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</si>
  <si>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</si>
  <si>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</si>
  <si>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</si>
  <si>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</si>
  <si>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</si>
  <si>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</si>
  <si>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</si>
  <si>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</si>
  <si>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</si>
  <si>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</si>
  <si>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</si>
  <si>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</si>
  <si>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</si>
  <si>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</si>
  <si>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</si>
  <si>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</si>
  <si>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</si>
  <si>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</si>
  <si>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</si>
  <si>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</si>
  <si>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</si>
  <si>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</si>
  <si>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</si>
  <si>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</si>
  <si>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</si>
  <si>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</si>
  <si>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</si>
  <si>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</si>
  <si>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</si>
  <si>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</si>
  <si>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</si>
  <si>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</si>
  <si>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</si>
  <si>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</si>
  <si>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</si>
  <si>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</si>
  <si>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</si>
  <si>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</si>
  <si>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</si>
  <si>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</si>
  <si>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</si>
  <si>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</si>
  <si>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</si>
  <si>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</si>
  <si>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</si>
  <si>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</si>
  <si>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</si>
  <si>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</si>
  <si>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</si>
  <si>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</si>
  <si>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</si>
  <si>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</si>
  <si>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</si>
  <si>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</si>
  <si>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</si>
  <si>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</si>
  <si>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</si>
  <si>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</si>
  <si>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</si>
  <si>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</si>
  <si>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</si>
  <si>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</si>
  <si>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</si>
  <si>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</si>
  <si>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</si>
  <si>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</si>
  <si>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</si>
  <si>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</si>
  <si>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</si>
  <si>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</si>
  <si>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</si>
  <si>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</si>
  <si>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</si>
  <si>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</si>
  <si>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</si>
  <si>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</si>
  <si>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</si>
  <si>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</si>
  <si>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</si>
  <si>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</si>
  <si>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</si>
  <si>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</si>
  <si>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</si>
  <si>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</si>
  <si>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</si>
  <si>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</si>
  <si>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</si>
  <si>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</si>
  <si>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</si>
  <si>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</si>
  <si>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</si>
  <si>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</si>
  <si>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</si>
  <si>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</si>
  <si>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</si>
  <si>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</si>
  <si>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</si>
  <si>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</si>
  <si>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</si>
  <si>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</si>
  <si>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</si>
  <si>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</si>
  <si>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</si>
  <si>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</si>
  <si>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</si>
  <si>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</si>
  <si>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</si>
  <si>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</si>
  <si>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</si>
  <si>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</si>
  <si>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</si>
  <si>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</si>
  <si>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</si>
  <si>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</si>
  <si>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</si>
  <si>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</si>
  <si>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</si>
  <si>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</si>
  <si>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</si>
  <si>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</si>
  <si>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</si>
  <si>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</si>
  <si>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</si>
  <si>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</si>
  <si>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</si>
  <si>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</si>
  <si>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</si>
  <si>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</si>
  <si>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</si>
  <si>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</si>
  <si>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</si>
  <si>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</si>
  <si>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</si>
  <si>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</si>
  <si>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</si>
  <si>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</si>
  <si>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</si>
  <si>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</si>
  <si>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</si>
  <si>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</si>
  <si>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</si>
  <si>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</si>
  <si>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</si>
  <si>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</si>
  <si>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</si>
  <si>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</si>
  <si>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</si>
  <si>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</si>
  <si>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</si>
  <si>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</si>
  <si>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</si>
  <si>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</si>
  <si>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</si>
  <si>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</si>
  <si>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</si>
  <si>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</si>
  <si>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</si>
  <si>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</si>
  <si>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</si>
  <si>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</si>
  <si>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</si>
  <si>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</si>
  <si>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</si>
  <si>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</si>
  <si>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</si>
  <si>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</si>
  <si>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</si>
  <si>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</si>
  <si>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</si>
  <si>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</si>
  <si>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</si>
  <si>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</si>
  <si>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</si>
  <si>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</si>
  <si>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</si>
  <si>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</si>
  <si>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</si>
  <si>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</si>
  <si>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</si>
  <si>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</si>
  <si>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</si>
  <si>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</si>
  <si>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</si>
  <si>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</si>
  <si>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</si>
  <si>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</si>
  <si>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</si>
  <si>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</si>
  <si>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</si>
  <si>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</si>
  <si>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</si>
  <si>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</si>
  <si>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</si>
  <si>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</si>
  <si>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</si>
  <si>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</si>
  <si>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</si>
  <si>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</si>
  <si>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</si>
  <si>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</si>
  <si>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</si>
  <si>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</si>
  <si>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</si>
  <si>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</si>
  <si>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</si>
  <si>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</si>
  <si>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</si>
  <si>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</si>
  <si>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</si>
  <si>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</si>
  <si>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</si>
  <si>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</si>
  <si>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</si>
  <si>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</si>
  <si>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</si>
  <si>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</si>
  <si>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</si>
  <si>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</si>
  <si>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</si>
  <si>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</si>
  <si>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</si>
  <si>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</si>
  <si>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</si>
  <si>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</si>
  <si>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</si>
  <si>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</si>
  <si>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</si>
  <si>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</si>
  <si>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</si>
  <si>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</si>
  <si>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</si>
  <si>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</si>
  <si>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</si>
  <si>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</si>
  <si>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</si>
  <si>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</si>
  <si>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</si>
  <si>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</si>
  <si>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</si>
  <si>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</si>
  <si>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</si>
  <si>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</si>
  <si>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</si>
  <si>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</si>
  <si>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</si>
  <si>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</si>
  <si>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</si>
  <si>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</si>
  <si>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</si>
  <si>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</si>
  <si>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</si>
  <si>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</si>
  <si>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</si>
  <si>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</si>
  <si>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</si>
  <si>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</si>
  <si>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</si>
  <si>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</si>
  <si>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</si>
  <si>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</si>
  <si>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</si>
  <si>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</si>
  <si>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</si>
  <si>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</si>
  <si>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</si>
  <si>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</si>
  <si>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</si>
  <si>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</si>
  <si>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</si>
  <si>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</si>
  <si>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</si>
  <si>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</si>
  <si>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</si>
  <si>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</si>
  <si>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</si>
  <si>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</si>
  <si>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</si>
  <si>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</si>
  <si>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</si>
  <si>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</si>
  <si>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</si>
  <si>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</si>
  <si>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</si>
  <si>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</si>
  <si>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</si>
  <si>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</si>
  <si>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</si>
  <si>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</si>
  <si>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</si>
  <si>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</si>
  <si>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</si>
  <si>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</si>
  <si>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</si>
  <si>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</si>
  <si>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</si>
  <si>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</si>
  <si>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</si>
  <si>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</si>
  <si>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</si>
  <si>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</si>
  <si>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</si>
  <si>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</si>
  <si>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</si>
  <si>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</si>
  <si>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</si>
  <si>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</si>
  <si>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</si>
  <si>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</si>
  <si>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</si>
  <si>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</si>
  <si>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</si>
  <si>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</si>
  <si>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</si>
  <si>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</si>
  <si>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</si>
  <si>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</si>
  <si>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</si>
  <si>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</si>
  <si>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</si>
  <si>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</si>
  <si>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</si>
  <si>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</si>
  <si>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</si>
  <si>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</si>
  <si>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</si>
  <si>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</si>
  <si>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</si>
  <si>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</si>
  <si>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</si>
  <si>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</si>
  <si>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</si>
  <si>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</si>
  <si>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</si>
  <si>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</si>
  <si>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</si>
  <si>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</si>
  <si>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</si>
  <si>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</si>
  <si>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</si>
  <si>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</si>
  <si>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</si>
  <si>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</si>
  <si>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</si>
  <si>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</si>
  <si>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</si>
  <si>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</si>
  <si>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</si>
  <si>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</si>
  <si>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</si>
  <si>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</si>
  <si>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</si>
  <si>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</si>
  <si>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</si>
  <si>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</si>
  <si>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</si>
  <si>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</si>
  <si>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</si>
  <si>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</si>
  <si>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</si>
  <si>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</si>
  <si>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</si>
  <si>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</si>
  <si>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</si>
  <si>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</si>
  <si>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</si>
  <si>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</si>
  <si>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</si>
  <si>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</si>
  <si>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</si>
  <si>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</si>
  <si>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</si>
  <si>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</si>
  <si>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</si>
  <si>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</si>
  <si>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</si>
  <si>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</si>
  <si>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</si>
  <si>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</si>
  <si>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</si>
  <si>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</si>
  <si>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</si>
  <si>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</si>
  <si>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</si>
  <si>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</si>
  <si>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</si>
  <si>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</si>
  <si>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</si>
  <si>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</si>
  <si>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</si>
  <si>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</si>
  <si>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</si>
  <si>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</si>
  <si>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</si>
  <si>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</si>
  <si>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</si>
  <si>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</si>
  <si>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</si>
  <si>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</si>
  <si>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</si>
  <si>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</si>
  <si>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</si>
  <si>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</si>
  <si>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</si>
  <si>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</si>
  <si>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</si>
  <si>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</si>
  <si>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</si>
  <si>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</si>
  <si>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</si>
  <si>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</si>
  <si>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</si>
  <si>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</si>
  <si>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</si>
  <si>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</si>
  <si>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</si>
  <si>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</si>
  <si>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</si>
  <si>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</si>
  <si>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</si>
  <si>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</si>
  <si>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</si>
  <si>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</si>
  <si>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</si>
  <si>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</si>
  <si>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</si>
  <si>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</si>
  <si>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</si>
  <si>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</si>
  <si>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</si>
  <si>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</si>
  <si>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</si>
  <si>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</si>
  <si>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</si>
  <si>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</si>
  <si>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</si>
  <si>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</si>
  <si>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</si>
  <si>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</si>
  <si>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</si>
  <si>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</si>
  <si>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</si>
  <si>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</si>
  <si>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</si>
  <si>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</si>
  <si>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</si>
  <si>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</si>
  <si>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</si>
  <si>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</si>
  <si>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</si>
  <si>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</si>
  <si>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</si>
  <si>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</si>
  <si>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</si>
  <si>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</si>
  <si>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</si>
  <si>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</si>
  <si>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</si>
  <si>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</si>
  <si>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</si>
  <si>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</si>
  <si>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</si>
  <si>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</si>
  <si>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</si>
  <si>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</si>
  <si>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</si>
  <si>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</si>
  <si>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</si>
  <si>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</si>
  <si>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</si>
  <si>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</si>
  <si>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</si>
  <si>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</si>
  <si>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</si>
  <si>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</si>
  <si>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</si>
  <si>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</si>
  <si>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</si>
  <si>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</si>
  <si>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</si>
  <si>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</si>
  <si>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</si>
  <si>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</si>
  <si>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</si>
  <si>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</si>
  <si>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</si>
  <si>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</si>
  <si>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</si>
  <si>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</si>
  <si>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</si>
  <si>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</si>
  <si>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</si>
  <si>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</si>
  <si>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</si>
  <si>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</si>
  <si>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</si>
  <si>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</si>
  <si>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</si>
  <si>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</si>
  <si>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</si>
  <si>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</si>
  <si>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</si>
  <si>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</si>
  <si>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</si>
  <si>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</si>
  <si>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</si>
  <si>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</si>
  <si>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</si>
  <si>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</si>
  <si>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</si>
  <si>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</si>
  <si>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</si>
  <si>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</si>
  <si>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</si>
  <si>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</si>
  <si>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</si>
  <si>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</si>
  <si>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</si>
  <si>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</si>
  <si>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</si>
  <si>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</si>
  <si>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</si>
  <si>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</si>
  <si>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</si>
  <si>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</si>
  <si>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</si>
  <si>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</si>
  <si>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</si>
  <si>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</si>
  <si>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</si>
  <si>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</si>
  <si>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</si>
  <si>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</si>
  <si>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</si>
  <si>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</si>
  <si>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</si>
  <si>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</si>
  <si>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</si>
  <si>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</si>
  <si>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</si>
  <si>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</si>
  <si>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</si>
  <si>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</si>
  <si>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</si>
  <si>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</si>
  <si>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</si>
  <si>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</si>
  <si>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</si>
  <si>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</si>
  <si>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</si>
  <si>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</si>
  <si>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</si>
  <si>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</si>
  <si>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</si>
  <si>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</si>
  <si>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</si>
  <si>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</si>
  <si>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</si>
  <si>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</si>
  <si>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</si>
  <si>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</si>
  <si>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</si>
  <si>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</si>
  <si>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</si>
  <si>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</si>
  <si>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</si>
  <si>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</si>
  <si>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</si>
  <si>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</si>
  <si>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</si>
  <si>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</si>
  <si>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</si>
  <si>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</si>
  <si>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</si>
  <si>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</si>
  <si>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</si>
  <si>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</si>
  <si>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</si>
  <si>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</si>
  <si>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</si>
  <si>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</si>
  <si>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</si>
  <si>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</si>
  <si>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</si>
  <si>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</si>
  <si>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</si>
  <si>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</si>
  <si>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</si>
  <si>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</si>
  <si>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</si>
  <si>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</si>
  <si>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</si>
  <si>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</si>
  <si>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</si>
  <si>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</si>
  <si>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</si>
  <si>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</si>
  <si>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</si>
  <si>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</si>
  <si>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</si>
  <si>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</si>
  <si>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</si>
  <si>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</si>
  <si>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</si>
  <si>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</si>
  <si>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</si>
  <si>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</si>
  <si>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</si>
  <si>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</si>
  <si>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</si>
  <si>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</si>
  <si>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</si>
  <si>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</si>
  <si>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</si>
  <si>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</si>
  <si>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</si>
  <si>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</si>
  <si>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</si>
  <si>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</si>
  <si>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</si>
  <si>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</si>
  <si>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</si>
  <si>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</si>
  <si>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</si>
  <si>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</si>
  <si>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</si>
  <si>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</si>
  <si>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</si>
  <si>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</si>
  <si>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</si>
  <si>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</si>
  <si>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</si>
  <si>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</si>
  <si>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</si>
  <si>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</si>
  <si>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</si>
  <si>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</si>
  <si>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</si>
  <si>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</si>
  <si>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</si>
  <si>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</si>
  <si>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</si>
  <si>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</si>
  <si>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</si>
  <si>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</si>
  <si>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</si>
  <si>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</si>
  <si>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</si>
  <si>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</si>
  <si>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</si>
  <si>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</si>
  <si>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</si>
  <si>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</si>
  <si>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</si>
  <si>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</si>
  <si>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</si>
  <si>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</si>
  <si>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</si>
  <si>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</si>
  <si>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</si>
  <si>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</si>
  <si>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</si>
  <si>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</si>
  <si>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</si>
  <si>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</si>
  <si>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</si>
  <si>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</si>
  <si>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</si>
  <si>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</si>
  <si>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</si>
  <si>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</si>
  <si>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</si>
  <si>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</si>
  <si>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</si>
  <si>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</si>
  <si>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</si>
  <si>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</si>
  <si>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</si>
  <si>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</si>
  <si>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</si>
  <si>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</si>
  <si>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</si>
  <si>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</si>
  <si>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</si>
  <si>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</si>
  <si>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</si>
  <si>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</si>
  <si>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</si>
  <si>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</si>
  <si>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</si>
  <si>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</si>
  <si>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</si>
  <si>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</si>
  <si>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</si>
  <si>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</si>
  <si>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</si>
  <si>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</si>
  <si>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</si>
  <si>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</si>
  <si>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</si>
  <si>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</si>
  <si>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</si>
  <si>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</si>
  <si>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</si>
  <si>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</si>
  <si>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</si>
  <si>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</si>
  <si>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</si>
  <si>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</si>
  <si>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</si>
  <si>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</si>
  <si>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</si>
  <si>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</si>
  <si>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</si>
  <si>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</si>
  <si>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</si>
  <si>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</si>
  <si>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</si>
  <si>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</si>
  <si>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</si>
  <si>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</si>
  <si>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</si>
  <si>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</si>
  <si>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</si>
  <si>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</si>
  <si>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</si>
  <si>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</si>
  <si>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</si>
  <si>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</si>
  <si>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</si>
  <si>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</si>
  <si>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</si>
  <si>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</si>
  <si>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</si>
  <si>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</si>
  <si>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</si>
  <si>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</si>
  <si>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</si>
  <si>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</si>
  <si>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</si>
  <si>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</si>
  <si>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</si>
  <si>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</si>
  <si>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</si>
  <si>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</si>
  <si>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</si>
  <si>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</si>
  <si>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</si>
  <si>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</si>
  <si>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</si>
  <si>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</si>
  <si>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</si>
  <si>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</si>
  <si>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</si>
  <si>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</si>
  <si>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</si>
  <si>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</si>
  <si>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</si>
  <si>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</si>
  <si>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</si>
  <si>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</si>
  <si>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</si>
  <si>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</si>
  <si>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</si>
  <si>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</si>
  <si>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</si>
  <si>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</si>
  <si>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</si>
  <si>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</si>
  <si>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</si>
  <si>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</si>
  <si>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</si>
  <si>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</si>
  <si>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</si>
  <si>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</si>
  <si>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</si>
  <si>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</si>
  <si>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</si>
  <si>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</si>
  <si>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</si>
  <si>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</si>
  <si>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</si>
  <si>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</si>
  <si>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</si>
  <si>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</si>
  <si>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</si>
  <si>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</si>
  <si>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</si>
  <si>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</si>
  <si>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</si>
  <si>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</si>
  <si>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</si>
  <si>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</si>
  <si>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</si>
  <si>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</si>
  <si>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</si>
  <si>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</si>
  <si>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</si>
  <si>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</si>
  <si>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</si>
  <si>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</si>
  <si>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</si>
  <si>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</si>
  <si>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</si>
  <si>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</si>
  <si>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</si>
  <si>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</si>
  <si>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</si>
  <si>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</si>
  <si>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</si>
  <si>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</si>
  <si>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</si>
  <si>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</si>
  <si>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</si>
  <si>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</si>
  <si>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</si>
  <si>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</si>
  <si>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</si>
  <si>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</si>
  <si>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</si>
  <si>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</si>
  <si>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</si>
  <si>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</si>
  <si>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</si>
  <si>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</si>
  <si>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</si>
  <si>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</si>
  <si>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</si>
  <si>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</si>
  <si>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</si>
  <si>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</si>
  <si>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</si>
  <si>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</si>
  <si>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</si>
  <si>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</si>
  <si>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</si>
  <si>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</si>
  <si>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</si>
  <si>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</si>
  <si>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</si>
  <si>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</si>
  <si>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</si>
  <si>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</si>
  <si>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</si>
  <si>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</si>
  <si>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</si>
  <si>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</si>
  <si>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</si>
  <si>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</si>
  <si>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</si>
  <si>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</si>
  <si>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</si>
  <si>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</si>
  <si>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</si>
  <si>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</si>
  <si>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</si>
  <si>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</si>
  <si>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</si>
  <si>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</si>
  <si>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</si>
  <si>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</si>
  <si>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</si>
  <si>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</si>
  <si>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</si>
  <si>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</si>
  <si>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</si>
  <si>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</si>
  <si>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</si>
  <si>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</si>
  <si>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</si>
  <si>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</si>
  <si>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</si>
  <si>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</si>
  <si>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</si>
  <si>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</si>
  <si>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</si>
  <si>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</si>
  <si>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</si>
  <si>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</si>
  <si>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</si>
  <si>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</si>
  <si>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</si>
  <si>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</si>
  <si>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</si>
  <si>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</si>
  <si>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</si>
  <si>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</si>
  <si>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</si>
  <si>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</si>
  <si>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</si>
  <si>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</si>
  <si>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</si>
  <si>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</si>
  <si>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</si>
  <si>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</si>
  <si>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</si>
  <si>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</si>
  <si>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</si>
  <si>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</si>
  <si>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</si>
  <si>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</si>
  <si>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</si>
  <si>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</si>
  <si>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</si>
  <si>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</si>
  <si>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</si>
  <si>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</si>
  <si>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</si>
  <si>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</si>
  <si>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</si>
  <si>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</si>
  <si>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</si>
  <si>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</si>
  <si>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</si>
  <si>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</si>
  <si>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</si>
  <si>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</si>
  <si>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</si>
  <si>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</si>
  <si>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</si>
  <si>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</si>
  <si>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</si>
  <si>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</si>
  <si>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</si>
  <si>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</si>
  <si>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</si>
  <si>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</si>
  <si>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</si>
  <si>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</si>
  <si>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</si>
  <si>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</si>
  <si>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</si>
  <si>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</si>
  <si>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</si>
  <si>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</si>
  <si>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</si>
  <si>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</si>
  <si>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</si>
  <si>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</si>
  <si>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</si>
  <si>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</si>
  <si>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</si>
  <si>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</si>
  <si>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</si>
  <si>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</si>
  <si>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</si>
  <si>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</si>
  <si>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</si>
  <si>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</si>
  <si>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</si>
  <si>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</si>
  <si>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</si>
  <si>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</si>
  <si>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</si>
  <si>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</si>
  <si>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</si>
  <si>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</si>
  <si>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</si>
  <si>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</si>
  <si>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</si>
  <si>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</si>
  <si>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</si>
  <si>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</si>
  <si>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</si>
  <si>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</si>
  <si>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</si>
  <si>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</si>
  <si>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</si>
  <si>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</si>
  <si>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</si>
  <si>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</si>
  <si>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</si>
  <si>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</si>
  <si>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</si>
  <si>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</si>
  <si>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</si>
  <si>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</si>
  <si>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</si>
  <si>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</si>
  <si>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</si>
  <si>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</si>
  <si>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</si>
  <si>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</si>
  <si>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</si>
  <si>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</si>
  <si>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</si>
  <si>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</si>
  <si>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</si>
  <si>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</si>
  <si>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</si>
  <si>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</si>
  <si>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</si>
  <si>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</si>
  <si>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</si>
  <si>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</si>
  <si>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</si>
  <si>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</si>
  <si>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</si>
  <si>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</si>
  <si>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</si>
  <si>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</si>
  <si>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</si>
  <si>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</si>
  <si>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</si>
  <si>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</si>
  <si>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</si>
  <si>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</si>
  <si>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</si>
  <si>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</si>
  <si>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</si>
  <si>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</si>
  <si>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</si>
  <si>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</si>
  <si>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</si>
  <si>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</si>
  <si>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</si>
  <si>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</si>
  <si>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</si>
  <si>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</si>
  <si>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</si>
  <si>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</si>
  <si>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</si>
  <si>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</si>
  <si>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</si>
  <si>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</si>
  <si>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</si>
  <si>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</si>
  <si>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</si>
  <si>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</si>
  <si>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</si>
  <si>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</si>
  <si>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</si>
  <si>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</si>
  <si>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</si>
  <si>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</si>
  <si>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</si>
  <si>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</si>
  <si>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</si>
  <si>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</si>
  <si>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</si>
  <si>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</si>
  <si>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</si>
  <si>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</si>
  <si>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</si>
  <si>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</si>
  <si>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</si>
  <si>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</si>
  <si>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</si>
  <si>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</si>
  <si>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</si>
  <si>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</si>
  <si>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</si>
  <si>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</si>
  <si>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</si>
  <si>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</si>
  <si>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</si>
  <si>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</si>
  <si>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</si>
  <si>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</si>
  <si>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</si>
  <si>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</si>
  <si>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</si>
  <si>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</si>
  <si>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</si>
  <si>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</si>
  <si>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</si>
  <si>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</si>
  <si>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</si>
  <si>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</si>
  <si>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</si>
  <si>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</si>
  <si>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</si>
  <si>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</si>
  <si>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</si>
  <si>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</si>
  <si>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</si>
  <si>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</si>
  <si>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</si>
  <si>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</si>
  <si>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</si>
  <si>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</si>
  <si>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</si>
  <si>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</si>
  <si>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</si>
  <si>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</si>
  <si>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</si>
  <si>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</si>
  <si>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</si>
  <si>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</si>
  <si>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</si>
  <si>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</si>
  <si>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</si>
  <si>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</si>
  <si>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</si>
  <si>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</si>
  <si>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</si>
  <si>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</si>
  <si>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</si>
  <si>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</si>
  <si>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</si>
  <si>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</si>
  <si>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</si>
  <si>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</si>
  <si>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</si>
  <si>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</si>
  <si>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</si>
  <si>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</si>
  <si>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</si>
  <si>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</si>
  <si>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</si>
  <si>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</si>
  <si>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</si>
  <si>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</si>
  <si>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</si>
  <si>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</si>
  <si>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</si>
  <si>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</si>
  <si>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</si>
  <si>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</si>
  <si>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</si>
  <si>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</si>
  <si>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</si>
  <si>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</si>
  <si>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</si>
  <si>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</si>
  <si>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</si>
  <si>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</si>
  <si>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</si>
  <si>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</si>
  <si>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</si>
  <si>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</si>
  <si>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</si>
  <si>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</si>
  <si>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</si>
  <si>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</si>
  <si>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</si>
  <si>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</si>
  <si>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</si>
  <si>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</si>
  <si>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</si>
  <si>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</si>
  <si>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</si>
  <si>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</si>
  <si>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</si>
  <si>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</si>
  <si>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</si>
  <si>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</si>
  <si>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</si>
  <si>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</si>
  <si>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</si>
  <si>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</si>
  <si>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</si>
  <si>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</si>
  <si>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</si>
  <si>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</si>
  <si>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</si>
  <si>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</si>
  <si>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</si>
  <si>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</si>
  <si>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</si>
  <si>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</si>
  <si>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</si>
  <si>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</si>
  <si>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</si>
  <si>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</si>
  <si>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</si>
  <si>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</si>
  <si>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</si>
  <si>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</si>
  <si>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</si>
  <si>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</si>
  <si>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</si>
  <si>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</si>
  <si>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</si>
  <si>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</si>
  <si>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</si>
  <si>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</si>
  <si>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</si>
  <si>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</si>
  <si>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</si>
  <si>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</si>
  <si>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</si>
  <si>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</si>
  <si>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</si>
  <si>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</si>
  <si>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</si>
  <si>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</si>
  <si>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</si>
  <si>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</si>
  <si>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</si>
  <si>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</si>
  <si>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</si>
  <si>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</si>
  <si>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</si>
  <si>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</si>
  <si>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</si>
  <si>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</si>
  <si>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</si>
  <si>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</si>
  <si>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</si>
  <si>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</si>
  <si>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</si>
  <si>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</si>
  <si>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</si>
  <si>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</si>
  <si>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</si>
  <si>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</si>
  <si>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</si>
  <si>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</si>
  <si>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</si>
  <si>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</si>
  <si>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</si>
  <si>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</si>
  <si>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</si>
  <si>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</si>
  <si>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</si>
  <si>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</si>
  <si>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</si>
  <si>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</si>
  <si>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</si>
  <si>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</si>
  <si>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</si>
  <si>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</si>
  <si>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</si>
  <si>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</si>
  <si>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</si>
  <si>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</si>
  <si>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</si>
  <si>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</si>
  <si>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</si>
  <si>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</si>
  <si>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</si>
  <si>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</si>
  <si>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</si>
  <si>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</si>
  <si>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</si>
  <si>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</si>
  <si>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</si>
  <si>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</si>
  <si>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</si>
  <si>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</si>
  <si>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</si>
  <si>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</si>
  <si>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</si>
  <si>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</si>
  <si>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</si>
  <si>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</si>
  <si>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</si>
  <si>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</si>
  <si>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</si>
  <si>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</si>
  <si>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</si>
  <si>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</si>
  <si>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</si>
  <si>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</si>
  <si>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</si>
  <si>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</si>
  <si>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</si>
  <si>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</si>
  <si>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</si>
  <si>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</si>
  <si>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</si>
  <si>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</si>
  <si>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</si>
  <si>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</si>
  <si>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</si>
  <si>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</si>
  <si>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</si>
  <si>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</si>
  <si>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</si>
  <si>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</si>
  <si>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</si>
  <si>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</si>
  <si>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</si>
  <si>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</si>
  <si>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</si>
  <si>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</si>
  <si>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</si>
  <si>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</si>
  <si>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</si>
  <si>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</si>
  <si>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</si>
  <si>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</si>
  <si>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</si>
  <si>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</si>
  <si>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</si>
  <si>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</si>
  <si>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</si>
  <si>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</si>
  <si>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</si>
  <si>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</si>
  <si>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</si>
  <si>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</si>
  <si>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</si>
  <si>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</si>
  <si>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</si>
  <si>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</si>
  <si>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</si>
  <si>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</si>
  <si>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</si>
  <si>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</si>
  <si>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</si>
  <si>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</si>
  <si>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</si>
  <si>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</si>
  <si>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</si>
  <si>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</si>
  <si>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</si>
  <si>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</si>
  <si>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</si>
  <si>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</si>
  <si>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</si>
  <si>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</si>
  <si>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</si>
  <si>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</si>
  <si>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</si>
  <si>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</si>
  <si>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</si>
  <si>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</si>
  <si>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</si>
  <si>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</si>
  <si>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</si>
  <si>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</si>
  <si>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</si>
  <si>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</si>
  <si>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</si>
  <si>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</si>
  <si>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</si>
  <si>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</si>
  <si>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</si>
  <si>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</si>
  <si>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</si>
  <si>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</si>
  <si>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</si>
  <si>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</si>
  <si>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</si>
  <si>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</si>
  <si>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</si>
  <si>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</si>
  <si>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</si>
  <si>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</si>
  <si>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</si>
  <si>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</si>
  <si>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</si>
  <si>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</si>
  <si>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</si>
  <si>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</si>
  <si>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</si>
  <si>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</si>
  <si>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</si>
  <si>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</si>
  <si>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</si>
  <si>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</si>
  <si>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</si>
  <si>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</si>
  <si>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</si>
  <si>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</si>
  <si>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</si>
  <si>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</si>
  <si>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</si>
  <si>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</si>
  <si>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</si>
  <si>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</si>
  <si>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</si>
  <si>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</si>
  <si>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</si>
  <si>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</si>
  <si>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</si>
  <si>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</si>
  <si>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</si>
  <si>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</si>
  <si>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</si>
  <si>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</si>
  <si>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</si>
  <si>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</si>
  <si>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</si>
  <si>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</si>
  <si>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</si>
  <si>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</si>
  <si>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</si>
  <si>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</si>
  <si>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</si>
  <si>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</si>
  <si>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</si>
  <si>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</si>
  <si>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</si>
  <si>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</si>
  <si>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</si>
  <si>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</si>
  <si>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</si>
  <si>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</si>
  <si>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</si>
  <si>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</si>
  <si>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</si>
  <si>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</si>
  <si>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</si>
  <si>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</si>
  <si>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</si>
  <si>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</si>
  <si>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</si>
  <si>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</si>
  <si>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</si>
  <si>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</si>
  <si>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</si>
  <si>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</si>
  <si>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</si>
  <si>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</si>
  <si>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</si>
  <si>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</si>
  <si>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</si>
  <si>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</si>
  <si>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</si>
  <si>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</si>
  <si>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</si>
  <si>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</si>
  <si>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</si>
  <si>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</si>
  <si>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</si>
  <si>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</si>
  <si>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</si>
  <si>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</si>
  <si>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</si>
  <si>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</si>
  <si>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</si>
  <si>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</si>
  <si>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</si>
  <si>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</si>
  <si>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</si>
  <si>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</si>
  <si>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</si>
  <si>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</si>
  <si>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</si>
  <si>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</si>
  <si>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</si>
  <si>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</si>
  <si>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</si>
  <si>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</si>
  <si>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</si>
  <si>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</si>
  <si>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</si>
  <si>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</si>
  <si>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</si>
  <si>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</si>
  <si>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</si>
  <si>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</si>
  <si>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</si>
  <si>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</si>
  <si>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</si>
  <si>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</si>
  <si>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</si>
  <si>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</si>
  <si>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</si>
  <si>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</si>
  <si>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</si>
  <si>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</si>
  <si>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</si>
  <si>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</si>
  <si>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</si>
  <si>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</si>
  <si>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</si>
  <si>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</si>
  <si>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</si>
  <si>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</si>
  <si>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</si>
  <si>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</si>
  <si>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</si>
  <si>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</si>
  <si>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</si>
  <si>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</si>
  <si>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</si>
  <si>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</si>
  <si>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</si>
  <si>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</si>
  <si>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</si>
  <si>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</si>
  <si>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</si>
  <si>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</si>
  <si>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</si>
  <si>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</si>
  <si>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</si>
  <si>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</si>
  <si>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</si>
  <si>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</si>
  <si>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</si>
  <si>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</si>
  <si>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</si>
  <si>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</si>
  <si>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</si>
  <si>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</si>
  <si>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</si>
  <si>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</si>
  <si>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</si>
  <si>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</si>
  <si>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</si>
  <si>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</si>
  <si>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</si>
  <si>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</si>
  <si>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</si>
  <si>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</si>
  <si>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</si>
  <si>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</si>
  <si>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</si>
  <si>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</si>
  <si>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</si>
  <si>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</si>
  <si>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</si>
  <si>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</si>
  <si>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</si>
  <si>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</si>
  <si>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</si>
  <si>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</si>
  <si>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</si>
  <si>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</si>
  <si>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</si>
  <si>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</si>
  <si>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</si>
  <si>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</si>
  <si>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</si>
  <si>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</si>
  <si>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</si>
  <si>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</si>
  <si>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</si>
  <si>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</si>
  <si>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</si>
  <si>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</si>
  <si>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</si>
  <si>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</si>
  <si>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</si>
  <si>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</si>
  <si>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</si>
  <si>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</si>
  <si>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</si>
  <si>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</si>
  <si>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</si>
  <si>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</si>
  <si>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</si>
  <si>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</si>
  <si>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</si>
  <si>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</si>
  <si>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</si>
  <si>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</si>
  <si>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</si>
  <si>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</si>
  <si>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</si>
  <si>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</si>
  <si>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</si>
  <si>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</si>
  <si>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</si>
  <si>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</si>
  <si>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</si>
  <si>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</si>
  <si>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</si>
  <si>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</si>
  <si>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</si>
  <si>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</si>
  <si>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</si>
  <si>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</si>
  <si>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</si>
  <si>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</si>
  <si>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</si>
  <si>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</si>
  <si>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</si>
  <si>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</si>
  <si>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</si>
  <si>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</si>
  <si>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</si>
  <si>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</si>
  <si>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</si>
  <si>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</si>
  <si>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</si>
  <si>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</si>
  <si>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</si>
  <si>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</si>
  <si>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</si>
  <si>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</si>
  <si>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</si>
  <si>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</si>
  <si>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</si>
  <si>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</si>
  <si>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</si>
  <si>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</si>
  <si>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</si>
  <si>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</si>
  <si>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</si>
  <si>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</si>
  <si>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</si>
  <si>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</si>
  <si>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</si>
  <si>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</si>
  <si>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</si>
  <si>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</si>
  <si>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</si>
  <si>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</si>
  <si>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</si>
  <si>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</si>
  <si>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</si>
  <si>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</si>
  <si>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</si>
  <si>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</si>
  <si>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</si>
  <si>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</si>
  <si>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</si>
  <si>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</si>
  <si>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</si>
  <si>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</si>
  <si>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</si>
  <si>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</si>
  <si>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</si>
  <si>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</si>
  <si>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</si>
  <si>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</si>
  <si>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</si>
  <si>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</si>
  <si>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</si>
  <si>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</si>
  <si>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</si>
  <si>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</si>
  <si>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</si>
  <si>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</si>
  <si>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</si>
  <si>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</si>
  <si>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</si>
  <si>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</si>
  <si>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</si>
  <si>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</si>
  <si>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</si>
  <si>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</si>
  <si>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</si>
  <si>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</si>
  <si>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</si>
  <si>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</si>
  <si>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</si>
  <si>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</si>
  <si>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</si>
  <si>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</si>
  <si>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</si>
  <si>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</si>
  <si>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</si>
  <si>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</si>
  <si>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</si>
  <si>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</si>
  <si>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</si>
  <si>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</si>
  <si>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</si>
  <si>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</si>
  <si>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</si>
  <si>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</si>
  <si>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</si>
  <si>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</si>
  <si>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</si>
  <si>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</si>
  <si>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</si>
  <si>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</si>
  <si>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</si>
  <si>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</si>
  <si>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</si>
  <si>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</si>
  <si>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</si>
  <si>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</si>
  <si>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</si>
  <si>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</si>
  <si>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</si>
  <si>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</si>
  <si>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</si>
  <si>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</si>
  <si>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</si>
  <si>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</si>
  <si>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</si>
  <si>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</si>
  <si>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</si>
  <si>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</si>
  <si>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</si>
  <si>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</si>
  <si>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</si>
  <si>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</si>
  <si>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</si>
  <si>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</si>
  <si>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</si>
  <si>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</si>
  <si>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</si>
  <si>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</si>
  <si>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</si>
  <si>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</si>
  <si>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</si>
  <si>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</si>
  <si>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</si>
  <si>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</si>
  <si>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</si>
  <si>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</si>
  <si>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</si>
  <si>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</si>
  <si>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</si>
  <si>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</si>
  <si>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</si>
  <si>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</si>
  <si>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</si>
  <si>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</si>
  <si>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</si>
  <si>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</si>
  <si>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</si>
  <si>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</si>
  <si>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</si>
  <si>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</si>
  <si>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</si>
  <si>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</si>
  <si>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</si>
  <si>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</si>
  <si>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</si>
  <si>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</si>
  <si>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</si>
  <si>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</si>
  <si>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</si>
  <si>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</si>
  <si>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</si>
  <si>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</si>
  <si>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</si>
  <si>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</si>
  <si>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</si>
  <si>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</si>
  <si>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</si>
  <si>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</si>
  <si>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</si>
  <si>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</si>
  <si>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</si>
  <si>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</si>
  <si>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</si>
  <si>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</si>
  <si>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</si>
  <si>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</si>
  <si>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</si>
  <si>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</si>
  <si>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</si>
  <si>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</si>
  <si>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</si>
  <si>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</si>
  <si>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</si>
  <si>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</si>
  <si>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</si>
  <si>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</si>
  <si>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</si>
  <si>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</si>
  <si>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</si>
  <si>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</si>
  <si>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</si>
  <si>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</si>
  <si>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</si>
  <si>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</si>
  <si>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</si>
  <si>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</si>
  <si>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</si>
  <si>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</si>
  <si>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</si>
  <si>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</si>
  <si>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</si>
  <si>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</si>
  <si>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</si>
  <si>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</si>
  <si>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</si>
  <si>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</si>
  <si>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</si>
  <si>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</si>
  <si>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</si>
  <si>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</si>
  <si>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</si>
  <si>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</si>
  <si>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</si>
  <si>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</si>
  <si>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</si>
  <si>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</si>
  <si>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</si>
  <si>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</si>
  <si>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</si>
  <si>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</si>
  <si>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</si>
  <si>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</si>
  <si>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</si>
  <si>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</si>
  <si>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</si>
  <si>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</si>
  <si>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</si>
  <si>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</si>
  <si>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</si>
  <si>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</si>
  <si>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</si>
  <si>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</si>
  <si>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</si>
  <si>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</si>
  <si>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</si>
  <si>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</si>
  <si>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</si>
  <si>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</si>
  <si>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</si>
  <si>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</si>
  <si>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</si>
  <si>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</si>
  <si>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</si>
  <si>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</si>
  <si>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</si>
  <si>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</si>
  <si>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</si>
  <si>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</si>
  <si>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</si>
  <si>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</si>
  <si>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</si>
  <si>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</si>
  <si>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</si>
  <si>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</si>
  <si>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</si>
  <si>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</si>
  <si>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</si>
  <si>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</si>
  <si>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</si>
  <si>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</si>
  <si>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</si>
  <si>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</si>
  <si>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</si>
  <si>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</si>
  <si>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</si>
  <si>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</si>
  <si>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</si>
  <si>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</si>
  <si>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</si>
  <si>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</si>
  <si>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</si>
  <si>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</si>
  <si>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</si>
  <si>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</si>
  <si>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</si>
  <si>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</si>
  <si>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</si>
  <si>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</si>
  <si>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</si>
  <si>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</si>
  <si>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</si>
  <si>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</si>
  <si>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</si>
  <si>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</si>
  <si>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</si>
  <si>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</si>
  <si>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</si>
  <si>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</si>
  <si>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</si>
  <si>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</si>
  <si>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</si>
  <si>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</si>
  <si>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</si>
  <si>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</si>
  <si>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</si>
  <si>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</si>
  <si>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</si>
  <si>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</si>
  <si>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</si>
  <si>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</si>
  <si>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</si>
  <si>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</si>
  <si>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</si>
  <si>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</si>
  <si>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</si>
  <si>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</si>
  <si>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</si>
  <si>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</si>
  <si>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</si>
  <si>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</si>
  <si>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</si>
  <si>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</si>
  <si>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</si>
  <si>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</si>
  <si>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</si>
  <si>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</si>
  <si>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</si>
  <si>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</si>
  <si>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</si>
  <si>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</si>
  <si>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</si>
  <si>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</si>
  <si>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</si>
  <si>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</si>
  <si>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</si>
  <si>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</si>
  <si>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</si>
  <si>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</si>
  <si>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</si>
  <si>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</si>
  <si>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</si>
  <si>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</si>
  <si>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</si>
  <si>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</si>
  <si>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</si>
  <si>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</si>
  <si>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</si>
  <si>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</si>
  <si>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</si>
  <si>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</si>
  <si>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</si>
  <si>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</si>
  <si>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</si>
  <si>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</si>
  <si>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</si>
  <si>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</si>
  <si>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</si>
  <si>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</si>
  <si>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</si>
  <si>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</si>
  <si>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</si>
  <si>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</si>
  <si>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</si>
  <si>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</si>
  <si>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</si>
  <si>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</si>
  <si>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</si>
  <si>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</si>
  <si>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</si>
  <si>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</si>
  <si>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</si>
  <si>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</si>
  <si>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</si>
  <si>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</si>
  <si>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</si>
  <si>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</si>
  <si>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</si>
  <si>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</si>
  <si>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</si>
  <si>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</si>
  <si>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</si>
  <si>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</si>
  <si>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</si>
  <si>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</si>
  <si>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</si>
  <si>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</si>
  <si>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</si>
  <si>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</si>
  <si>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</si>
  <si>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</si>
  <si>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</si>
  <si>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</si>
  <si>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</si>
  <si>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</si>
  <si>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</si>
  <si>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</si>
  <si>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</si>
  <si>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</si>
  <si>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</si>
  <si>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</si>
  <si>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</si>
  <si>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</si>
  <si>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</si>
  <si>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</si>
  <si>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</si>
  <si>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</si>
  <si>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</si>
  <si>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</si>
  <si>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</si>
  <si>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</si>
  <si>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</si>
  <si>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</si>
  <si>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</si>
  <si>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</si>
  <si>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</si>
  <si>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</si>
  <si>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</si>
  <si>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</si>
  <si>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</si>
  <si>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</si>
  <si>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</si>
  <si>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</si>
  <si>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</si>
  <si>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</si>
  <si>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</si>
  <si>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</si>
  <si>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</si>
  <si>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</si>
  <si>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</si>
  <si>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</si>
  <si>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</si>
  <si>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</si>
  <si>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</si>
  <si>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</si>
  <si>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</si>
  <si>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</si>
  <si>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</si>
  <si>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</si>
  <si>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</si>
  <si>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</si>
  <si>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</si>
  <si>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</si>
  <si>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</si>
  <si>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</si>
  <si>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</si>
  <si>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</si>
  <si>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</si>
  <si>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</si>
  <si>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</si>
  <si>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</si>
  <si>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</si>
  <si>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</si>
  <si>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</si>
  <si>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</si>
  <si>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</si>
  <si>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</si>
  <si>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</si>
  <si>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</si>
  <si>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</si>
  <si>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</si>
  <si>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</si>
  <si>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</si>
  <si>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</si>
  <si>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</si>
  <si>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</si>
  <si>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</si>
  <si>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</si>
  <si>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</si>
  <si>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</si>
  <si>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</si>
  <si>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</si>
  <si>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</si>
  <si>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</si>
  <si>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</si>
  <si>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</si>
  <si>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</si>
  <si>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</si>
  <si>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</si>
  <si>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</si>
  <si>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</si>
  <si>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</si>
  <si>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</si>
  <si>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</si>
  <si>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</si>
  <si>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</si>
  <si>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</si>
  <si>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</si>
  <si>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</si>
  <si>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</si>
  <si>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</si>
  <si>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</si>
  <si>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</si>
  <si>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</si>
  <si>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</si>
  <si>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</si>
  <si>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</si>
  <si>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</si>
  <si>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</si>
  <si>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</si>
  <si>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</si>
  <si>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</si>
  <si>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</si>
  <si>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</si>
  <si>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</si>
  <si>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</si>
  <si>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</si>
  <si>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</si>
  <si>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</si>
  <si>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</si>
  <si>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</si>
  <si>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</si>
  <si>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</si>
  <si>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</si>
  <si>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</si>
  <si>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</si>
  <si>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</si>
  <si>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</si>
  <si>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</si>
  <si>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</si>
  <si>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</si>
  <si>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</si>
  <si>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</si>
  <si>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</si>
  <si>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</si>
  <si>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</si>
  <si>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</si>
  <si>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</si>
  <si>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</si>
  <si>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</si>
  <si>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</si>
  <si>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</si>
  <si>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</si>
  <si>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</si>
  <si>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</si>
  <si>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</si>
  <si>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</si>
  <si>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</si>
  <si>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</si>
  <si>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</si>
  <si>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</si>
  <si>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</si>
  <si>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</si>
  <si>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</si>
  <si>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</si>
  <si>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</si>
  <si>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</si>
  <si>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</si>
  <si>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</si>
  <si>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</si>
  <si>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</si>
  <si>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</si>
  <si>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</si>
  <si>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</si>
  <si>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</si>
  <si>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</si>
  <si>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</si>
  <si>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</si>
  <si>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</si>
  <si>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</si>
  <si>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</si>
  <si>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</si>
  <si>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</si>
  <si>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</si>
  <si>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</si>
  <si>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</si>
  <si>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</si>
  <si>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</si>
  <si>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</si>
  <si>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</si>
  <si>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</si>
  <si>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</si>
  <si>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</si>
  <si>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</si>
  <si>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</si>
  <si>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</si>
  <si>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</si>
  <si>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</si>
  <si>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</si>
  <si>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</si>
  <si>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</si>
  <si>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</si>
  <si>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</si>
  <si>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</si>
  <si>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</si>
  <si>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</si>
  <si>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</si>
  <si>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</si>
  <si>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</si>
  <si>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</si>
  <si>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</si>
  <si>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</si>
  <si>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</si>
  <si>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</si>
  <si>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</si>
  <si>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</si>
  <si>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</si>
  <si>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</si>
  <si>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</si>
  <si>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</si>
  <si>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</si>
  <si>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</si>
  <si>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</si>
  <si>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</si>
  <si>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</si>
  <si>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</si>
  <si>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</si>
  <si>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</si>
  <si>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</si>
  <si>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</si>
  <si>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</si>
  <si>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</si>
  <si>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</si>
  <si>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</si>
  <si>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</si>
  <si>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</si>
  <si>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</si>
  <si>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</si>
  <si>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</si>
  <si>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</si>
  <si>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</si>
  <si>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</si>
  <si>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</si>
  <si>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</si>
  <si>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</si>
  <si>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</si>
  <si>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</si>
  <si>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</si>
  <si>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</si>
  <si>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</si>
  <si>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</si>
  <si>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</si>
  <si>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</si>
  <si>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</si>
  <si>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</si>
  <si>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</si>
  <si>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</si>
  <si>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</si>
  <si>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</si>
  <si>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</si>
  <si>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</si>
  <si>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</si>
  <si>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</si>
  <si>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</si>
  <si>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</si>
  <si>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</si>
  <si>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</si>
  <si>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</si>
  <si>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</si>
  <si>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</si>
  <si>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</si>
  <si>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</si>
  <si>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</si>
  <si>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</si>
  <si>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</si>
  <si>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</si>
  <si>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</si>
  <si>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</si>
  <si>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</si>
  <si>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</si>
  <si>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</si>
  <si>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</si>
  <si>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</si>
  <si>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</si>
  <si>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</si>
  <si>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</si>
  <si>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</si>
  <si>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</si>
  <si>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</si>
  <si>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</si>
  <si>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</si>
  <si>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</si>
  <si>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</si>
  <si>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</si>
  <si>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</si>
  <si>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</si>
  <si>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</si>
  <si>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</si>
  <si>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</si>
  <si>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</si>
  <si>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</si>
  <si>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</si>
  <si>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</si>
  <si>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</si>
  <si>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</si>
  <si>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</si>
  <si>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</si>
  <si>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</si>
  <si>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</si>
  <si>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</si>
  <si>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</si>
  <si>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</si>
  <si>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</si>
  <si>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</si>
  <si>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</si>
  <si>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</si>
  <si>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</si>
  <si>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</si>
  <si>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</si>
  <si>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</si>
  <si>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</si>
  <si>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</si>
  <si>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</si>
  <si>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</si>
  <si>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</si>
  <si>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</si>
  <si>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</si>
  <si>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</si>
  <si>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</si>
  <si>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</si>
  <si>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</si>
  <si>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</si>
  <si>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</si>
  <si>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</si>
  <si>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</si>
  <si>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</si>
  <si>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</si>
  <si>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</si>
  <si>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</si>
  <si>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</si>
  <si>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</si>
  <si>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</si>
  <si>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</si>
  <si>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</si>
  <si>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</si>
  <si>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</si>
  <si>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</si>
  <si>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</si>
  <si>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</si>
  <si>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</si>
  <si>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</si>
  <si>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</si>
  <si>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</si>
  <si>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</si>
  <si>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</si>
  <si>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</si>
  <si>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</si>
  <si>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</si>
  <si>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</si>
  <si>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</si>
  <si>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</si>
  <si>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</si>
  <si>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</si>
  <si>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</si>
  <si>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</si>
  <si>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</si>
  <si>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</si>
  <si>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</si>
  <si>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</si>
  <si>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</si>
  <si>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</si>
  <si>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</si>
  <si>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</si>
  <si>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</si>
  <si>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</si>
  <si>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</si>
  <si>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</si>
  <si>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</si>
  <si>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</si>
  <si>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</si>
  <si>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</si>
  <si>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</si>
  <si>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</si>
  <si>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</si>
  <si>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</si>
  <si>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</si>
  <si>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</si>
  <si>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</si>
  <si>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</si>
  <si>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</si>
  <si>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</si>
  <si>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</si>
  <si>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</si>
  <si>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</si>
  <si>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</si>
  <si>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</si>
  <si>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</si>
  <si>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</si>
  <si>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</si>
  <si>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</si>
  <si>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</si>
  <si>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</si>
  <si>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</si>
  <si>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</si>
  <si>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</si>
  <si>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</si>
  <si>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</si>
  <si>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</si>
  <si>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</si>
  <si>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</si>
  <si>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</si>
  <si>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</si>
  <si>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</si>
  <si>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</si>
  <si>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</si>
  <si>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</si>
  <si>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</si>
  <si>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</si>
  <si>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</si>
  <si>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</si>
  <si>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</si>
  <si>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</si>
  <si>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</si>
  <si>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</si>
  <si>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</si>
  <si>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</si>
  <si>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</si>
  <si>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</si>
  <si>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</si>
  <si>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</si>
  <si>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</si>
  <si>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</si>
  <si>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</si>
  <si>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</si>
  <si>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</si>
  <si>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</si>
  <si>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</si>
  <si>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</si>
  <si>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</si>
  <si>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</si>
  <si>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</si>
  <si>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</si>
  <si>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</si>
  <si>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</si>
  <si>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</si>
  <si>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</si>
  <si>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</si>
  <si>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</si>
  <si>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</si>
  <si>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</si>
  <si>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</si>
  <si>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</si>
  <si>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</si>
  <si>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</si>
  <si>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</si>
  <si>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</si>
  <si>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</si>
  <si>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</si>
  <si>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</si>
  <si>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</si>
  <si>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</si>
  <si>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</si>
  <si>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</si>
  <si>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</si>
  <si>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</si>
  <si>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</si>
  <si>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</si>
  <si>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</si>
  <si>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</si>
  <si>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</si>
  <si>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</si>
  <si>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</si>
  <si>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</si>
  <si>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</si>
  <si>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</si>
  <si>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</si>
  <si>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</si>
  <si>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</si>
  <si>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</si>
  <si>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</si>
  <si>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</si>
  <si>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</si>
  <si>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</si>
  <si>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</si>
  <si>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</si>
  <si>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</si>
  <si>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</si>
  <si>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</si>
  <si>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</si>
  <si>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</si>
  <si>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</si>
  <si>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</si>
  <si>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</si>
  <si>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</si>
  <si>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</si>
  <si>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</si>
  <si>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</si>
  <si>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</si>
  <si>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</si>
  <si>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</si>
  <si>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</si>
  <si>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</si>
  <si>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</si>
  <si>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</si>
  <si>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</si>
  <si>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</si>
  <si>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</si>
  <si>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</si>
  <si>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</si>
  <si>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</si>
  <si>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</si>
  <si>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</si>
  <si>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</si>
  <si>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</si>
  <si>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</si>
  <si>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</si>
  <si>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</si>
  <si>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</si>
  <si>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</si>
  <si>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</si>
  <si>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</si>
  <si>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</si>
  <si>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</si>
  <si>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</si>
  <si>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</si>
  <si>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</si>
  <si>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</si>
  <si>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</si>
  <si>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</si>
  <si>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</si>
  <si>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</si>
  <si>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</si>
  <si>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</si>
  <si>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</si>
  <si>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</si>
  <si>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</si>
  <si>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</si>
  <si>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</si>
  <si>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</si>
  <si>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</si>
  <si>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</si>
  <si>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</si>
  <si>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</si>
  <si>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</si>
  <si>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</si>
  <si>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</si>
  <si>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</si>
  <si>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</si>
  <si>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</si>
  <si>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</si>
  <si>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</si>
  <si>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</si>
  <si>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</si>
  <si>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</si>
  <si>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</si>
  <si>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</si>
  <si>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</si>
  <si>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</si>
  <si>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</si>
  <si>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</si>
  <si>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</si>
  <si>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</si>
  <si>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</si>
  <si>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</si>
  <si>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</si>
  <si>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</si>
  <si>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</si>
  <si>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</si>
  <si>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</si>
  <si>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</si>
  <si>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</si>
  <si>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</si>
  <si>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</si>
  <si>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</si>
  <si>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</si>
  <si>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</si>
  <si>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</si>
  <si>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</si>
  <si>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</si>
  <si>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</si>
  <si>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</si>
  <si>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</si>
  <si>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</si>
  <si>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</si>
  <si>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</si>
  <si>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</si>
  <si>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</si>
  <si>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</si>
  <si>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</si>
  <si>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</si>
  <si>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</si>
  <si>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</si>
  <si>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</si>
  <si>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</si>
  <si>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</si>
  <si>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</si>
  <si>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</si>
  <si>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</si>
  <si>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</si>
  <si>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</si>
  <si>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</si>
  <si>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</si>
  <si>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</si>
  <si>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</si>
  <si>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</si>
  <si>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</si>
  <si>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</si>
  <si>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</si>
  <si>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</si>
  <si>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</si>
  <si>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</si>
  <si>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</si>
  <si>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</si>
  <si>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</si>
  <si>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</si>
  <si>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</si>
  <si>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</si>
  <si>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</si>
  <si>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</si>
  <si>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</si>
  <si>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</si>
  <si>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</si>
  <si>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</si>
  <si>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</si>
  <si>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</si>
  <si>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</si>
  <si>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</si>
  <si>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</si>
  <si>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</si>
  <si>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</si>
  <si>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</si>
  <si>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</si>
  <si>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</si>
  <si>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</si>
  <si>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</si>
  <si>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</si>
  <si>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</si>
  <si>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</si>
  <si>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</si>
  <si>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</si>
  <si>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</si>
  <si>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</si>
  <si>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</si>
  <si>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</si>
  <si>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</si>
  <si>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</si>
  <si>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</si>
  <si>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</si>
  <si>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</si>
  <si>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</si>
  <si>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</si>
  <si>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</si>
  <si>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</si>
  <si>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</si>
  <si>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</si>
  <si>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</si>
  <si>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</si>
  <si>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</si>
  <si>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</si>
  <si>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</si>
  <si>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</si>
  <si>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</si>
  <si>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</si>
  <si>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</si>
  <si>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</si>
  <si>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</si>
  <si>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</si>
  <si>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</si>
  <si>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</si>
  <si>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</si>
  <si>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</si>
  <si>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</si>
  <si>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</si>
  <si>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</si>
  <si>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</si>
  <si>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</si>
  <si>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</si>
  <si>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</si>
  <si>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</si>
  <si>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</si>
  <si>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</si>
  <si>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</si>
  <si>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</si>
  <si>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</si>
  <si>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</si>
  <si>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</si>
  <si>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</si>
  <si>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</si>
  <si>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</si>
  <si>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</si>
  <si>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</si>
  <si>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</si>
  <si>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</si>
  <si>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</si>
  <si>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</si>
  <si>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</si>
  <si>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</si>
  <si>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</si>
  <si>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</si>
  <si>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</si>
  <si>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</si>
  <si>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</si>
  <si>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</si>
  <si>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</si>
  <si>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</si>
  <si>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</si>
  <si>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</si>
  <si>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</si>
  <si>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</si>
  <si>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</si>
  <si>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</si>
  <si>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</si>
  <si>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</si>
  <si>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</si>
  <si>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</si>
  <si>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</si>
  <si>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</si>
  <si>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</si>
  <si>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</si>
  <si>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</si>
  <si>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</si>
  <si>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</si>
  <si>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</si>
  <si>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</si>
  <si>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</si>
  <si>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</si>
  <si>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</si>
  <si>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</si>
  <si>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</si>
  <si>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</si>
  <si>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</si>
  <si>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</si>
  <si>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</si>
  <si>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</si>
  <si>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</si>
  <si>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</si>
  <si>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</si>
  <si>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</si>
  <si>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</si>
  <si>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</si>
  <si>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</si>
  <si>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</si>
  <si>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</si>
  <si>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</si>
  <si>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</si>
  <si>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</si>
  <si>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</si>
  <si>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</si>
  <si>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</si>
  <si>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</si>
  <si>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</si>
  <si>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</si>
  <si>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</si>
  <si>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</si>
  <si>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</si>
  <si>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</si>
  <si>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</si>
  <si>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</si>
  <si>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</si>
  <si>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</si>
  <si>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</si>
  <si>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</si>
  <si>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</si>
  <si>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</si>
  <si>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</si>
  <si>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</si>
  <si>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</si>
  <si>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</si>
  <si>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</si>
  <si>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</si>
  <si>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</si>
  <si>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</si>
  <si>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</si>
  <si>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</si>
  <si>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</si>
  <si>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</si>
  <si>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</si>
  <si>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</si>
  <si>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</si>
  <si>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</si>
  <si>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</si>
  <si>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</si>
  <si>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</si>
  <si>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</si>
  <si>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</si>
  <si>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</si>
  <si>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</si>
  <si>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</si>
  <si>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</si>
  <si>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</si>
  <si>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</si>
  <si>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</si>
  <si>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</si>
  <si>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</si>
  <si>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</si>
  <si>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</si>
  <si>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</si>
  <si>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</si>
  <si>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</si>
  <si>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</si>
  <si>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</si>
  <si>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</si>
  <si>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</si>
  <si>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</si>
  <si>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</si>
  <si>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</si>
  <si>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</si>
  <si>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</si>
  <si>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</si>
  <si>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</si>
  <si>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</si>
  <si>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</si>
  <si>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</si>
  <si>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</si>
  <si>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</si>
  <si>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</si>
  <si>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</si>
  <si>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</si>
  <si>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</si>
  <si>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</si>
  <si>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</si>
  <si>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</si>
  <si>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</si>
  <si>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</si>
  <si>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</si>
  <si>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</si>
  <si>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</si>
  <si>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</si>
  <si>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</si>
  <si>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</si>
  <si>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</si>
  <si>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</si>
  <si>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</si>
  <si>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</si>
  <si>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</si>
  <si>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</si>
  <si>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</si>
  <si>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</si>
  <si>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</si>
  <si>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</si>
  <si>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</si>
  <si>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</si>
  <si>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</si>
  <si>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</si>
  <si>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</si>
  <si>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</si>
  <si>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</si>
  <si>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</si>
  <si>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</si>
  <si>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</si>
  <si>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</si>
  <si>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</si>
  <si>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</si>
  <si>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</si>
  <si>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</si>
  <si>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</si>
  <si>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</si>
  <si>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</si>
  <si>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</si>
  <si>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</si>
  <si>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</si>
  <si>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</si>
  <si>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</si>
  <si>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</si>
  <si>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</si>
  <si>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</si>
  <si>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</si>
  <si>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</si>
  <si>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</si>
  <si>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</si>
  <si>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</si>
  <si>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</si>
  <si>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</si>
  <si>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</si>
  <si>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</si>
  <si>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</si>
  <si>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</si>
  <si>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</si>
  <si>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</si>
  <si>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</si>
  <si>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</si>
  <si>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</si>
  <si>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</si>
  <si>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</si>
  <si>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</si>
  <si>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</si>
  <si>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</si>
  <si>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</si>
  <si>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</si>
  <si>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</si>
  <si>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</si>
  <si>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</si>
  <si>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</si>
  <si>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</si>
  <si>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</si>
  <si>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</si>
  <si>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</si>
  <si>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</si>
  <si>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</si>
  <si>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</si>
  <si>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</si>
  <si>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</si>
  <si>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</si>
  <si>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</si>
  <si>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</si>
  <si>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</si>
  <si>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</si>
  <si>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</si>
  <si>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</si>
  <si>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</si>
  <si>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</si>
  <si>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</si>
  <si>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</si>
  <si>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</si>
  <si>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</si>
  <si>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</si>
  <si>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</si>
  <si>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</si>
  <si>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</si>
  <si>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</si>
  <si>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</si>
  <si>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</si>
  <si>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</si>
  <si>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</si>
  <si>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</si>
  <si>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</si>
  <si>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</si>
  <si>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</si>
  <si>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</si>
  <si>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</si>
  <si>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</si>
  <si>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</si>
  <si>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</si>
  <si>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</si>
  <si>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</si>
  <si>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</si>
  <si>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</si>
  <si>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</si>
  <si>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</si>
  <si>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</si>
  <si>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</si>
  <si>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</si>
  <si>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</si>
  <si>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</si>
  <si>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</si>
  <si>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</si>
  <si>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</si>
  <si>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</si>
  <si>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</si>
  <si>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</si>
  <si>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</si>
  <si>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</si>
  <si>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</si>
  <si>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</si>
  <si>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</si>
  <si>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</si>
  <si>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</si>
  <si>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</si>
  <si>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</si>
  <si>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</si>
  <si>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</si>
  <si>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</si>
  <si>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</si>
  <si>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</si>
  <si>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</si>
  <si>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</si>
  <si>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</si>
  <si>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</si>
  <si>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</si>
  <si>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</si>
  <si>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</si>
  <si>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</si>
  <si>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</si>
  <si>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</si>
  <si>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</si>
  <si>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</si>
  <si>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</si>
  <si>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</si>
  <si>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</si>
  <si>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</si>
  <si>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</si>
  <si>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</si>
  <si>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</si>
  <si>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</si>
  <si>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</si>
  <si>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</si>
  <si>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</si>
  <si>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</si>
  <si>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</si>
  <si>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</si>
  <si>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</si>
  <si>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</si>
  <si>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</si>
  <si>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</si>
  <si>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</si>
  <si>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</si>
  <si>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</si>
  <si>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</si>
  <si>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</si>
  <si>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</si>
  <si>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</si>
  <si>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</si>
  <si>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</si>
  <si>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</si>
  <si>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</si>
  <si>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</si>
  <si>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</si>
  <si>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</si>
  <si>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</si>
  <si>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</si>
  <si>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</si>
  <si>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</si>
  <si>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</si>
  <si>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</si>
  <si>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</si>
  <si>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</si>
  <si>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</si>
  <si>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</si>
  <si>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</si>
  <si>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</si>
  <si>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</si>
  <si>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</si>
  <si>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</si>
  <si>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</si>
  <si>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</si>
  <si>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</si>
  <si>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</si>
  <si>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</si>
  <si>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</si>
  <si>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</si>
  <si>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</si>
  <si>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</si>
  <si>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</si>
  <si>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</si>
  <si>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</si>
  <si>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</si>
  <si>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</si>
  <si>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</si>
  <si>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</si>
  <si>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</si>
  <si>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</si>
  <si>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</si>
  <si>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</si>
  <si>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</si>
  <si>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</si>
  <si>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</si>
  <si>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</si>
  <si>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</si>
  <si>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</si>
  <si>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</si>
  <si>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</si>
  <si>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</si>
  <si>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</si>
  <si>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</si>
  <si>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</si>
  <si>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</si>
  <si>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</si>
  <si>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</si>
  <si>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</si>
  <si>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</si>
  <si>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</si>
  <si>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</si>
  <si>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</si>
  <si>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</si>
  <si>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</si>
  <si>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</si>
  <si>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</si>
  <si>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</si>
  <si>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</si>
  <si>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</si>
  <si>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</si>
  <si>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</si>
  <si>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</si>
  <si>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</si>
  <si>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</si>
  <si>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</si>
  <si>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</si>
  <si>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</si>
  <si>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</si>
  <si>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</si>
  <si>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</si>
  <si>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</si>
  <si>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</si>
  <si>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</si>
  <si>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</si>
  <si>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</si>
  <si>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</si>
  <si>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</si>
  <si>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</si>
  <si>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</si>
  <si>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</si>
  <si>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</si>
  <si>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</si>
  <si>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</si>
  <si>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</si>
  <si>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</si>
  <si>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</si>
  <si>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</si>
  <si>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</si>
  <si>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</si>
  <si>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</si>
  <si>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</si>
  <si>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</si>
  <si>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</si>
  <si>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</si>
  <si>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</si>
  <si>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</si>
  <si>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</si>
  <si>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</si>
  <si>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</si>
  <si>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</si>
  <si>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</si>
  <si>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</si>
  <si>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</si>
  <si>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</si>
  <si>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</si>
  <si>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</si>
  <si>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</si>
  <si>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</si>
  <si>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</si>
  <si>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</si>
  <si>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</si>
  <si>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</si>
  <si>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</si>
  <si>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</si>
  <si>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</si>
  <si>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</si>
  <si>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</si>
  <si>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</si>
  <si>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</si>
  <si>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</si>
  <si>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</si>
  <si>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</si>
  <si>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</si>
  <si>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</si>
  <si>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</si>
  <si>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</si>
  <si>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</si>
  <si>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</si>
  <si>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</si>
  <si>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</si>
  <si>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</si>
  <si>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</si>
  <si>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</si>
  <si>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</si>
  <si>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</si>
  <si>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</si>
  <si>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</si>
  <si>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</si>
  <si>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</si>
  <si>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</si>
  <si>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</si>
  <si>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</si>
  <si>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</si>
  <si>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</si>
  <si>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</si>
  <si>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</si>
  <si>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</si>
  <si>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</si>
  <si>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</si>
  <si>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</si>
  <si>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</si>
  <si>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</si>
  <si>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</si>
  <si>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</si>
  <si>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</si>
  <si>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</si>
  <si>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</si>
  <si>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</si>
  <si>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</si>
  <si>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</si>
  <si>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</si>
  <si>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</si>
  <si>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</si>
  <si>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</si>
  <si>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</si>
  <si>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</si>
  <si>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</si>
  <si>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</si>
  <si>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</si>
  <si>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</si>
  <si>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</si>
  <si>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</si>
  <si>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</si>
  <si>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</si>
  <si>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</si>
  <si>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</si>
  <si>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</si>
  <si>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</si>
  <si>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</si>
  <si>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</si>
  <si>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</si>
  <si>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</si>
  <si>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</si>
  <si>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</si>
  <si>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</si>
  <si>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</si>
  <si>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</si>
  <si>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</si>
  <si>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</si>
  <si>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</si>
  <si>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</si>
  <si>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</si>
  <si>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</si>
  <si>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</si>
  <si>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</si>
  <si>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</si>
  <si>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</si>
  <si>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</si>
  <si>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</si>
  <si>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</si>
  <si>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</si>
  <si>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</si>
  <si>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</si>
  <si>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</si>
  <si>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</si>
  <si>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</si>
  <si>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</si>
  <si>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</si>
  <si>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</si>
  <si>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</si>
  <si>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</si>
  <si>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</si>
  <si>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</si>
  <si>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</si>
  <si>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</si>
  <si>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</si>
  <si>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</si>
  <si>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</si>
  <si>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</si>
  <si>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</si>
  <si>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</si>
  <si>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</si>
  <si>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</si>
  <si>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</si>
  <si>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</si>
  <si>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</si>
  <si>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</si>
  <si>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</si>
  <si>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</si>
  <si>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</si>
  <si>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</si>
  <si>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</si>
  <si>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</si>
  <si>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</si>
  <si>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</si>
  <si>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</si>
  <si>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</si>
  <si>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</si>
  <si>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</si>
  <si>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</si>
  <si>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</si>
  <si>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</si>
  <si>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</si>
  <si>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</si>
  <si>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</si>
  <si>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</si>
  <si>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</si>
  <si>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</si>
  <si>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</si>
  <si>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</si>
  <si>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</si>
  <si>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</si>
  <si>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</si>
  <si>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</si>
  <si>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</si>
  <si>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</si>
  <si>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</si>
  <si>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</si>
  <si>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</si>
  <si>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</si>
  <si>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</si>
  <si>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</si>
  <si>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</si>
  <si>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</si>
  <si>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</si>
  <si>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</si>
  <si>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</si>
  <si>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</si>
  <si>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</si>
  <si>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</si>
  <si>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</si>
  <si>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</si>
  <si>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</si>
  <si>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</si>
  <si>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</si>
  <si>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</si>
  <si>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</si>
  <si>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</si>
  <si>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</si>
  <si>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</si>
  <si>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</si>
  <si>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</si>
  <si>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</si>
  <si>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</si>
  <si>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</si>
  <si>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</si>
  <si>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</si>
  <si>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</si>
  <si>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</si>
  <si>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</si>
  <si>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</si>
  <si>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</si>
  <si>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</si>
  <si>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</si>
  <si>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</si>
  <si>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</si>
  <si>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</si>
  <si>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</si>
  <si>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</si>
  <si>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</si>
  <si>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</si>
  <si>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</si>
  <si>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</si>
  <si>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</si>
  <si>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</si>
  <si>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</si>
  <si>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</si>
  <si>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</si>
  <si>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</si>
  <si>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</si>
  <si>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</si>
  <si>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</si>
  <si>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</si>
  <si>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</si>
  <si>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</si>
  <si>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</si>
  <si>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</si>
  <si>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</si>
  <si>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</si>
  <si>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</si>
  <si>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</si>
  <si>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</si>
  <si>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</si>
  <si>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</si>
  <si>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</si>
  <si>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</si>
  <si>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</si>
  <si>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</si>
  <si>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</si>
  <si>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</si>
  <si>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</si>
  <si>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</si>
  <si>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</si>
  <si>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</si>
  <si>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</si>
  <si>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</si>
  <si>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</si>
  <si>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</si>
  <si>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</si>
  <si>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</si>
  <si>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</si>
  <si>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</si>
  <si>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</si>
  <si>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</si>
  <si>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</si>
  <si>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</si>
  <si>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</si>
  <si>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</si>
  <si>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</si>
  <si>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</si>
  <si>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</si>
  <si>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</si>
  <si>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</si>
  <si>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</si>
  <si>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</si>
  <si>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</si>
  <si>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</si>
  <si>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</si>
  <si>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</si>
  <si>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</si>
  <si>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</si>
  <si>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</si>
  <si>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</si>
  <si>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</si>
  <si>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</si>
  <si>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</si>
  <si>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</si>
  <si>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</si>
  <si>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</si>
  <si>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</si>
  <si>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</si>
  <si>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</si>
  <si>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</si>
  <si>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</si>
  <si>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</si>
  <si>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</si>
  <si>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</si>
  <si>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</si>
  <si>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</si>
  <si>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</si>
  <si>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</si>
  <si>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</si>
  <si>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</si>
  <si>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</si>
  <si>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</si>
  <si>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</si>
  <si>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</si>
  <si>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</si>
  <si>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</si>
  <si>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</si>
  <si>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</si>
  <si>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</si>
  <si>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</si>
  <si>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</si>
  <si>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</si>
  <si>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</si>
  <si>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</si>
  <si>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</si>
  <si>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</si>
  <si>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</si>
  <si>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</si>
  <si>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</si>
  <si>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</si>
  <si>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</si>
  <si>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</si>
  <si>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</si>
  <si>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</si>
  <si>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</si>
  <si>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</si>
  <si>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</si>
  <si>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</si>
  <si>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</si>
  <si>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</si>
  <si>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</si>
  <si>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</si>
  <si>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</si>
  <si>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</si>
  <si>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</si>
  <si>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</si>
  <si>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</si>
  <si>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</si>
  <si>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</si>
  <si>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</si>
  <si>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</si>
  <si>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</si>
  <si>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</si>
  <si>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</si>
  <si>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</si>
  <si>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</si>
  <si>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</si>
  <si>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</si>
  <si>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</si>
  <si>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</si>
  <si>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</si>
  <si>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</si>
  <si>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</si>
  <si>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</si>
  <si>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</si>
  <si>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</si>
  <si>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</si>
  <si>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</si>
  <si>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</si>
  <si>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</si>
  <si>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</si>
  <si>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</si>
  <si>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</si>
  <si>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</si>
  <si>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</si>
  <si>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</si>
  <si>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</si>
  <si>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</si>
  <si>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</si>
  <si>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</si>
  <si>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</si>
  <si>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</si>
  <si>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</si>
  <si>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</si>
  <si>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</si>
  <si>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</si>
  <si>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</si>
  <si>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</si>
  <si>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</si>
  <si>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</si>
  <si>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</si>
  <si>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</si>
  <si>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</si>
  <si>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</si>
  <si>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</si>
  <si>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</si>
  <si>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</si>
  <si>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</si>
  <si>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</si>
  <si>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</si>
  <si>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</si>
  <si>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</si>
  <si>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</si>
  <si>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</si>
  <si>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</si>
  <si>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</si>
  <si>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</si>
  <si>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</si>
  <si>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</si>
  <si>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</si>
  <si>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</si>
  <si>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</si>
  <si>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</si>
  <si>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</si>
  <si>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</si>
  <si>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</si>
  <si>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</si>
  <si>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</si>
  <si>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</si>
  <si>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</si>
  <si>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</si>
  <si>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</si>
  <si>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</si>
  <si>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</si>
  <si>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</si>
  <si>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</si>
  <si>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</si>
  <si>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</si>
  <si>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</si>
  <si>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</si>
  <si>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</si>
  <si>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</si>
  <si>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</si>
  <si>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</si>
  <si>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</si>
  <si>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</si>
  <si>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</si>
  <si>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</si>
  <si>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</si>
  <si>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</si>
  <si>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</si>
  <si>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</si>
  <si>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</si>
  <si>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</si>
  <si>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</si>
  <si>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</si>
  <si>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</si>
  <si>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</si>
  <si>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</si>
  <si>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</si>
  <si>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</si>
  <si>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</si>
  <si>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</si>
  <si>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</si>
  <si>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</si>
  <si>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</si>
  <si>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</si>
  <si>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</si>
  <si>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</si>
  <si>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</si>
  <si>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</si>
  <si>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</si>
  <si>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</si>
  <si>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</si>
  <si>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</si>
  <si>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</si>
  <si>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</si>
  <si>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</si>
  <si>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</si>
  <si>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</si>
  <si>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</si>
  <si>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</si>
  <si>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</si>
  <si>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</si>
  <si>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</si>
  <si>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</si>
  <si>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</si>
  <si>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</si>
  <si>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</si>
  <si>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</si>
  <si>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</si>
  <si>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</si>
  <si>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</si>
  <si>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</si>
  <si>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</si>
  <si>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</si>
  <si>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</si>
  <si>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</si>
  <si>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</si>
  <si>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</si>
  <si>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</si>
  <si>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</si>
  <si>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</si>
  <si>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</si>
  <si>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</si>
  <si>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</si>
  <si>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</si>
  <si>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</si>
  <si>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</si>
  <si>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</si>
  <si>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</si>
  <si>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</si>
  <si>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</si>
  <si>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</si>
  <si>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</si>
  <si>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</si>
  <si>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</si>
  <si>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</si>
  <si>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</si>
  <si>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</si>
  <si>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</si>
  <si>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</si>
  <si>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</si>
  <si>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</si>
  <si>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</si>
  <si>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</si>
  <si>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</si>
  <si>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</si>
  <si>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</si>
  <si>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</si>
  <si>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</si>
  <si>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</si>
  <si>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</si>
  <si>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</si>
  <si>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</si>
  <si>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</si>
  <si>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</si>
  <si>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</si>
  <si>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</si>
  <si>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</si>
  <si>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</si>
  <si>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</si>
  <si>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</si>
  <si>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</si>
  <si>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</si>
  <si>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</si>
  <si>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</si>
  <si>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</si>
  <si>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</si>
  <si>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</si>
  <si>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</si>
  <si>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</si>
  <si>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</si>
  <si>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</si>
  <si>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</si>
  <si>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</si>
  <si>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</si>
  <si>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</si>
  <si>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</si>
  <si>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</si>
  <si>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</si>
  <si>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</si>
  <si>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</si>
  <si>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</si>
  <si>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</si>
  <si>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</si>
  <si>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</si>
  <si>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</si>
  <si>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</si>
  <si>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</si>
  <si>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</si>
  <si>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</si>
  <si>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</si>
  <si>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</si>
  <si>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</si>
  <si>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</si>
  <si>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</si>
  <si>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</si>
  <si>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</si>
  <si>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</si>
  <si>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</si>
  <si>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</si>
  <si>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</si>
  <si>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</si>
  <si>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</si>
  <si>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</si>
  <si>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</si>
  <si>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</si>
  <si>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</si>
  <si>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</si>
  <si>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</si>
  <si>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</si>
  <si>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</si>
  <si>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</si>
  <si>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</si>
  <si>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</si>
  <si>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</si>
  <si>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</si>
  <si>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</si>
  <si>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</si>
  <si>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</si>
  <si>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</si>
  <si>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</si>
  <si>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</si>
  <si>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</si>
  <si>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</si>
  <si>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</si>
  <si>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</si>
  <si>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</si>
  <si>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</si>
  <si>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</si>
  <si>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</si>
  <si>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</si>
  <si>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</si>
  <si>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</si>
  <si>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</si>
  <si>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</si>
  <si>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</si>
  <si>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</si>
  <si>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</si>
  <si>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</si>
  <si>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</si>
  <si>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</si>
  <si>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</si>
  <si>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</si>
  <si>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</si>
  <si>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</si>
  <si>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</si>
  <si>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</si>
  <si>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</si>
  <si>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</si>
  <si>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</si>
  <si>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</si>
  <si>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</si>
  <si>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</si>
  <si>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</si>
  <si>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</si>
  <si>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</si>
  <si>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</si>
  <si>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</si>
  <si>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</si>
  <si>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</si>
  <si>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</si>
  <si>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</si>
  <si>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</si>
  <si>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</si>
  <si>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</si>
  <si>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</si>
  <si>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</si>
  <si>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</si>
  <si>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</si>
  <si>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</si>
  <si>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</si>
  <si>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</si>
  <si>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</si>
  <si>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</si>
  <si>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</si>
  <si>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</si>
  <si>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</si>
  <si>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</si>
  <si>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</si>
  <si>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</si>
  <si>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</si>
  <si>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</si>
  <si>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</si>
  <si>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</si>
  <si>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</si>
  <si>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</si>
  <si>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</si>
  <si>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</si>
  <si>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</si>
  <si>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</si>
  <si>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</si>
  <si>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</si>
  <si>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</si>
  <si>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</si>
  <si>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</si>
  <si>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</si>
  <si>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</si>
  <si>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</si>
  <si>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</si>
  <si>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</si>
  <si>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</si>
  <si>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</si>
  <si>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</si>
  <si>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</si>
  <si>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</si>
  <si>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</si>
  <si>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</si>
  <si>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</si>
  <si>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</si>
  <si>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</si>
  <si>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</si>
  <si>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</si>
  <si>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</si>
  <si>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</si>
  <si>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</si>
  <si>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</si>
  <si>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</si>
  <si>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</si>
  <si>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</si>
  <si>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</si>
  <si>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</si>
  <si>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</si>
  <si>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</si>
  <si>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</si>
  <si>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</si>
  <si>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</si>
  <si>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</si>
  <si>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</si>
  <si>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</si>
  <si>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</si>
  <si>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</si>
  <si>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</si>
  <si>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</si>
  <si>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</si>
  <si>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</si>
  <si>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</si>
  <si>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</si>
  <si>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</si>
  <si>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</si>
  <si>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</si>
  <si>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</si>
  <si>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</si>
  <si>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</si>
  <si>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</si>
  <si>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</si>
  <si>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</si>
  <si>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</si>
  <si>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</si>
  <si>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</si>
  <si>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</si>
  <si>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</si>
  <si>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</si>
  <si>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</si>
  <si>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</si>
  <si>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</si>
  <si>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</si>
  <si>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</si>
  <si>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</si>
  <si>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</si>
  <si>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</si>
  <si>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</si>
  <si>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</si>
  <si>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</si>
  <si>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</si>
  <si>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</si>
  <si>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</si>
  <si>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</si>
  <si>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</si>
  <si>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</si>
  <si>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</si>
  <si>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</si>
  <si>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</si>
  <si>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</si>
  <si>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</si>
  <si>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</si>
  <si>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</si>
  <si>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</si>
  <si>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</si>
  <si>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</si>
  <si>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</si>
  <si>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</si>
  <si>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</si>
  <si>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</si>
  <si>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</si>
  <si>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</si>
  <si>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</si>
  <si>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</si>
  <si>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</si>
  <si>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</si>
  <si>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</si>
  <si>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</si>
  <si>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</si>
  <si>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</si>
  <si>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</si>
  <si>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</si>
  <si>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</si>
  <si>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</si>
  <si>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</si>
  <si>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</si>
  <si>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</si>
  <si>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</si>
  <si>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</si>
  <si>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</si>
  <si>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</si>
  <si>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</si>
  <si>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</si>
  <si>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</si>
  <si>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</si>
  <si>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</si>
  <si>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</si>
  <si>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</si>
  <si>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</si>
  <si>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</si>
  <si>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</si>
  <si>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</si>
  <si>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</si>
  <si>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</si>
  <si>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</si>
  <si>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</si>
  <si>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</si>
  <si>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</si>
  <si>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</si>
  <si>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</si>
  <si>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</si>
  <si>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</si>
  <si>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</si>
  <si>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</si>
  <si>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</si>
  <si>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</si>
  <si>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</si>
  <si>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</si>
  <si>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</si>
  <si>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</si>
  <si>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</si>
  <si>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</si>
  <si>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</si>
  <si>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</si>
  <si>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</si>
  <si>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</si>
  <si>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</si>
  <si>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</si>
  <si>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</si>
  <si>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</si>
  <si>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</si>
  <si>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</si>
  <si>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</si>
  <si>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</si>
  <si>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</si>
  <si>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</si>
  <si>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</si>
  <si>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</si>
  <si>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</si>
  <si>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</si>
  <si>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</si>
  <si>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</si>
  <si>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</si>
  <si>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</si>
  <si>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</si>
  <si>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</si>
  <si>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</si>
  <si>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</si>
  <si>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</si>
  <si>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</si>
  <si>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</si>
  <si>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</si>
  <si>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</si>
  <si>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</si>
  <si>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</si>
  <si>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</si>
  <si>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</si>
  <si>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</si>
  <si>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</si>
  <si>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</si>
  <si>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</si>
  <si>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</si>
  <si>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</si>
  <si>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</si>
  <si>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</si>
  <si>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</si>
  <si>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</si>
  <si>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</si>
  <si>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</si>
  <si>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</si>
  <si>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</si>
  <si>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</si>
  <si>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</si>
  <si>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</si>
  <si>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</si>
  <si>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</si>
  <si>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</si>
  <si>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</si>
  <si>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</si>
  <si>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</si>
  <si>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</si>
  <si>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</si>
  <si>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</si>
  <si>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</si>
  <si>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</si>
  <si>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</si>
  <si>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</si>
  <si>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</si>
  <si>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</si>
  <si>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</si>
  <si>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</si>
  <si>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</si>
  <si>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</si>
  <si>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</si>
  <si>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</si>
  <si>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</si>
  <si>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</si>
  <si>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</si>
  <si>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</si>
  <si>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</si>
  <si>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</si>
  <si>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</si>
  <si>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</si>
  <si>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</si>
  <si>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</si>
  <si>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</si>
  <si>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</si>
  <si>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</si>
  <si>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</si>
  <si>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</si>
  <si>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</si>
  <si>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</si>
  <si>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</si>
  <si>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</si>
  <si>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</si>
  <si>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</si>
  <si>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</si>
  <si>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</si>
  <si>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</si>
  <si>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</si>
  <si>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</si>
  <si>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</si>
  <si>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</si>
  <si>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</si>
  <si>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</si>
  <si>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</si>
  <si>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</si>
  <si>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</si>
  <si>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</si>
  <si>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</si>
  <si>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</si>
  <si>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</si>
  <si>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</si>
  <si>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</si>
  <si>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</si>
  <si>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</si>
  <si>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</si>
  <si>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</si>
  <si>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</si>
  <si>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</si>
  <si>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</si>
  <si>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</si>
  <si>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</si>
  <si>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</si>
  <si>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</si>
  <si>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</si>
  <si>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</si>
  <si>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</si>
  <si>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</si>
  <si>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</si>
  <si>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</si>
  <si>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</si>
  <si>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</si>
  <si>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</si>
  <si>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</si>
  <si>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</si>
  <si>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</si>
  <si>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</si>
  <si>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</si>
  <si>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</si>
  <si>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</si>
  <si>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</si>
  <si>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</si>
  <si>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</si>
  <si>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</si>
  <si>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</si>
  <si>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</si>
  <si>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</si>
  <si>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</si>
  <si>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</si>
  <si>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</si>
  <si>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</si>
  <si>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</si>
  <si>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</si>
  <si>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</si>
  <si>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</si>
  <si>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</si>
  <si>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</si>
  <si>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</si>
  <si>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</si>
  <si>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</si>
  <si>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</si>
  <si>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</si>
  <si>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</si>
  <si>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</si>
  <si>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</si>
  <si>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</si>
  <si>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</si>
  <si>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</si>
  <si>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</si>
  <si>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</si>
  <si>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</si>
  <si>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</si>
  <si>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</si>
  <si>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</si>
  <si>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</si>
  <si>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</si>
  <si>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</si>
  <si>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</si>
  <si>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</si>
  <si>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</si>
  <si>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</si>
  <si>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</si>
  <si>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</si>
  <si>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</si>
  <si>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</si>
  <si>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</si>
  <si>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</si>
  <si>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</si>
  <si>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</si>
  <si>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</si>
  <si>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</si>
  <si>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</si>
  <si>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</si>
  <si>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</si>
  <si>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</si>
  <si>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</si>
  <si>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</si>
  <si>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</si>
  <si>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</si>
  <si>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</si>
  <si>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</si>
  <si>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</si>
  <si>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</si>
  <si>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</si>
  <si>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</si>
  <si>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</si>
  <si>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</si>
  <si>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</si>
  <si>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</si>
  <si>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</si>
  <si>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</si>
  <si>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</si>
  <si>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</si>
  <si>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</si>
  <si>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</si>
  <si>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</si>
  <si>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</si>
  <si>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</si>
  <si>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</si>
  <si>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</si>
  <si>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</si>
  <si>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</si>
  <si>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</si>
  <si>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</si>
  <si>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</si>
  <si>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</si>
  <si>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</si>
  <si>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</si>
  <si>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</si>
  <si>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</si>
  <si>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</si>
  <si>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</si>
  <si>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</si>
  <si>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</si>
  <si>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</si>
  <si>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</si>
  <si>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</si>
  <si>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</si>
  <si>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</si>
  <si>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</si>
  <si>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</si>
  <si>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</si>
  <si>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</si>
  <si>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</si>
  <si>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</si>
  <si>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</si>
  <si>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</si>
  <si>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</si>
  <si>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</si>
  <si>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</si>
  <si>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</si>
  <si>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</si>
  <si>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</si>
  <si>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</si>
  <si>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</si>
  <si>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</si>
  <si>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</si>
  <si>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</si>
  <si>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</si>
  <si>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</si>
  <si>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</si>
  <si>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</si>
  <si>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</si>
  <si>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</si>
  <si>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</si>
  <si>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</si>
  <si>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</si>
  <si>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</si>
  <si>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</si>
  <si>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</si>
  <si>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</si>
  <si>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</si>
  <si>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</si>
  <si>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</si>
  <si>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</si>
  <si>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</si>
  <si>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</si>
  <si>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</si>
  <si>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</si>
  <si>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</si>
  <si>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</si>
  <si>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</si>
  <si>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</si>
  <si>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</si>
  <si>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</si>
  <si>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</si>
  <si>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</si>
  <si>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</si>
  <si>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</si>
  <si>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</si>
  <si>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</si>
  <si>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</si>
  <si>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</si>
  <si>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</si>
  <si>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</si>
  <si>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</si>
  <si>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</si>
  <si>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</si>
  <si>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</si>
  <si>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</si>
  <si>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</si>
  <si>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</si>
  <si>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</si>
  <si>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</si>
  <si>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</si>
  <si>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</si>
  <si>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</si>
  <si>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</si>
  <si>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</si>
  <si>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</si>
  <si>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</si>
  <si>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</si>
  <si>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</si>
  <si>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</si>
  <si>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</si>
  <si>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</si>
  <si>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</si>
  <si>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</si>
  <si>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</si>
  <si>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</si>
  <si>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</si>
  <si>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</si>
  <si>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</si>
  <si>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</si>
  <si>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</si>
  <si>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</si>
  <si>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</si>
  <si>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</si>
  <si>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</si>
  <si>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</si>
  <si>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</si>
  <si>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</si>
  <si>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</si>
  <si>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</si>
  <si>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</si>
  <si>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</si>
  <si>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</si>
  <si>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</si>
  <si>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</si>
  <si>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</si>
  <si>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</si>
  <si>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</si>
  <si>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</si>
  <si>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</si>
  <si>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</si>
  <si>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</si>
  <si>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</si>
  <si>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</si>
  <si>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</si>
  <si>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</si>
  <si>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</si>
  <si>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</si>
  <si>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</si>
  <si>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</si>
  <si>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</si>
  <si>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</si>
  <si>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</si>
  <si>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</si>
  <si>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</si>
  <si>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</si>
  <si>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</si>
  <si>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</si>
  <si>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</si>
  <si>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</si>
  <si>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</si>
  <si>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</si>
  <si>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</si>
  <si>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</si>
  <si>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</si>
  <si>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</si>
  <si>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</si>
  <si>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</si>
  <si>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</si>
  <si>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</si>
  <si>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</si>
  <si>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</si>
  <si>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</si>
  <si>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</si>
  <si>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</si>
  <si>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</si>
  <si>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</si>
  <si>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</si>
  <si>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</si>
  <si>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</si>
  <si>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</si>
  <si>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</si>
  <si>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</si>
  <si>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</si>
  <si>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</si>
  <si>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</si>
  <si>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</si>
  <si>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</si>
  <si>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</si>
  <si>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</si>
  <si>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</si>
  <si>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</si>
  <si>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</si>
  <si>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</si>
  <si>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</si>
  <si>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</si>
  <si>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</si>
  <si>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</si>
  <si>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</si>
  <si>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</si>
  <si>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</si>
  <si>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</si>
  <si>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</si>
  <si>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</si>
  <si>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</si>
  <si>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</si>
  <si>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</si>
  <si>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</si>
  <si>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</si>
  <si>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</si>
  <si>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</si>
  <si>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</si>
  <si>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</si>
  <si>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</si>
  <si>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</si>
  <si>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</si>
  <si>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</si>
  <si>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</si>
  <si>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</si>
  <si>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</si>
  <si>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</si>
  <si>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</si>
  <si>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</si>
  <si>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</si>
  <si>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</si>
  <si>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</si>
  <si>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</si>
  <si>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</si>
  <si>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</si>
  <si>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</si>
  <si>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</si>
  <si>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</si>
  <si>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</si>
  <si>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</si>
  <si>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</si>
  <si>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</si>
  <si>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</si>
  <si>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</si>
  <si>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</si>
  <si>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</si>
  <si>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</si>
  <si>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</si>
  <si>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</si>
  <si>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</si>
  <si>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</si>
  <si>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</si>
  <si>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</si>
  <si>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</si>
  <si>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</si>
  <si>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</si>
  <si>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</si>
  <si>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</si>
  <si>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</si>
  <si>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</si>
  <si>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</si>
  <si>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</si>
  <si>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</si>
  <si>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</si>
  <si>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</si>
  <si>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</si>
  <si>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</si>
  <si>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</si>
  <si>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</si>
  <si>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</si>
  <si>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</si>
  <si>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</si>
  <si>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</si>
  <si>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</si>
  <si>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</si>
  <si>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</si>
  <si>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</si>
  <si>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</si>
  <si>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</si>
  <si>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</si>
  <si>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</si>
  <si>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</si>
  <si>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</si>
  <si>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</si>
  <si>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</si>
  <si>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</si>
  <si>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</si>
  <si>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</si>
  <si>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</si>
  <si>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</si>
  <si>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</si>
  <si>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</si>
  <si>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</si>
  <si>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</si>
  <si>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</si>
  <si>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</si>
  <si>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</si>
  <si>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</si>
  <si>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</si>
  <si>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</si>
  <si>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</si>
  <si>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</si>
  <si>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</si>
  <si>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</si>
  <si>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</si>
  <si>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</si>
  <si>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</si>
  <si>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</si>
  <si>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</si>
  <si>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</si>
  <si>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</si>
  <si>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</si>
  <si>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</si>
  <si>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</si>
  <si>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</si>
  <si>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</si>
  <si>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</si>
  <si>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</si>
  <si>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</si>
  <si>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</si>
  <si>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</si>
  <si>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</si>
  <si>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</si>
  <si>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</si>
  <si>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</si>
  <si>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</si>
  <si>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</si>
  <si>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</si>
  <si>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</si>
  <si>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</si>
  <si>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</si>
  <si>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</si>
  <si>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</si>
  <si>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</si>
  <si>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</si>
  <si>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</si>
  <si>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</si>
  <si>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</si>
  <si>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</si>
  <si>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</si>
  <si>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</si>
  <si>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</si>
  <si>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</si>
  <si>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</si>
  <si>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</si>
  <si>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</si>
  <si>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</si>
  <si>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</si>
  <si>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</si>
  <si>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</si>
  <si>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</si>
  <si>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</si>
  <si>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</si>
  <si>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</si>
  <si>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</si>
  <si>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</si>
  <si>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</si>
  <si>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</si>
  <si>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</si>
  <si>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</si>
  <si>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</si>
  <si>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</si>
  <si>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</si>
  <si>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</si>
  <si>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</si>
  <si>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</si>
  <si>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</si>
  <si>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</si>
  <si>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</si>
  <si>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</si>
  <si>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</si>
  <si>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</si>
  <si>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</si>
  <si>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</si>
  <si>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</si>
  <si>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</si>
  <si>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</si>
  <si>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</si>
  <si>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</si>
  <si>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</si>
  <si>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</si>
  <si>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</si>
  <si>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</si>
  <si>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</si>
  <si>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</si>
  <si>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</si>
  <si>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</si>
  <si>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</si>
  <si>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</si>
  <si>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</si>
  <si>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</si>
  <si>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</si>
  <si>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</si>
  <si>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</si>
  <si>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</si>
  <si>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</si>
  <si>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</si>
  <si>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</si>
  <si>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</si>
  <si>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</si>
  <si>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</si>
  <si>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</si>
  <si>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</si>
  <si>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</si>
  <si>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</si>
  <si>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</si>
  <si>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</si>
  <si>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</si>
  <si>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</si>
  <si>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</si>
  <si>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</si>
  <si>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</si>
  <si>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</si>
  <si>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</si>
  <si>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</si>
  <si>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</si>
  <si>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</si>
  <si>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</si>
  <si>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</si>
  <si>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</si>
  <si>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</si>
  <si>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</si>
  <si>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</si>
  <si>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</si>
  <si>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</si>
  <si>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</si>
  <si>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</si>
  <si>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</si>
  <si>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</si>
  <si>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</si>
  <si>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</si>
  <si>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</si>
  <si>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</si>
  <si>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</si>
  <si>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</si>
  <si>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</si>
  <si>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</si>
  <si>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</si>
  <si>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</si>
  <si>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</si>
  <si>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</si>
  <si>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</si>
  <si>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</si>
  <si>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</si>
  <si>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</si>
  <si>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</si>
  <si>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</si>
  <si>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</si>
  <si>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</si>
  <si>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</si>
  <si>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</si>
  <si>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</si>
  <si>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</si>
  <si>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</si>
  <si>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</si>
  <si>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</si>
  <si>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</si>
  <si>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</si>
  <si>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</si>
  <si>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</si>
  <si>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</si>
  <si>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</si>
  <si>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</si>
  <si>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</si>
  <si>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</si>
  <si>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</si>
  <si>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</si>
  <si>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</si>
  <si>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</si>
  <si>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</si>
  <si>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</si>
  <si>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</si>
  <si>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</si>
  <si>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</si>
  <si>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</si>
  <si>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</si>
  <si>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</si>
  <si>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</si>
  <si>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</si>
  <si>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</si>
  <si>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</si>
  <si>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</si>
  <si>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</si>
  <si>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</si>
  <si>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</si>
  <si>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</si>
  <si>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</si>
  <si>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</si>
  <si>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</si>
  <si>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</si>
  <si>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</si>
  <si>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</si>
  <si>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</si>
  <si>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</si>
  <si>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</si>
  <si>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</si>
  <si>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</si>
  <si>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</si>
  <si>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</si>
  <si>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</si>
  <si>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</si>
  <si>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</si>
  <si>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</si>
  <si>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</si>
  <si>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</si>
  <si>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</si>
  <si>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</si>
  <si>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</si>
  <si>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</si>
  <si>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</si>
  <si>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</si>
  <si>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</si>
  <si>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</si>
  <si>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</si>
  <si>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</si>
  <si>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</si>
  <si>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</si>
  <si>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</si>
  <si>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</si>
  <si>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</si>
  <si>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</si>
  <si>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</si>
  <si>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</si>
  <si>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</si>
  <si>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</si>
  <si>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</si>
  <si>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</si>
  <si>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</si>
  <si>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</si>
  <si>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</si>
  <si>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</si>
  <si>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</si>
  <si>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</si>
  <si>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</si>
  <si>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</si>
  <si>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</si>
  <si>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</si>
  <si>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</si>
  <si>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</si>
  <si>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</si>
  <si>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</si>
  <si>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</si>
  <si>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</si>
  <si>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</si>
  <si>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</si>
  <si>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</si>
  <si>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</si>
  <si>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</si>
  <si>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</si>
  <si>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</si>
  <si>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</si>
  <si>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</si>
  <si>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</si>
  <si>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</si>
  <si>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</si>
  <si>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</si>
  <si>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</si>
  <si>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</si>
  <si>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</si>
  <si>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</si>
  <si>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</si>
  <si>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</si>
  <si>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</si>
  <si>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</si>
  <si>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</si>
  <si>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</si>
  <si>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</si>
  <si>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</si>
  <si>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</si>
  <si>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</si>
  <si>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</si>
  <si>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</si>
  <si>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</si>
  <si>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</si>
  <si>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</si>
  <si>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</si>
  <si>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</si>
  <si>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</si>
  <si>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</si>
  <si>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</si>
  <si>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</si>
  <si>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</si>
  <si>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</si>
  <si>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</si>
  <si>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</si>
  <si>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</si>
  <si>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</si>
  <si>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</si>
  <si>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</si>
  <si>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</si>
  <si>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</si>
  <si>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</si>
  <si>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</si>
  <si>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</si>
  <si>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</si>
  <si>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</si>
  <si>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</si>
  <si>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</si>
  <si>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</si>
  <si>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</si>
  <si>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</si>
  <si>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</si>
  <si>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</si>
  <si>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</si>
  <si>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</si>
  <si>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</si>
  <si>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</si>
  <si>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</si>
  <si>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</si>
  <si>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</si>
  <si>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</si>
  <si>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</si>
  <si>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</si>
  <si>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</si>
  <si>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</si>
  <si>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</si>
  <si>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</si>
  <si>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</si>
  <si>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</si>
  <si>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</si>
  <si>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</si>
  <si>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</si>
  <si>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</si>
  <si>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</si>
  <si>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</si>
  <si>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</si>
  <si>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</si>
  <si>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</si>
  <si>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</si>
  <si>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</si>
  <si>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</si>
  <si>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</si>
  <si>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</si>
  <si>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</si>
  <si>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</si>
  <si>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</si>
  <si>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</si>
  <si>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</si>
  <si>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</si>
  <si>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</si>
  <si>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</si>
  <si>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</si>
  <si>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</si>
  <si>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</si>
  <si>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</si>
  <si>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</si>
  <si>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</si>
  <si>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</si>
  <si>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</si>
  <si>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</si>
  <si>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</si>
  <si>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</si>
  <si>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</si>
  <si>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</si>
  <si>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</si>
  <si>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</si>
  <si>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</si>
  <si>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</si>
  <si>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</si>
  <si>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</si>
  <si>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</si>
  <si>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</si>
  <si>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</si>
  <si>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</si>
  <si>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</si>
  <si>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</si>
  <si>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</si>
  <si>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</si>
  <si>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</si>
  <si>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</si>
  <si>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</si>
  <si>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</si>
  <si>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</si>
  <si>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</si>
  <si>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</si>
  <si>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</si>
  <si>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</si>
  <si>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</si>
  <si>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</si>
  <si>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</si>
  <si>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</si>
  <si>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</si>
  <si>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</si>
  <si>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</si>
  <si>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</si>
  <si>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</si>
  <si>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</si>
  <si>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</si>
  <si>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</si>
  <si>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</si>
  <si>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</si>
  <si>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</si>
  <si>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</si>
  <si>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</si>
  <si>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</si>
  <si>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</si>
  <si>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</si>
  <si>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</si>
  <si>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</si>
  <si>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</si>
  <si>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</si>
  <si>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</si>
  <si>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</si>
  <si>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</si>
  <si>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</si>
  <si>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</si>
  <si>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</si>
  <si>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</si>
  <si>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</si>
  <si>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</si>
  <si>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</si>
  <si>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</si>
  <si>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</si>
  <si>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</si>
  <si>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</si>
  <si>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</si>
  <si>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</si>
  <si>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</si>
  <si>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</si>
  <si>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</si>
  <si>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</si>
  <si>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</si>
  <si>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</si>
  <si>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</si>
  <si>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</si>
  <si>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</si>
  <si>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</si>
  <si>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</si>
  <si>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</si>
  <si>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</si>
  <si>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</si>
  <si>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</si>
  <si>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</si>
  <si>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</si>
  <si>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</si>
  <si>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</si>
  <si>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</si>
  <si>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</si>
  <si>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</si>
  <si>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</si>
  <si>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</si>
  <si>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</si>
  <si>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</si>
  <si>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</si>
  <si>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</si>
  <si>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</si>
  <si>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</si>
  <si>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</si>
  <si>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</si>
  <si>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</si>
  <si>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</si>
  <si>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</si>
  <si>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</si>
  <si>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</si>
  <si>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</si>
  <si>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</si>
  <si>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</si>
  <si>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</si>
  <si>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</si>
  <si>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</si>
  <si>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</si>
  <si>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</si>
  <si>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</si>
  <si>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</si>
  <si>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</si>
  <si>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</si>
  <si>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</si>
  <si>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</si>
  <si>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</si>
  <si>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</si>
  <si>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</si>
  <si>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</si>
  <si>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</si>
  <si>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</si>
  <si>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</si>
  <si>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</si>
  <si>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</si>
  <si>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</si>
  <si>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</si>
  <si>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</si>
  <si>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</si>
  <si>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</si>
  <si>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</si>
  <si>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</si>
  <si>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</si>
  <si>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</si>
  <si>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</si>
  <si>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</si>
  <si>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</si>
  <si>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</si>
  <si>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</si>
  <si>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</si>
  <si>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</si>
  <si>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</si>
  <si>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</si>
  <si>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</si>
  <si>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</si>
  <si>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</si>
  <si>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</si>
  <si>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</si>
  <si>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</si>
  <si>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</si>
  <si>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</si>
  <si>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</si>
  <si>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</si>
  <si>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</si>
  <si>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</si>
  <si>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</si>
  <si>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</si>
  <si>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</si>
  <si>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</si>
  <si>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</si>
  <si>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</si>
  <si>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</si>
  <si>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</si>
  <si>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</si>
  <si>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</si>
  <si>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</si>
  <si>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</si>
  <si>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</si>
  <si>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</si>
  <si>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</si>
  <si>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</si>
  <si>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</si>
  <si>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</si>
  <si>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</si>
  <si>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</si>
  <si>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</si>
  <si>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</si>
  <si>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</si>
  <si>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</si>
  <si>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</si>
  <si>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</si>
  <si>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</si>
  <si>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</si>
  <si>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</si>
  <si>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</si>
  <si>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</si>
  <si>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</si>
  <si>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</si>
  <si>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</si>
  <si>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</si>
  <si>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</si>
  <si>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</si>
  <si>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</si>
  <si>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</si>
  <si>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</si>
  <si>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</si>
  <si>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</si>
  <si>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</si>
  <si>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</si>
  <si>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</si>
  <si>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</si>
  <si>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</si>
  <si>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</si>
  <si>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</si>
  <si>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</si>
  <si>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</si>
  <si>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</si>
  <si>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</si>
  <si>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</si>
  <si>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</si>
  <si>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</si>
  <si>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</si>
  <si>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</si>
  <si>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</si>
  <si>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</si>
  <si>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</si>
  <si>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</si>
  <si>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</si>
  <si>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</si>
  <si>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</si>
  <si>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</si>
  <si>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</si>
  <si>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</si>
  <si>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</si>
  <si>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</si>
  <si>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</si>
  <si>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</si>
  <si>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</si>
  <si>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</si>
  <si>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</si>
  <si>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</si>
  <si>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</si>
  <si>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</si>
  <si>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</si>
  <si>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</si>
  <si>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</si>
  <si>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</si>
  <si>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</si>
  <si>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</si>
  <si>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</si>
  <si>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</si>
  <si>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</si>
  <si>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</si>
  <si>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</si>
  <si>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</si>
  <si>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</si>
  <si>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</si>
  <si>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</si>
  <si>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</si>
  <si>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</si>
  <si>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</si>
  <si>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</si>
  <si>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</si>
  <si>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</si>
  <si>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</si>
  <si>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</si>
  <si>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</si>
  <si>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</si>
  <si>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</si>
  <si>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</si>
  <si>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</si>
  <si>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</si>
  <si>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</si>
  <si>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</si>
  <si>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</si>
  <si>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</si>
  <si>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</si>
  <si>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</si>
  <si>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</si>
  <si>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</si>
  <si>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</si>
  <si>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</si>
  <si>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</si>
  <si>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</si>
  <si>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</si>
  <si>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</si>
  <si>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</si>
  <si>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</si>
  <si>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</si>
  <si>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</si>
  <si>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</si>
  <si>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</si>
  <si>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</si>
  <si>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</si>
  <si>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</si>
  <si>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</si>
  <si>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</si>
  <si>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</si>
  <si>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</si>
  <si>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</si>
  <si>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</si>
  <si>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</si>
  <si>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</si>
  <si>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</si>
  <si>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</si>
  <si>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</si>
  <si>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</si>
  <si>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</si>
  <si>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</si>
  <si>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</si>
  <si>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</si>
  <si>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</si>
  <si>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</si>
  <si>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</si>
  <si>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</si>
  <si>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</si>
  <si>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</si>
  <si>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</si>
  <si>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</si>
  <si>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</si>
  <si>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</si>
  <si>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</si>
  <si>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</si>
  <si>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</si>
  <si>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</si>
  <si>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</si>
  <si>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</si>
  <si>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</si>
  <si>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</si>
  <si>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</si>
  <si>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</si>
  <si>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</si>
  <si>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</si>
  <si>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</si>
  <si>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</si>
  <si>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</si>
  <si>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</si>
  <si>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</si>
  <si>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</si>
  <si>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</si>
  <si>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</si>
  <si>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</si>
  <si>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</si>
  <si>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</si>
  <si>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</si>
  <si>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</si>
  <si>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</si>
  <si>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</si>
  <si>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</si>
  <si>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</si>
  <si>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</si>
  <si>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</si>
  <si>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</si>
  <si>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</si>
  <si>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</si>
  <si>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</si>
  <si>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</si>
  <si>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</si>
  <si>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</si>
  <si>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</si>
  <si>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</si>
  <si>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</si>
  <si>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</si>
  <si>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</si>
  <si>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</si>
  <si>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</si>
  <si>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</si>
  <si>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</si>
  <si>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</si>
  <si>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</si>
  <si>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</si>
  <si>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</si>
  <si>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</si>
  <si>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</si>
  <si>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</si>
  <si>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</si>
  <si>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</si>
  <si>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</si>
  <si>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</si>
  <si>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</si>
  <si>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</si>
  <si>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</si>
  <si>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</si>
  <si>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</si>
  <si>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</si>
  <si>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</si>
  <si>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</si>
  <si>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</si>
  <si>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</si>
  <si>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</si>
  <si>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</si>
  <si>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</si>
  <si>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</si>
  <si>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</si>
  <si>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</si>
  <si>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</si>
  <si>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</si>
  <si>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</si>
  <si>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</si>
  <si>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</si>
  <si>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</si>
  <si>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</si>
  <si>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</si>
  <si>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</si>
  <si>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</si>
  <si>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</si>
  <si>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</si>
  <si>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</si>
  <si>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</si>
  <si>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</si>
  <si>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</si>
  <si>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</si>
  <si>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</si>
  <si>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</si>
  <si>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</si>
  <si>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</si>
  <si>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</si>
  <si>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</si>
  <si>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</si>
  <si>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</si>
  <si>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</si>
  <si>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</si>
  <si>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</si>
  <si>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</si>
  <si>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</si>
  <si>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</si>
  <si>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</si>
  <si>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</si>
  <si>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</si>
  <si>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</si>
  <si>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</si>
  <si>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</si>
  <si>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</si>
  <si>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</si>
  <si>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</si>
  <si>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</si>
  <si>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</si>
  <si>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</si>
  <si>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</si>
  <si>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</si>
  <si>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</si>
  <si>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</si>
  <si>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</si>
  <si>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</si>
  <si>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</si>
  <si>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</si>
  <si>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</si>
  <si>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</si>
  <si>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</si>
  <si>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</si>
  <si>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</si>
  <si>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</si>
  <si>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</si>
  <si>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</si>
  <si>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</si>
  <si>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</si>
  <si>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</si>
  <si>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</si>
  <si>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</si>
  <si>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</si>
  <si>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</si>
  <si>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</si>
  <si>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</si>
  <si>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</si>
  <si>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</si>
  <si>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</si>
  <si>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</si>
  <si>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</si>
  <si>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</si>
  <si>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</si>
  <si>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</si>
  <si>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</si>
  <si>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</si>
  <si>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</si>
  <si>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</si>
  <si>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</si>
  <si>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</si>
  <si>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</si>
  <si>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</si>
  <si>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</si>
  <si>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</si>
  <si>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</si>
  <si>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</si>
  <si>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</si>
  <si>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</si>
  <si>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</si>
  <si>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</si>
  <si>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</si>
  <si>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</si>
  <si>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</si>
  <si>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</si>
  <si>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</si>
  <si>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</si>
  <si>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</si>
  <si>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</si>
  <si>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</si>
  <si>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</si>
  <si>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</si>
  <si>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</si>
  <si>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</si>
  <si>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</si>
  <si>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</si>
  <si>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</si>
  <si>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</si>
  <si>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</si>
  <si>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</si>
  <si>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</si>
  <si>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</si>
  <si>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</si>
  <si>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</si>
  <si>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</si>
  <si>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</si>
  <si>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</si>
  <si>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</si>
  <si>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</si>
  <si>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</si>
  <si>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</si>
  <si>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</si>
  <si>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</si>
  <si>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</si>
  <si>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</si>
  <si>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</si>
  <si>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</si>
  <si>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</si>
  <si>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</si>
  <si>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</si>
  <si>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</si>
  <si>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</si>
  <si>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</si>
  <si>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</si>
  <si>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</si>
  <si>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</si>
  <si>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</si>
  <si>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</si>
  <si>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</si>
  <si>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</si>
  <si>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</si>
  <si>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</si>
  <si>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</si>
  <si>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</si>
  <si>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</si>
  <si>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</si>
  <si>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</si>
  <si>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</si>
  <si>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</si>
  <si>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</si>
  <si>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</si>
  <si>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</si>
  <si>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</si>
  <si>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</si>
  <si>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</si>
  <si>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</si>
  <si>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</si>
  <si>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</si>
  <si>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</si>
  <si>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</si>
  <si>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</si>
  <si>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</si>
  <si>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</si>
  <si>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</si>
  <si>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</si>
  <si>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</si>
  <si>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</si>
  <si>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</si>
  <si>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</si>
  <si>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</si>
  <si>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</si>
  <si>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</si>
  <si>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</si>
  <si>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</si>
  <si>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</si>
  <si>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</si>
  <si>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</si>
  <si>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</si>
  <si>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</si>
  <si>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</si>
  <si>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</si>
  <si>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</si>
  <si>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</si>
  <si>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</si>
  <si>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</si>
  <si>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</si>
  <si>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</si>
  <si>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</si>
  <si>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</si>
  <si>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</si>
  <si>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</si>
  <si>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</si>
  <si>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</si>
  <si>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</si>
  <si>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</si>
  <si>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</si>
  <si>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</si>
  <si>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</si>
  <si>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</si>
  <si>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</si>
  <si>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</si>
  <si>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</si>
  <si>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</si>
  <si>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</si>
  <si>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</si>
  <si>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</si>
  <si>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</si>
  <si>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</si>
  <si>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</si>
  <si>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</si>
  <si>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</si>
  <si>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</si>
  <si>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</si>
  <si>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</si>
  <si>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</si>
  <si>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</si>
  <si>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</si>
  <si>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</si>
  <si>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</si>
  <si>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</si>
  <si>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</si>
  <si>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</si>
  <si>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</si>
  <si>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</si>
  <si>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</si>
  <si>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</si>
  <si>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</si>
  <si>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</si>
  <si>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</si>
  <si>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</si>
  <si>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</si>
  <si>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</si>
  <si>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</si>
  <si>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</si>
  <si>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</si>
  <si>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</si>
  <si>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</si>
  <si>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</si>
  <si>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</si>
  <si>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</si>
  <si>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</si>
  <si>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</si>
  <si>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</si>
  <si>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</si>
  <si>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</si>
  <si>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</si>
  <si>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</si>
  <si>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</si>
  <si>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</si>
  <si>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</si>
  <si>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</si>
  <si>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</si>
  <si>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</si>
  <si>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</si>
  <si>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</si>
  <si>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</si>
  <si>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</si>
  <si>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</si>
  <si>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</si>
  <si>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</si>
  <si>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</si>
  <si>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</si>
  <si>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</si>
  <si>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</si>
  <si>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</si>
  <si>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</si>
  <si>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</si>
  <si>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</si>
  <si>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</si>
  <si>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</si>
  <si>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</si>
  <si>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</si>
  <si>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</si>
  <si>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</si>
  <si>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</si>
  <si>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</si>
  <si>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</si>
  <si>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</si>
  <si>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</si>
  <si>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</si>
  <si>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</si>
  <si>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</si>
  <si>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</si>
  <si>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</si>
  <si>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</si>
  <si>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</si>
  <si>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</si>
  <si>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</si>
  <si>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</si>
  <si>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</si>
  <si>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</si>
  <si>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</si>
  <si>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</si>
  <si>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</si>
  <si>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</si>
  <si>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</si>
  <si>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</si>
  <si>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</si>
  <si>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</si>
  <si>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</si>
  <si>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</si>
  <si>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</si>
  <si>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</si>
  <si>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</si>
  <si>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</si>
  <si>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</si>
  <si>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</si>
  <si>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</si>
  <si>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</si>
  <si>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</si>
  <si>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</si>
  <si>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</si>
  <si>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</si>
  <si>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</si>
  <si>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</si>
  <si>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</si>
  <si>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</si>
  <si>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</si>
  <si>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</si>
  <si>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</si>
  <si>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</si>
  <si>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</si>
  <si>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</si>
  <si>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</si>
  <si>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</si>
  <si>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</si>
  <si>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</si>
  <si>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</si>
  <si>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</si>
  <si>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</si>
  <si>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</si>
  <si>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</si>
  <si>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</si>
  <si>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</si>
  <si>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</si>
  <si>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</si>
  <si>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</si>
  <si>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</si>
  <si>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</si>
  <si>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</si>
  <si>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</si>
  <si>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</si>
  <si>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</si>
  <si>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</si>
  <si>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</si>
  <si>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</si>
  <si>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</si>
  <si>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</si>
  <si>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</si>
  <si>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</si>
  <si>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</si>
  <si>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</si>
  <si>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</si>
  <si>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</si>
  <si>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</si>
  <si>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</si>
  <si>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</si>
  <si>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</si>
  <si>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</si>
  <si>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</si>
  <si>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</si>
  <si>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</si>
  <si>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</si>
  <si>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</si>
  <si>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</si>
  <si>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</si>
  <si>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</si>
  <si>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</si>
  <si>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</si>
  <si>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</si>
  <si>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</si>
  <si>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</si>
  <si>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</si>
  <si>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</si>
  <si>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</si>
  <si>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</si>
  <si>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</si>
  <si>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</si>
  <si>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</si>
  <si>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</si>
  <si>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</si>
  <si>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</si>
  <si>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</si>
  <si>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</si>
  <si>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</si>
  <si>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</si>
  <si>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</si>
  <si>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</si>
  <si>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</si>
  <si>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</si>
  <si>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</si>
  <si>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</si>
  <si>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</si>
  <si>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</si>
  <si>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</si>
  <si>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</si>
  <si>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</si>
  <si>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</si>
  <si>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</si>
  <si>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</si>
  <si>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</si>
  <si>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</si>
  <si>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</si>
  <si>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</si>
  <si>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</si>
  <si>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</si>
  <si>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</si>
  <si>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</si>
  <si>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</si>
  <si>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</si>
  <si>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</si>
  <si>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</si>
  <si>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</si>
  <si>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</si>
  <si>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</si>
  <si>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</si>
  <si>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</si>
  <si>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</si>
  <si>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</si>
  <si>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</si>
  <si>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</si>
  <si>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</si>
  <si>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</si>
  <si>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</si>
  <si>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</si>
  <si>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</si>
  <si>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</si>
  <si>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</si>
  <si>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</si>
  <si>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</si>
  <si>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</si>
  <si>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</si>
  <si>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</si>
  <si>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</si>
  <si>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</si>
  <si>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</si>
  <si>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</si>
  <si>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</si>
  <si>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</si>
  <si>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</si>
  <si>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</si>
  <si>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</si>
  <si>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</si>
  <si>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</si>
  <si>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</si>
  <si>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</si>
  <si>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</si>
  <si>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</si>
  <si>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</si>
  <si>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</si>
  <si>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</si>
  <si>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</si>
  <si>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</si>
  <si>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</si>
  <si>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</si>
  <si>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</si>
  <si>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</si>
  <si>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</si>
  <si>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</si>
  <si>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</si>
  <si>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</si>
  <si>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</si>
  <si>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</si>
  <si>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</si>
  <si>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</si>
  <si>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</si>
  <si>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</si>
  <si>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</si>
  <si>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</si>
  <si>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</si>
  <si>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</si>
  <si>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</si>
  <si>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</si>
  <si>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</si>
  <si>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</si>
  <si>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</si>
  <si>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</si>
  <si>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</si>
  <si>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</si>
  <si>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</si>
  <si>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</si>
  <si>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</si>
  <si>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</si>
  <si>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</si>
  <si>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</si>
  <si>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</si>
  <si>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</si>
  <si>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</si>
  <si>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</si>
  <si>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</si>
  <si>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</si>
  <si>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</si>
  <si>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</si>
  <si>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</si>
  <si>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</si>
  <si>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</si>
  <si>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</si>
  <si>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</si>
  <si>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</si>
  <si>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</si>
  <si>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</si>
  <si>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</si>
  <si>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</si>
  <si>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</si>
  <si>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</si>
  <si>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</si>
  <si>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</si>
  <si>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</si>
  <si>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</si>
  <si>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</si>
  <si>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</si>
  <si>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</si>
  <si>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</si>
  <si>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</si>
  <si>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</si>
  <si>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</si>
  <si>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</si>
  <si>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</si>
  <si>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</si>
  <si>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</si>
  <si>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</si>
  <si>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</si>
  <si>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</si>
  <si>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</si>
  <si>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</si>
  <si>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</si>
  <si>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</si>
  <si>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</si>
  <si>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</si>
  <si>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</si>
  <si>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</si>
  <si>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</si>
  <si>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</si>
  <si>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</si>
  <si>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</si>
  <si>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</si>
  <si>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</si>
  <si>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</si>
  <si>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</si>
  <si>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</si>
  <si>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</si>
  <si>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</si>
  <si>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</si>
  <si>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</si>
  <si>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</si>
  <si>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</si>
  <si>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</si>
  <si>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</si>
  <si>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</si>
  <si>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</si>
  <si>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</si>
  <si>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</si>
  <si>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</si>
  <si>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</si>
  <si>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</si>
  <si>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</si>
  <si>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</si>
  <si>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</si>
  <si>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</si>
  <si>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</si>
  <si>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</si>
  <si>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</si>
  <si>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</si>
  <si>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</si>
  <si>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</si>
  <si>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</si>
  <si>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</si>
  <si>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</si>
  <si>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</si>
  <si>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</si>
  <si>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</si>
  <si>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</si>
  <si>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</si>
  <si>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</si>
  <si>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</si>
  <si>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</si>
  <si>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</si>
  <si>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</si>
  <si>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</si>
  <si>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</si>
  <si>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</si>
  <si>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</si>
  <si>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</si>
  <si>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</si>
  <si>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</si>
  <si>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</si>
  <si>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</si>
  <si>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</si>
  <si>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</si>
  <si>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</si>
  <si>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</si>
  <si>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</si>
  <si>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</si>
  <si>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</si>
  <si>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</si>
  <si>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</si>
  <si>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</si>
  <si>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</si>
  <si>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</si>
  <si>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</si>
  <si>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</si>
  <si>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</si>
  <si>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</si>
  <si>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</si>
  <si>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</si>
  <si>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</si>
  <si>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</si>
  <si>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</si>
  <si>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</si>
  <si>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</si>
  <si>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</si>
  <si>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</si>
  <si>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</si>
  <si>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</si>
  <si>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</si>
  <si>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</si>
  <si>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</si>
  <si>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</si>
  <si>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</si>
  <si>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</si>
  <si>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</si>
  <si>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</si>
  <si>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</si>
  <si>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</si>
  <si>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</si>
  <si>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</si>
  <si>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</si>
  <si>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</si>
  <si>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</si>
  <si>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</si>
  <si>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</si>
  <si>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</si>
  <si>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</si>
  <si>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</si>
  <si>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</si>
  <si>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</si>
  <si>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</si>
  <si>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</si>
  <si>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</si>
  <si>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</si>
  <si>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</si>
  <si>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</si>
  <si>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</si>
  <si>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</si>
  <si>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</si>
  <si>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</si>
  <si>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</si>
  <si>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</si>
  <si>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</si>
  <si>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</si>
  <si>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</si>
  <si>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</si>
  <si>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</si>
  <si>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</si>
  <si>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</si>
  <si>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</si>
  <si>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</si>
  <si>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</si>
  <si>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</si>
  <si>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</si>
  <si>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</si>
  <si>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</si>
  <si>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</si>
  <si>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</si>
  <si>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</si>
  <si>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</si>
  <si>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</si>
  <si>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</si>
  <si>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</si>
  <si>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</si>
  <si>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</si>
  <si>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</si>
  <si>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</si>
  <si>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</si>
  <si>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</si>
  <si>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</si>
  <si>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</si>
  <si>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</si>
  <si>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</si>
  <si>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</si>
  <si>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</si>
  <si>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</si>
  <si>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</si>
  <si>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</si>
  <si>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</si>
  <si>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</si>
  <si>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</si>
  <si>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</si>
  <si>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</si>
  <si>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</si>
  <si>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</si>
  <si>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</si>
  <si>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</si>
  <si>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</si>
  <si>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</si>
  <si>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</si>
  <si>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</si>
  <si>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</si>
  <si>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</si>
  <si>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</si>
  <si>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</si>
  <si>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</si>
  <si>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</si>
  <si>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</si>
  <si>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</si>
  <si>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</si>
  <si>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</si>
  <si>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</si>
  <si>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</si>
  <si>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</si>
  <si>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</si>
  <si>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</si>
  <si>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</si>
  <si>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</si>
  <si>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</si>
  <si>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</si>
  <si>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</si>
  <si>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</si>
  <si>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</si>
  <si>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</si>
  <si>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</si>
  <si>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</si>
  <si>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</si>
  <si>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</si>
  <si>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</si>
  <si>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</si>
  <si>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</si>
  <si>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</si>
  <si>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</si>
  <si>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</si>
  <si>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</si>
  <si>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</si>
  <si>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</si>
  <si>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</si>
  <si>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</si>
  <si>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</si>
  <si>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</si>
  <si>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</si>
  <si>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</si>
  <si>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</si>
  <si>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</si>
  <si>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</si>
  <si>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</si>
  <si>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</si>
  <si>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</si>
  <si>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</si>
  <si>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</si>
  <si>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</si>
  <si>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</si>
  <si>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</si>
  <si>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</si>
  <si>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</si>
  <si>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</si>
  <si>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</si>
  <si>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</si>
  <si>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</si>
  <si>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</si>
  <si>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</si>
  <si>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</si>
  <si>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</si>
  <si>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</si>
  <si>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</si>
  <si>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</si>
  <si>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</si>
  <si>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</si>
  <si>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</si>
  <si>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</si>
  <si>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</si>
  <si>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</si>
  <si>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</si>
  <si>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</si>
  <si>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</si>
  <si>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</si>
  <si>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</si>
  <si>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</si>
  <si>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</si>
  <si>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</si>
  <si>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</si>
  <si>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</si>
  <si>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</si>
  <si>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</si>
  <si>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</si>
  <si>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</si>
  <si>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</si>
  <si>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</si>
  <si>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</si>
  <si>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</si>
  <si>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</si>
  <si>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</si>
  <si>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</si>
  <si>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</si>
  <si>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</si>
  <si>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</si>
  <si>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</si>
  <si>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</si>
  <si>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</si>
  <si>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</si>
  <si>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</si>
  <si>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</si>
  <si>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</si>
  <si>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</si>
  <si>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</si>
  <si>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</si>
  <si>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</si>
  <si>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</si>
  <si>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</si>
  <si>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</si>
  <si>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</si>
  <si>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</si>
  <si>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</si>
  <si>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</si>
  <si>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</si>
  <si>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</si>
  <si>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</si>
  <si>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</si>
  <si>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</si>
  <si>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</si>
  <si>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</si>
  <si>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</si>
  <si>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</si>
  <si>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</si>
  <si>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</si>
  <si>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</si>
  <si>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</si>
  <si>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</si>
  <si>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</si>
  <si>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</si>
  <si>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</si>
  <si>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</si>
  <si>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</si>
  <si>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</si>
  <si>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</si>
  <si>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</si>
  <si>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</si>
  <si>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</si>
  <si>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</si>
  <si>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</si>
  <si>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</si>
  <si>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</si>
  <si>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</si>
  <si>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</si>
  <si>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</si>
  <si>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</si>
  <si>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</si>
  <si>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</si>
  <si>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</si>
  <si>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</si>
  <si>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</si>
  <si>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</si>
  <si>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</si>
  <si>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</si>
  <si>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</si>
  <si>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</si>
  <si>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</si>
  <si>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</si>
  <si>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</si>
  <si>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</si>
  <si>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</si>
  <si>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</si>
  <si>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</si>
  <si>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</si>
  <si>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</si>
  <si>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</si>
  <si>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</si>
  <si>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</si>
  <si>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</si>
  <si>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</si>
  <si>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</si>
  <si>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</si>
  <si>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</si>
  <si>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</si>
  <si>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</si>
  <si>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</si>
  <si>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</si>
  <si>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</si>
  <si>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</si>
  <si>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</si>
  <si>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</si>
  <si>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</si>
  <si>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</si>
  <si>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</si>
  <si>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</si>
  <si>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</si>
  <si>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</si>
  <si>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</si>
  <si>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</si>
  <si>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</si>
  <si>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</si>
  <si>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</si>
  <si>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</si>
  <si>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</si>
  <si>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</si>
  <si>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</si>
  <si>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</si>
  <si>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</si>
  <si>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</si>
  <si>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</si>
  <si>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</si>
  <si>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</si>
  <si>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</si>
  <si>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</si>
  <si>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</si>
  <si>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</si>
  <si>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</si>
  <si>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</si>
  <si>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</si>
  <si>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</si>
  <si>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</si>
  <si>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</si>
  <si>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</si>
  <si>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</si>
  <si>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</si>
  <si>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</si>
  <si>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</si>
  <si>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</si>
  <si>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</si>
  <si>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</si>
  <si>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</si>
  <si>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</si>
  <si>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</si>
  <si>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</si>
  <si>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</si>
  <si>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</si>
  <si>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</si>
  <si>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</si>
  <si>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</si>
  <si>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</si>
  <si>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</si>
  <si>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</si>
  <si>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</si>
  <si>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</si>
  <si>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</si>
  <si>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</si>
  <si>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</si>
  <si>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</si>
  <si>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</si>
  <si>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</si>
  <si>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</si>
  <si>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</si>
  <si>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</si>
  <si>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</si>
  <si>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</si>
  <si>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</si>
  <si>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</si>
  <si>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</si>
  <si>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</si>
  <si>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</si>
  <si>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</si>
  <si>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</si>
  <si>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</si>
  <si>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</si>
  <si>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</si>
  <si>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</si>
  <si>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</si>
  <si>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</si>
  <si>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</si>
  <si>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</si>
  <si>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</si>
  <si>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</si>
  <si>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</si>
  <si>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</si>
  <si>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</si>
  <si>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</si>
  <si>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</si>
  <si>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</si>
  <si>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</si>
  <si>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</si>
  <si>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</si>
  <si>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</si>
  <si>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</si>
  <si>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</si>
  <si>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</si>
  <si>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</si>
  <si>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</si>
  <si>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</si>
  <si>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</si>
  <si>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</si>
  <si>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</si>
  <si>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</si>
  <si>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</si>
  <si>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</si>
  <si>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</si>
  <si>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</si>
  <si>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</si>
  <si>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</si>
  <si>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</si>
  <si>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</si>
  <si>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</si>
  <si>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</si>
  <si>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</si>
  <si>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</si>
  <si>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</si>
  <si>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</si>
  <si>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</si>
  <si>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</si>
  <si>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</si>
  <si>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</si>
  <si>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</si>
  <si>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</si>
  <si>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</si>
  <si>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</si>
  <si>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</si>
  <si>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</si>
  <si>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</si>
  <si>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</si>
  <si>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</si>
  <si>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</si>
  <si>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</si>
  <si>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</si>
  <si>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</si>
  <si>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</si>
  <si>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</si>
  <si>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</si>
  <si>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</si>
  <si>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</si>
  <si>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</si>
  <si>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</si>
  <si>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</si>
  <si>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</si>
  <si>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</si>
  <si>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</si>
  <si>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</si>
  <si>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</si>
  <si>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</si>
  <si>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</si>
  <si>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</si>
  <si>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</si>
  <si>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</si>
  <si>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</si>
  <si>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</si>
  <si>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</si>
  <si>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</si>
  <si>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</si>
  <si>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</si>
  <si>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</si>
  <si>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</si>
  <si>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</si>
  <si>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</si>
  <si>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</si>
  <si>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</si>
  <si>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</si>
  <si>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</si>
  <si>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</si>
  <si>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</si>
  <si>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</si>
  <si>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</si>
  <si>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</si>
  <si>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</si>
  <si>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</si>
  <si>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</si>
  <si>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</si>
  <si>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</si>
  <si>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</si>
  <si>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</si>
  <si>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</si>
  <si>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</si>
  <si>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</si>
  <si>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</si>
  <si>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</si>
  <si>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</si>
  <si>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</si>
  <si>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</si>
  <si>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</si>
  <si>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</si>
  <si>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</si>
  <si>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</si>
  <si>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</si>
  <si>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</si>
  <si>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</si>
  <si>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</si>
  <si>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</si>
  <si>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</si>
  <si>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</si>
  <si>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</si>
  <si>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</si>
  <si>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</si>
  <si>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</si>
  <si>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</si>
  <si>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</si>
  <si>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</si>
  <si>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</si>
  <si>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</si>
  <si>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</si>
  <si>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</si>
  <si>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</si>
  <si>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</si>
  <si>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</si>
  <si>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</si>
  <si>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</si>
  <si>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</si>
  <si>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</si>
  <si>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</si>
  <si>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</si>
  <si>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</si>
  <si>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</si>
  <si>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</si>
  <si>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</si>
  <si>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</si>
  <si>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</si>
  <si>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</si>
  <si>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</si>
  <si>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</si>
  <si>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</si>
  <si>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</si>
  <si>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</si>
  <si>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</si>
  <si>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</si>
  <si>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</si>
  <si>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</si>
  <si>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</si>
  <si>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</si>
  <si>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</si>
  <si>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</si>
  <si>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</si>
  <si>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</si>
  <si>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</si>
  <si>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</si>
  <si>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</si>
  <si>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</si>
  <si>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</si>
  <si>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</si>
  <si>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</si>
  <si>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</si>
  <si>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</si>
  <si>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</si>
  <si>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</si>
  <si>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</si>
  <si>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</si>
  <si>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</si>
  <si>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</si>
  <si>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</si>
  <si>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</si>
  <si>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</si>
  <si>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</si>
  <si>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</si>
  <si>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</si>
  <si>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</si>
  <si>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</si>
  <si>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</si>
  <si>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</si>
  <si>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</si>
  <si>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</si>
  <si>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</si>
  <si>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</si>
  <si>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</si>
  <si>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</si>
  <si>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</si>
  <si>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</si>
  <si>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</si>
  <si>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</si>
  <si>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</si>
  <si>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</si>
  <si>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</si>
  <si>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</si>
  <si>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</si>
  <si>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</si>
  <si>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</si>
  <si>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</si>
  <si>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</si>
  <si>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</si>
  <si>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</si>
  <si>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</si>
  <si>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</si>
  <si>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</si>
  <si>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</si>
  <si>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</si>
  <si>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</si>
  <si>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</si>
  <si>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</si>
  <si>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</si>
  <si>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</si>
  <si>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</si>
  <si>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</si>
  <si>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</si>
  <si>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</si>
  <si>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</si>
  <si>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</si>
  <si>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</si>
  <si>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</si>
  <si>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</si>
  <si>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</si>
  <si>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</si>
  <si>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</si>
  <si>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</si>
  <si>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</si>
  <si>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</si>
  <si>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</si>
  <si>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</si>
  <si>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</si>
  <si>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</si>
  <si>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</si>
  <si>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</si>
  <si>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</si>
  <si>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</si>
  <si>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</si>
  <si>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</si>
  <si>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</si>
  <si>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</si>
  <si>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</si>
  <si>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</si>
  <si>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</si>
  <si>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</si>
  <si>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</si>
  <si>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</si>
  <si>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</si>
  <si>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</si>
  <si>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</si>
  <si>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</si>
  <si>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</si>
  <si>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</si>
  <si>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</si>
  <si>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</si>
  <si>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</si>
  <si>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</si>
  <si>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</si>
  <si>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</si>
  <si>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</si>
  <si>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</si>
  <si>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</si>
  <si>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</si>
  <si>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</si>
  <si>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</si>
  <si>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</si>
  <si>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</si>
  <si>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</si>
  <si>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</si>
  <si>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</si>
  <si>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</si>
  <si>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</si>
  <si>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</si>
  <si>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</si>
  <si>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</si>
  <si>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</si>
  <si>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</si>
  <si>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</si>
  <si>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</si>
  <si>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</si>
  <si>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</si>
  <si>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</si>
  <si>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</si>
  <si>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</si>
  <si>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</si>
  <si>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</si>
  <si>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</si>
  <si>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</si>
  <si>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</si>
  <si>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</si>
  <si>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</si>
  <si>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</si>
  <si>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</si>
  <si>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</si>
  <si>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</si>
  <si>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</si>
  <si>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</si>
  <si>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</si>
  <si>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</si>
  <si>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</si>
  <si>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</si>
  <si>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</si>
  <si>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</si>
  <si>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</si>
  <si>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</si>
  <si>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</si>
  <si>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</si>
  <si>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</si>
  <si>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</si>
  <si>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</si>
  <si>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</si>
  <si>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</si>
  <si>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</si>
  <si>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</si>
  <si>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</si>
  <si>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</si>
  <si>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</si>
  <si>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</si>
  <si>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</si>
  <si>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</si>
  <si>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</si>
  <si>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</si>
  <si>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</si>
  <si>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</si>
  <si>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</si>
  <si>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</si>
  <si>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</si>
  <si>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</si>
  <si>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</si>
  <si>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</si>
  <si>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</si>
  <si>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</si>
  <si>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</si>
  <si>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</si>
  <si>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</si>
  <si>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</si>
  <si>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</si>
  <si>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</si>
  <si>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</si>
  <si>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</si>
  <si>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</si>
  <si>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</si>
  <si>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</si>
  <si>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</si>
  <si>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</si>
  <si>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</si>
  <si>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</si>
  <si>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</si>
  <si>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</si>
  <si>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</si>
  <si>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</si>
  <si>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</si>
  <si>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</si>
  <si>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</si>
  <si>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</si>
  <si>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</si>
  <si>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</si>
  <si>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</si>
  <si>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</si>
  <si>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</si>
  <si>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</si>
  <si>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</si>
  <si>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</si>
  <si>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</si>
  <si>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</si>
  <si>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</si>
  <si>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</si>
  <si>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</si>
  <si>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</si>
  <si>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</si>
  <si>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</si>
  <si>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</si>
  <si>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</si>
  <si>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</si>
  <si>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</si>
  <si>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</si>
  <si>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</si>
  <si>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</si>
  <si>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</si>
  <si>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</si>
  <si>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</si>
  <si>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</si>
  <si>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</si>
  <si>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</si>
  <si>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</si>
  <si>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</si>
  <si>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</si>
  <si>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</si>
  <si>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</si>
  <si>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</si>
  <si>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</si>
  <si>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</si>
  <si>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</si>
  <si>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</si>
  <si>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</si>
  <si>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</si>
  <si>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</si>
  <si>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</si>
  <si>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</si>
  <si>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</si>
  <si>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</si>
  <si>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</si>
  <si>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</si>
  <si>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</si>
  <si>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</si>
  <si>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</si>
  <si>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</si>
  <si>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</si>
  <si>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</si>
  <si>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</si>
  <si>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</si>
  <si>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</si>
  <si>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</si>
  <si>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</si>
  <si>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</si>
  <si>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</si>
  <si>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</si>
  <si>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</si>
  <si>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</si>
  <si>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</si>
  <si>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</si>
  <si>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</si>
  <si>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</si>
  <si>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</si>
  <si>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</si>
  <si>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</si>
  <si>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</si>
  <si>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</si>
  <si>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</si>
  <si>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</si>
  <si>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</si>
  <si>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</si>
  <si>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</si>
  <si>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</si>
  <si>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</si>
  <si>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</si>
  <si>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</si>
  <si>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</si>
  <si>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</si>
  <si>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</si>
  <si>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</si>
  <si>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</si>
  <si>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</si>
  <si>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</si>
  <si>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</si>
  <si>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</si>
  <si>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</si>
  <si>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</si>
  <si>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</si>
  <si>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</si>
  <si>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</si>
  <si>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</si>
  <si>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</si>
  <si>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</si>
  <si>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</si>
  <si>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</si>
  <si>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</si>
  <si>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</si>
  <si>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</si>
  <si>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</si>
  <si>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</si>
  <si>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</si>
  <si>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</si>
  <si>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</si>
  <si>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</si>
  <si>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</si>
  <si>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</si>
  <si>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</si>
  <si>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</si>
  <si>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</si>
  <si>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</si>
  <si>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</si>
  <si>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</si>
  <si>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</si>
  <si>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</si>
  <si>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</si>
  <si>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</si>
  <si>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</si>
  <si>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</si>
  <si>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</si>
  <si>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</si>
  <si>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</si>
  <si>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</si>
  <si>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</si>
  <si>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</si>
  <si>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</si>
  <si>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</si>
  <si>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</si>
  <si>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</si>
  <si>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</si>
  <si>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</si>
  <si>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</si>
  <si>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</si>
  <si>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</si>
  <si>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</si>
  <si>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</si>
  <si>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</si>
  <si>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</si>
  <si>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</si>
  <si>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</si>
  <si>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</si>
  <si>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</si>
  <si>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</si>
  <si>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</si>
  <si>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</si>
  <si>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</si>
  <si>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</si>
  <si>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</si>
  <si>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</si>
  <si>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</si>
  <si>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</si>
  <si>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</si>
  <si>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</si>
  <si>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</si>
  <si>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</si>
  <si>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</si>
  <si>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</si>
  <si>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</si>
  <si>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</si>
  <si>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</si>
  <si>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</si>
  <si>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</si>
  <si>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</si>
  <si>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</si>
  <si>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</si>
  <si>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</si>
  <si>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</si>
  <si>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</si>
  <si>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</si>
  <si>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</si>
  <si>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</si>
  <si>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</si>
  <si>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</si>
  <si>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</si>
  <si>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</si>
  <si>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</si>
  <si>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</si>
  <si>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</si>
  <si>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</si>
  <si>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</si>
  <si>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</si>
  <si>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</si>
  <si>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</si>
  <si>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</si>
  <si>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</si>
  <si>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</si>
  <si>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</si>
  <si>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</si>
  <si>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</si>
  <si>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</si>
  <si>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</si>
  <si>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</si>
  <si>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</si>
  <si>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</si>
  <si>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</si>
  <si>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</si>
  <si>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</si>
  <si>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</si>
  <si>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</si>
  <si>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</si>
  <si>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</si>
  <si>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</si>
  <si>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</si>
  <si>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</si>
  <si>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</si>
  <si>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</si>
  <si>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</si>
  <si>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</si>
  <si>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</si>
  <si>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</si>
  <si>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</si>
  <si>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</si>
  <si>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</si>
  <si>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</si>
  <si>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</si>
  <si>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</si>
  <si>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</si>
  <si>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</si>
  <si>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</si>
  <si>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</si>
  <si>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</si>
  <si>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</si>
  <si>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</si>
  <si>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</si>
  <si>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</si>
  <si>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</si>
  <si>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</si>
  <si>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</si>
  <si>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</si>
  <si>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</si>
  <si>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</si>
  <si>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</si>
  <si>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</si>
  <si>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</si>
  <si>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</si>
  <si>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</si>
  <si>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</si>
  <si>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</si>
  <si>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</si>
  <si>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</si>
  <si>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</si>
  <si>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</si>
  <si>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</si>
  <si>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</si>
  <si>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</si>
  <si>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</si>
  <si>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</si>
  <si>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</si>
  <si>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</si>
  <si>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</si>
  <si>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</si>
  <si>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</si>
  <si>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</si>
  <si>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</si>
  <si>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</si>
  <si>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</si>
  <si>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</si>
  <si>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</si>
  <si>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</si>
  <si>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</si>
  <si>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</si>
  <si>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</si>
  <si>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</si>
  <si>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</si>
  <si>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</si>
  <si>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</si>
  <si>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</si>
  <si>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</si>
  <si>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</si>
  <si>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</si>
  <si>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</si>
  <si>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</si>
  <si>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</si>
  <si>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</si>
  <si>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</si>
  <si>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</si>
  <si>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</si>
  <si>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</si>
  <si>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</si>
  <si>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</si>
  <si>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</si>
  <si>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</si>
  <si>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</si>
  <si>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</si>
  <si>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</si>
  <si>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</si>
  <si>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</si>
  <si>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</si>
  <si>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</si>
  <si>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</si>
  <si>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</si>
  <si>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</si>
  <si>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</si>
  <si>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</si>
  <si>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</si>
  <si>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</si>
  <si>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</si>
  <si>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</si>
  <si>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</si>
  <si>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</si>
  <si>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</si>
  <si>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</si>
  <si>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</si>
  <si>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</si>
  <si>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</si>
  <si>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</si>
  <si>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</si>
  <si>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</si>
  <si>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</si>
  <si>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</si>
  <si>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</si>
  <si>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</si>
  <si>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</si>
  <si>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</si>
  <si>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</si>
  <si>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</si>
  <si>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</si>
  <si>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</si>
  <si>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</si>
  <si>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</si>
  <si>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</si>
  <si>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</si>
  <si>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</si>
  <si>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</si>
  <si>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</si>
  <si>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</si>
  <si>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</si>
  <si>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</si>
  <si>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</si>
  <si>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</si>
  <si>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</si>
  <si>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</si>
  <si>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</si>
  <si>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</si>
  <si>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</si>
  <si>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</si>
  <si>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</si>
  <si>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</si>
  <si>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</si>
  <si>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</si>
  <si>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</si>
  <si>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</si>
  <si>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</si>
  <si>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</si>
  <si>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</si>
  <si>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</si>
  <si>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</si>
  <si>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</si>
  <si>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</si>
  <si>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</si>
  <si>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</si>
  <si>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</si>
  <si>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</si>
  <si>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</si>
  <si>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</si>
  <si>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</si>
  <si>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</si>
  <si>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</si>
  <si>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</si>
  <si>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</si>
  <si>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</si>
  <si>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</si>
  <si>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</si>
  <si>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</si>
  <si>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</si>
  <si>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</si>
  <si>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</si>
  <si>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</si>
  <si>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</si>
  <si>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</si>
  <si>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</si>
  <si>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</si>
  <si>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</si>
  <si>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</si>
  <si>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</si>
  <si>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</si>
  <si>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</si>
  <si>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</si>
  <si>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</si>
  <si>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</si>
  <si>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</si>
  <si>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</si>
  <si>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</si>
  <si>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</si>
  <si>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</si>
  <si>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</si>
  <si>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</si>
  <si>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</si>
  <si>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</si>
  <si>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</si>
  <si>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</si>
  <si>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</si>
  <si>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</si>
  <si>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</si>
  <si>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</si>
  <si>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</si>
  <si>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</si>
  <si>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</si>
  <si>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</si>
  <si>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</si>
  <si>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</si>
  <si>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</si>
  <si>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</si>
  <si>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</si>
  <si>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</si>
  <si>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</si>
  <si>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</si>
  <si>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</si>
  <si>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</si>
  <si>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</si>
  <si>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</si>
  <si>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</si>
  <si>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</si>
  <si>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</si>
  <si>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</si>
  <si>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</si>
  <si>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</si>
  <si>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</si>
  <si>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</si>
  <si>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</si>
  <si>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</si>
  <si>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</si>
  <si>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</si>
  <si>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</si>
  <si>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</si>
  <si>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</si>
  <si>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</si>
  <si>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</si>
  <si>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</si>
  <si>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</si>
  <si>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</si>
  <si>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</si>
  <si>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</si>
  <si>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</si>
  <si>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</si>
  <si>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</si>
  <si>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</si>
  <si>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</si>
  <si>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</si>
  <si>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</si>
  <si>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</si>
  <si>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</si>
  <si>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</si>
  <si>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</si>
  <si>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</si>
  <si>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</si>
  <si>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</si>
  <si>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</si>
  <si>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</si>
  <si>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</si>
  <si>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</si>
  <si>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</si>
  <si>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</si>
  <si>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</si>
  <si>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</si>
  <si>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</si>
  <si>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</si>
  <si>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</si>
  <si>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</si>
  <si>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</si>
  <si>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</si>
  <si>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</si>
  <si>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</si>
  <si>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</si>
  <si>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</si>
  <si>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</si>
  <si>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</si>
  <si>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</si>
  <si>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</si>
  <si>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</si>
  <si>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</si>
  <si>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</si>
  <si>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</si>
  <si>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</si>
  <si>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</si>
  <si>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</si>
  <si>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</si>
  <si>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</si>
  <si>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</si>
  <si>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</si>
  <si>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</si>
  <si>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</si>
  <si>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</si>
  <si>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</si>
  <si>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</si>
  <si>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</si>
  <si>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</si>
  <si>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</si>
  <si>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</si>
  <si>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</si>
  <si>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</si>
  <si>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</si>
  <si>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</si>
  <si>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</si>
  <si>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</si>
  <si>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</si>
  <si>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</si>
  <si>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</si>
  <si>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</si>
  <si>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</si>
  <si>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</si>
  <si>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</si>
  <si>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</si>
  <si>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</si>
  <si>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</si>
  <si>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</si>
  <si>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</si>
  <si>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</si>
  <si>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</si>
  <si>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</si>
  <si>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</si>
  <si>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</si>
  <si>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</si>
  <si>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</si>
  <si>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</si>
  <si>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</si>
  <si>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</si>
  <si>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</si>
  <si>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</si>
  <si>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</si>
  <si>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</si>
  <si>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</si>
  <si>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</si>
  <si>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</si>
  <si>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</si>
  <si>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</si>
  <si>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</si>
  <si>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</si>
  <si>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</si>
  <si>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</si>
  <si>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</si>
  <si>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</si>
  <si>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</si>
  <si>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</si>
  <si>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</si>
  <si>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</si>
  <si>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</si>
  <si>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</si>
  <si>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</si>
  <si>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</si>
  <si>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</si>
  <si>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</si>
  <si>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</si>
  <si>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</si>
  <si>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</si>
  <si>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</si>
  <si>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</si>
  <si>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</si>
  <si>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</si>
  <si>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</si>
  <si>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</si>
  <si>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</si>
  <si>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</si>
  <si>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</si>
  <si>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</si>
  <si>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</si>
  <si>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</si>
  <si>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</si>
  <si>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</si>
  <si>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</si>
  <si>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</si>
  <si>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</si>
  <si>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</si>
  <si>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</si>
  <si>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</si>
  <si>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</si>
  <si>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</si>
  <si>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</si>
  <si>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</si>
  <si>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</si>
  <si>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</si>
  <si>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</si>
  <si>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</si>
  <si>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</si>
  <si>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</si>
  <si>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</si>
  <si>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</si>
  <si>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</si>
  <si>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</si>
  <si>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</si>
  <si>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</si>
  <si>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</si>
  <si>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</si>
  <si>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</si>
  <si>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</si>
  <si>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</si>
  <si>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</si>
  <si>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</si>
  <si>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</si>
  <si>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</si>
  <si>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</si>
  <si>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</si>
  <si>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</si>
  <si>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</si>
  <si>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</si>
  <si>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</si>
  <si>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</si>
  <si>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</si>
  <si>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</si>
  <si>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</si>
  <si>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</si>
  <si>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</si>
  <si>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</si>
  <si>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</si>
  <si>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</si>
  <si>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</si>
  <si>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</si>
  <si>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</si>
  <si>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</si>
  <si>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</si>
  <si>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</si>
  <si>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</si>
  <si>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</si>
  <si>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</si>
  <si>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</si>
  <si>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</si>
  <si>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</si>
  <si>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</si>
  <si>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</si>
  <si>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</si>
  <si>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</si>
  <si>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</si>
  <si>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</si>
  <si>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</si>
  <si>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9 Ангар пилорама\E33149364_1_20251226T085058Z.jpg</t>
  </si>
  <si>
    <t>пт 26.12.2025 — 08:50:58</t>
  </si>
  <si>
    <t>E33149364_1_20251226T100030Z.jpg</t>
  </si>
  <si>
    <t>9 Ангар пилорама\E33149364_1_20251226T100030Z.jpg</t>
  </si>
  <si>
    <t>пт 26.12.2025 — 10:00:30</t>
  </si>
  <si>
    <t>E33149364_1_20251226T124640Z.jpg</t>
  </si>
  <si>
    <t>9 Ангар пилорама\E33149364_1_20251226T124640Z.jpg</t>
  </si>
  <si>
    <t>пт 26.12.2025 — 12:46:40</t>
  </si>
  <si>
    <t>E33149364_1_20251226T141800Z.jpg</t>
  </si>
  <si>
    <t>9 Ангар пилорама\E33149364_1_20251226T141800Z.jpg</t>
  </si>
  <si>
    <t>пт 26.12.2025 — 14:18:00</t>
  </si>
  <si>
    <t>E33149364_1_20251226T233812Z.jpg</t>
  </si>
  <si>
    <t>9 Ангар пилорама\E33149364_1_20251226T233812Z.jpg</t>
  </si>
  <si>
    <t>пт 26.12.2025 — 23:38:12</t>
  </si>
  <si>
    <t>E33149364_3_20251226T160456Z.jpg</t>
  </si>
  <si>
    <t>10 Сушилка навес\E33149364_3_20251226T160456Z.jpg</t>
  </si>
  <si>
    <t>пт 26.12.2025 — 16:04:56</t>
  </si>
  <si>
    <t>E33149364_4_20251226T094359Z.jpg</t>
  </si>
  <si>
    <t>11 С ангара на базу\E33149364_4_20251226T094359Z.jpg</t>
  </si>
  <si>
    <t>пт 26.12.2025 — 09:43:59</t>
  </si>
  <si>
    <t>E33149364_4_20251226T095205Z.jpg</t>
  </si>
  <si>
    <t>11 С ангара на базу\E33149364_4_20251226T095205Z.jpg</t>
  </si>
  <si>
    <t>пт 26.12.2025 — 09:52:05</t>
  </si>
  <si>
    <t>E33149364_4_20251226T100421Z.jpg</t>
  </si>
  <si>
    <t>11 С ангара на базу\E33149364_4_20251226T100421Z.jpg</t>
  </si>
  <si>
    <t>пт 26.12.2025 — 10:04:21</t>
  </si>
  <si>
    <t>E33149364_4_20251226T100506Z.jpg</t>
  </si>
  <si>
    <t>11 С ангара на базу\E33149364_4_20251226T100506Z.jpg</t>
  </si>
  <si>
    <t>пт 26.12.2025 — 10:05:06</t>
  </si>
  <si>
    <t>E33149364_4_20251226T102622Z.jpg</t>
  </si>
  <si>
    <t>11 С ангара на базу\E33149364_4_20251226T102622Z.jpg</t>
  </si>
  <si>
    <t>пт 26.12.2025 — 10:26:22</t>
  </si>
  <si>
    <t>E33149364_4_20251226T102707Z.jpg</t>
  </si>
  <si>
    <t>11 С ангара на базу\E33149364_4_20251226T102707Z.jpg</t>
  </si>
  <si>
    <t>пт 26.12.2025 — 10:27:07</t>
  </si>
  <si>
    <t>E33149364_4_20251226T104640Z.jpg</t>
  </si>
  <si>
    <t>11 С ангара на базу\E33149364_4_20251226T104640Z.jpg</t>
  </si>
  <si>
    <t>пт 26.12.2025 — 10:46:40</t>
  </si>
  <si>
    <t>E33149364_4_20251226T114744Z.jpg</t>
  </si>
  <si>
    <t>11 С ангара на базу\E33149364_4_20251226T114744Z.jpg</t>
  </si>
  <si>
    <t>пт 26.12.2025 — 11:47:44</t>
  </si>
  <si>
    <t>E33149364_4_20251226T121252Z.jpg</t>
  </si>
  <si>
    <t>11 С ангара на базу\E33149364_4_20251226T121252Z.jpg</t>
  </si>
  <si>
    <t>пт 26.12.2025 — 12:12:52</t>
  </si>
  <si>
    <t>E33149364_4_20251226T144505Z.jpg</t>
  </si>
  <si>
    <t>11 С ангара на базу\E33149364_4_20251226T144505Z.jpg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</si>
  <si>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</si>
  <si>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</si>
  <si>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</si>
  <si>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</si>
  <si>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</si>
  <si>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</si>
  <si>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</si>
  <si>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</si>
  <si>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</si>
  <si>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</si>
  <si>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</si>
  <si>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</si>
  <si>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</si>
  <si>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</si>
  <si>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</si>
  <si>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</si>
  <si>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</si>
  <si>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</si>
  <si>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</si>
  <si>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</si>
  <si>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</si>
  <si>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</si>
  <si>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</si>
  <si>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</si>
  <si>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</si>
  <si>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</si>
  <si>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</si>
  <si>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</si>
  <si>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</si>
  <si>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</si>
  <si>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</si>
  <si>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</si>
  <si>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</si>
  <si>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</si>
  <si>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</si>
  <si>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</si>
  <si>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</si>
  <si>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</si>
  <si>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</si>
  <si>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</si>
  <si>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</si>
  <si>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</si>
  <si>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</si>
  <si>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</si>
  <si>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</si>
  <si>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</si>
  <si>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</si>
  <si>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</si>
  <si>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</si>
  <si>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</si>
  <si>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</si>
  <si>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</si>
  <si>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</si>
  <si>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</si>
  <si>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</si>
  <si>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</si>
  <si>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</si>
  <si>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</si>
  <si>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</si>
  <si>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</si>
  <si>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</si>
  <si>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</si>
  <si>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</si>
  <si>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</si>
  <si>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</si>
  <si>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</si>
  <si>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</si>
  <si>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</si>
  <si>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</si>
  <si>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</si>
  <si>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</si>
  <si>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</si>
  <si>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</si>
  <si>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</si>
  <si>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</si>
  <si>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</si>
  <si>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</si>
  <si>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</si>
  <si>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</si>
  <si>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</si>
  <si>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</si>
  <si>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</si>
  <si>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</si>
  <si>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</si>
  <si>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</si>
  <si>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</si>
  <si>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</si>
  <si>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</si>
  <si>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</si>
  <si>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</si>
  <si>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</si>
  <si>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</si>
  <si>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</si>
  <si>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</si>
  <si>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</si>
  <si>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</si>
  <si>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</si>
  <si>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2 Пилорама поката\E33149364_7_20251227T102329Z.jpg</t>
  </si>
  <si>
    <t>сб 27.12.2025 — 10:23:29</t>
  </si>
  <si>
    <t>E33149364_7_20251227T103628Z.jpg</t>
  </si>
  <si>
    <t>2 Пилорама поката\E33149364_7_20251227T103628Z.jpg</t>
  </si>
  <si>
    <t>сб 27.12.2025 — 10:36:28</t>
  </si>
  <si>
    <t>E33149364_7_20251227T135541Z.jpg</t>
  </si>
  <si>
    <t>2 Пилорама поката\E33149364_7_20251227T135541Z.jpg</t>
  </si>
  <si>
    <t>сб 27.12.2025 — 13:55:41</t>
  </si>
  <si>
    <t>E33149364_7_20251227T143528Z.jpg</t>
  </si>
  <si>
    <t>2 Пилорама поката\E33149364_7_20251227T143528Z.jpg</t>
  </si>
  <si>
    <t>сб 27.12.2025 — 14:35:28</t>
  </si>
  <si>
    <t>E33149364_7_20251228T141209Z.jpg</t>
  </si>
  <si>
    <t>2 Пилорама поката\E33149364_7_20251228T141209Z.jpg</t>
  </si>
  <si>
    <t>вс 28.12.2025 — 14:12:09</t>
  </si>
  <si>
    <t>E33149364_7_20251228T152141Z.jpg</t>
  </si>
  <si>
    <t>2 Пилорама поката\E33149364_7_20251228T152141Z.jpg</t>
  </si>
  <si>
    <t>вс 28.12.2025 — 15:21:41</t>
  </si>
  <si>
    <t>E33149364_6_20251227T102302Z.jpg</t>
  </si>
  <si>
    <t>1 Ангар Склад 2 въезд\E33149364_6_20251227T102302Z.jpg</t>
  </si>
  <si>
    <t>сб 27.12.2025 — 10:23:02</t>
  </si>
  <si>
    <t>E33149364_6_20251227T135638Z.jpg</t>
  </si>
  <si>
    <t>1 Ангар Склад 2 въезд\E33149364_6_20251227T135638Z.jpg</t>
  </si>
  <si>
    <t>сб 27.12.2025 — 13:56:38</t>
  </si>
  <si>
    <t>E33149364_6_20251227T141055Z.jpg</t>
  </si>
  <si>
    <t>1 Ангар Склад 2 въезд\E33149364_6_20251227T141055Z.jpg</t>
  </si>
  <si>
    <t>сб 27.12.2025 — 14:10:55</t>
  </si>
  <si>
    <t>E33149364_6_20251227T143920Z.jpg</t>
  </si>
  <si>
    <t>1 Ангар Склад 2 въезд\E33149364_6_20251227T143920Z.jpg</t>
  </si>
  <si>
    <t>сб 27.12.2025 — 14:39:20</t>
  </si>
  <si>
    <t>E33149364_6_20251228T120351Z.jpg</t>
  </si>
  <si>
    <t>1 Ангар Склад 2 въезд\E33149364_6_20251228T120351Z.jpg</t>
  </si>
  <si>
    <t>вс 28.12.2025 — 12:03:51</t>
  </si>
  <si>
    <t>E33149364_6_20251228T120935Z.jpg</t>
  </si>
  <si>
    <t>1 Ангар Склад 2 въезд\E33149364_6_20251228T120935Z.jpg</t>
  </si>
  <si>
    <t>вс 28.12.2025 — 12:09:35</t>
  </si>
  <si>
    <t>E33149364_6_20251228T120945Z.jpg</t>
  </si>
  <si>
    <t>1 Ангар Склад 2 въезд\E33149364_6_20251228T120945Z.jpg</t>
  </si>
  <si>
    <t>вс 28.12.2025 — 12:09:45</t>
  </si>
  <si>
    <t>E33149364_6_20251228T121007Z.jpg</t>
  </si>
  <si>
    <t>1 Ангар Склад 2 въезд\E33149364_6_20251228T121007Z.jpg</t>
  </si>
  <si>
    <t>вс 28.12.2025 — 12:10:07</t>
  </si>
  <si>
    <t>E33149364_6_20251228T132030Z.jpg</t>
  </si>
  <si>
    <t>1 Ангар Склад 2 въезд\E33149364_6_20251228T132030Z.jpg</t>
  </si>
  <si>
    <t>вс 28.12.2025 — 13:20:30</t>
  </si>
  <si>
    <t>E33149364_6_20251228T152210Z.jpg</t>
  </si>
  <si>
    <t>1 Ангар Склад 2 въезд\E33149364_6_20251228T152210Z.jpg</t>
  </si>
  <si>
    <t>вс 28.12.2025 — 15:22:10</t>
  </si>
  <si>
    <t>E33149364_6_20251228T160230Z.jpg</t>
  </si>
  <si>
    <t>1 Ангар Склад 2 въезд\E33149364_6_20251228T160230Z.jpg</t>
  </si>
  <si>
    <t>вс 28.12.2025 — 16:02:30</t>
  </si>
  <si>
    <t>E33149364_6_20251228T160430Z.jpg</t>
  </si>
  <si>
    <t>1 Ангар Склад 2 въезд\E33149364_6_20251228T160430Z.jpg</t>
  </si>
  <si>
    <t>вс 28.12.2025 — 16:04:30</t>
  </si>
  <si>
    <t>E33149364_6_20251228T211942Z.jpg</t>
  </si>
  <si>
    <t>1 Ангар Склад 2 въезд\E33149364_6_20251228T211942Z.jpg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</si>
  <si>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</si>
  <si>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</si>
  <si>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</si>
  <si>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</si>
  <si>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</si>
  <si>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</si>
  <si>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</si>
  <si>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</si>
  <si>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</si>
  <si>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</si>
  <si>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</si>
  <si>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</si>
  <si>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</si>
  <si>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</si>
  <si>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</si>
  <si>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</si>
  <si>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</si>
  <si>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3 Въезд на базу\E33149364_8_20251227T114720Z.jpg</t>
  </si>
  <si>
    <t>сб 27.12.2025 — 11:47:20</t>
  </si>
  <si>
    <t>E33149364_8_20251227T134908Z.jpg</t>
  </si>
  <si>
    <t>3 Въезд на базу\E33149364_8_20251227T134908Z.jpg</t>
  </si>
  <si>
    <t>сб 27.12.2025 — 13:49:08</t>
  </si>
  <si>
    <t>E33149364_8_20251228T125508Z.jpg</t>
  </si>
  <si>
    <t>3 Въезд на базу\E33149364_8_20251228T125508Z.jpg</t>
  </si>
  <si>
    <t>вс 28.12.2025 — 12:55:08</t>
  </si>
  <si>
    <t>E33149364_8_20251228T165008Z.jpg</t>
  </si>
  <si>
    <t>3 Въезд на базу\E33149364_8_20251228T165008Z.jpg</t>
  </si>
  <si>
    <t>вс 28.12.2025 — 16:50:08</t>
  </si>
  <si>
    <t>E33149364_1_20251227T104833Z.jpg</t>
  </si>
  <si>
    <t>9 Ангар пилорама\E33149364_1_20251227T104833Z.jpg</t>
  </si>
  <si>
    <t>сб 27.12.2025 — 10:48:33</t>
  </si>
  <si>
    <t>E33149364_1_20251228T232441Z.jpg</t>
  </si>
  <si>
    <t>9 Ангар пилорама\E33149364_1_20251228T232441Z.jpg</t>
  </si>
  <si>
    <t>вс 28.12.2025 — 23:24:41</t>
  </si>
  <si>
    <t>E33149364_4_20251227T143544Z.jpg</t>
  </si>
  <si>
    <t>11 С ангара на базу\E33149364_4_20251227T143544Z.jpg</t>
  </si>
  <si>
    <t>сб 27.12.2025 — 14:35:44</t>
  </si>
  <si>
    <t>E33149364_4_20251228T155547Z.jpg</t>
  </si>
  <si>
    <t>11 С ангара на базу\E33149364_4_20251228T155547Z.jpg</t>
  </si>
  <si>
    <t>вс 28.12.2025 — 15:55:47</t>
  </si>
  <si>
    <t>E33149364_4_20251228T172442Z.jpg</t>
  </si>
  <si>
    <t>11 С ангара на базу\E33149364_4_20251228T172442Z.jpg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</si>
  <si>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</si>
  <si>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</si>
  <si>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</si>
  <si>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</si>
  <si>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</si>
  <si>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</si>
  <si>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</si>
  <si>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</si>
  <si>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</si>
  <si>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</si>
  <si>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</si>
  <si>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</si>
  <si>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</si>
  <si>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</si>
  <si>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</si>
  <si>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</si>
  <si>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</si>
  <si>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</si>
  <si>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</si>
  <si>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</si>
  <si>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</si>
  <si>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</si>
  <si>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</si>
  <si>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</si>
  <si>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</si>
  <si>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</si>
  <si>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</si>
  <si>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</si>
  <si>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</si>
  <si>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</si>
  <si>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</si>
  <si>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</si>
  <si>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</si>
  <si>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</si>
  <si>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</si>
  <si>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</si>
  <si>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</si>
  <si>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</si>
  <si>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</si>
  <si>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</si>
  <si>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</si>
  <si>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</si>
  <si>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</si>
  <si>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</si>
  <si>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</si>
  <si>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</si>
  <si>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</si>
  <si>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</si>
  <si>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</si>
  <si>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</si>
  <si>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</si>
  <si>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</si>
  <si>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</si>
  <si>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8 Рейсмус\E33149364_2_20251227T141358Z.jpg</t>
  </si>
  <si>
    <t>сб 27.12.2025 — 14:13:58</t>
  </si>
  <si>
    <t>E33149364_2_20251228T145047Z.jpg</t>
  </si>
  <si>
    <t>8 Рейсмус\E33149364_2_20251228T145047Z.jpg</t>
  </si>
  <si>
    <t>вс 28.12.2025 — 14:50:47</t>
  </si>
  <si>
    <t>E33149364_3_20251227T141831Z.jpg</t>
  </si>
  <si>
    <t>10 Сушилка навес\E33149364_3_20251227T141831Z.jpg</t>
  </si>
  <si>
    <t>сб 27.12.2025 — 14:18:31</t>
  </si>
  <si>
    <t>E33149364_3_20251227T141844Z.jpg</t>
  </si>
  <si>
    <t>10 Сушилка навес\E33149364_3_20251227T141844Z.jpg</t>
  </si>
  <si>
    <t>сб 27.12.2025 — 14:18:44</t>
  </si>
  <si>
    <t>E33149364_3_20251227T143534Z.jpg</t>
  </si>
  <si>
    <t>10 Сушилка навес\E33149364_3_20251227T143534Z.jpg</t>
  </si>
  <si>
    <t>сб 27.12.2025 — 14:35:34</t>
  </si>
  <si>
    <t>E33149364_3_20251228T164636Z.jpg</t>
  </si>
  <si>
    <t>10 Сушилка навес\E33149364_3_20251228T164636Z.jpg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</si>
  <si>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</si>
  <si>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</si>
  <si>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</si>
  <si>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</si>
  <si>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</si>
  <si>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</si>
  <si>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</si>
  <si>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</si>
  <si>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</si>
  <si>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</si>
  <si>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</si>
  <si>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</si>
  <si>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</si>
  <si>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</si>
  <si>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</si>
  <si>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</si>
  <si>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1 Ангар Склад 2 въезд\E33149364_6_20251229T120024Z.jpg</t>
  </si>
  <si>
    <t>пн 29.12.2025 — 12:00:24</t>
  </si>
  <si>
    <t>E33149364_6_20251229T122542Z.jpg</t>
  </si>
  <si>
    <t>1 Ангар Склад 2 въезд\E33149364_6_20251229T122542Z.jpg</t>
  </si>
  <si>
    <t>пн 29.12.2025 — 12:25:42</t>
  </si>
  <si>
    <t>E33149364_6_20251229T152152Z.jpg</t>
  </si>
  <si>
    <t>1 Ангар Склад 2 въезд\E33149364_6_20251229T152152Z.jpg</t>
  </si>
  <si>
    <t>пн 29.12.2025 — 15:21:52</t>
  </si>
  <si>
    <t>E33149364_6_20251230T140108Z.jpg</t>
  </si>
  <si>
    <t>1 Ангар Склад 2 въезд\E33149364_6_20251230T140108Z.jpg</t>
  </si>
  <si>
    <t>вт 30.12.2025 — 14:01:08</t>
  </si>
  <si>
    <t>E33149364_6_20251230T170422Z.jpg</t>
  </si>
  <si>
    <t>1 Ангар Склад 2 въезд\E33149364_6_20251230T170422Z.jpg</t>
  </si>
  <si>
    <t>вт 30.12.2025 — 17:04:22</t>
  </si>
  <si>
    <t>E33149364_6_20251230T192753Z.jpg</t>
  </si>
  <si>
    <t>1 Ангар Склад 2 въезд\E33149364_6_20251230T192753Z.jpg</t>
  </si>
  <si>
    <t>вт 30.12.2025 — 19:27:53</t>
  </si>
  <si>
    <t>E33149364_6_20251231T162530Z.jpg</t>
  </si>
  <si>
    <t>1 Ангар Склад 2 въезд\E33149364_6_20251231T162530Z.jpg</t>
  </si>
  <si>
    <t>ср 31.12.2025 — 16:25:30</t>
  </si>
  <si>
    <t>E33149364_6_20260101T144744Z.jpg</t>
  </si>
  <si>
    <t>1 Ангар Склад 2 въезд\E33149364_6_20260101T144744Z.jpg</t>
  </si>
  <si>
    <t>чт 01.01.2026 — 14:47:44</t>
  </si>
  <si>
    <t>E33149364_7_20251229T152720Z.jpg</t>
  </si>
  <si>
    <t>2 Пилорама поката\E33149364_7_20251229T152720Z.jpg</t>
  </si>
  <si>
    <t>пн 29.12.2025 — 15:27:20</t>
  </si>
  <si>
    <t>E33149364_7_20251230T175139Z.jpg</t>
  </si>
  <si>
    <t>2 Пилорама поката\E33149364_7_20251230T175139Z.jpg</t>
  </si>
  <si>
    <t>вт 30.12.2025 — 17:51:39</t>
  </si>
  <si>
    <t>E33149364_7_20251231T164401Z.jpg</t>
  </si>
  <si>
    <t>2 Пилорама поката\E33149364_7_20251231T164401Z.jpg</t>
  </si>
  <si>
    <t>ср 31.12.2025 — 16:44:01</t>
  </si>
  <si>
    <t>E33149364_7_20260101T175614Z.jpg</t>
  </si>
  <si>
    <t>2 Пилорама поката\E33149364_7_20260101T175614Z.jpg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</si>
  <si>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</si>
  <si>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</si>
  <si>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</si>
  <si>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</si>
  <si>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</si>
  <si>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</si>
  <si>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</si>
  <si>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</si>
  <si>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</si>
  <si>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</si>
  <si>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</si>
  <si>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</si>
  <si>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</si>
  <si>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</si>
  <si>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</si>
  <si>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</si>
  <si>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</si>
  <si>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</si>
  <si>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</si>
  <si>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</si>
  <si>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3 Въезд на базу\E33149364_8_20251229T154323Z.jpg</t>
  </si>
  <si>
    <t>пн 29.12.2025 — 15:43:23</t>
  </si>
  <si>
    <t>E33149364_8_20251230T170421Z.jpg</t>
  </si>
  <si>
    <t>3 Въезд на базу\E33149364_8_20251230T170421Z.jpg</t>
  </si>
  <si>
    <t>вт 30.12.2025 — 17:04:21</t>
  </si>
  <si>
    <t>E33149364_8_20251231T163412Z.jpg</t>
  </si>
  <si>
    <t>3 Въезд на базу\E33149364_8_20251231T163412Z.jpg</t>
  </si>
  <si>
    <t>ср 31.12.2025 — 16:34:12</t>
  </si>
  <si>
    <t>E33149364_8_20260101T171408Z.jpg</t>
  </si>
  <si>
    <t>3 Въезд на базу\E33149364_8_20260101T171408Z.jpg</t>
  </si>
  <si>
    <t>чт 01.01.2026 — 17:14:08</t>
  </si>
  <si>
    <t>E33149364_1_20251229T092257Z.jpg</t>
  </si>
  <si>
    <t>9 Ангар пилорама\E33149364_1_20251229T092257Z.jpg</t>
  </si>
  <si>
    <t>пн 29.12.2025 — 09:22:57</t>
  </si>
  <si>
    <t>E33149364_1_20251229T095247Z.jpg</t>
  </si>
  <si>
    <t>9 Ангар пилорама\E33149364_1_20251229T095247Z.jpg</t>
  </si>
  <si>
    <t>пн 29.12.2025 — 09:52:47</t>
  </si>
  <si>
    <t>E33149364_1_20251229T095255Z.jpg</t>
  </si>
  <si>
    <t>9 Ангар пилорама\E33149364_1_20251229T095255Z.jpg</t>
  </si>
  <si>
    <t>пн 29.12.2025 — 09:52:55</t>
  </si>
  <si>
    <t>E33149364_1_20251229T095317Z.jpg</t>
  </si>
  <si>
    <t>9 Ангар пилорама\E33149364_1_20251229T095317Z.jpg</t>
  </si>
  <si>
    <t>пн 29.12.2025 — 09:53:17</t>
  </si>
  <si>
    <t>E33149364_1_20251229T115105Z.jpg</t>
  </si>
  <si>
    <t>9 Ангар пилорама\E33149364_1_20251229T115105Z.jpg</t>
  </si>
  <si>
    <t>пн 29.12.2025 — 11:51:05</t>
  </si>
  <si>
    <t>E33149364_1_20251230T163719Z.jpg</t>
  </si>
  <si>
    <t>9 Ангар пилорама\E33149364_1_20251230T163719Z.jpg</t>
  </si>
  <si>
    <t>вт 30.12.2025 — 16:37:19</t>
  </si>
  <si>
    <t>E33149364_1_20251231T165300Z.jpg</t>
  </si>
  <si>
    <t>9 Ангар пилорама\E33149364_1_20251231T165300Z.jpg</t>
  </si>
  <si>
    <t>ср 31.12.2025 — 16:53:00</t>
  </si>
  <si>
    <t>E33149364_1_20260101T171044Z.jpg</t>
  </si>
  <si>
    <t>9 Ангар пилорама\E33149364_1_20260101T171044Z.jpg</t>
  </si>
  <si>
    <t>чт 01.01.2026 — 17:10:44</t>
  </si>
  <si>
    <t>E33149364_2_20251229T093356Z.jpg</t>
  </si>
  <si>
    <t>8 Рейсмус\E33149364_2_20251229T093356Z.jpg</t>
  </si>
  <si>
    <t>пн 29.12.2025 — 09:33:56</t>
  </si>
  <si>
    <t>E33149364_2_20251229T095313Z.jpg</t>
  </si>
  <si>
    <t>8 Рейсмус\E33149364_2_20251229T095313Z.jpg</t>
  </si>
  <si>
    <t>пн 29.12.2025 — 09:53:13</t>
  </si>
  <si>
    <t>E33149364_2_20251229T115045Z.jpg</t>
  </si>
  <si>
    <t>8 Рейсмус\E33149364_2_20251229T115045Z.jpg</t>
  </si>
  <si>
    <t>пн 29.12.2025 — 11:50:45</t>
  </si>
  <si>
    <t>E33149364_2_20251230T123142Z.jpg</t>
  </si>
  <si>
    <t>8 Рейсмус\E33149364_2_20251230T123142Z.jpg</t>
  </si>
  <si>
    <t>вт 30.12.2025 — 12:31:42</t>
  </si>
  <si>
    <t>E33149364_2_20260101T161621Z.jpg</t>
  </si>
  <si>
    <t>8 Рейсмус\E33149364_2_20260101T161621Z.jpg</t>
  </si>
  <si>
    <t>чт 01.01.2026 — 16:16:21</t>
  </si>
  <si>
    <t>E33149364_4_20251229T120512Z.jpg</t>
  </si>
  <si>
    <t>11 С ангара на базу\E33149364_4_20251229T120512Z.jpg</t>
  </si>
  <si>
    <t>пн 29.12.2025 — 12:05:12</t>
  </si>
  <si>
    <t>E33149364_4_20251229T121310Z.jpg</t>
  </si>
  <si>
    <t>11 С ангара на базу\E33149364_4_20251229T121310Z.jpg</t>
  </si>
  <si>
    <t>пн 29.12.2025 — 12:13:10</t>
  </si>
  <si>
    <t>E33149364_4_20251229T121400Z.jpg</t>
  </si>
  <si>
    <t>11 С ангара на базу\E33149364_4_20251229T121400Z.jpg</t>
  </si>
  <si>
    <t>пн 29.12.2025 — 12:14:00</t>
  </si>
  <si>
    <t>E33149364_4_20251229T122103Z.jpg</t>
  </si>
  <si>
    <t>11 С ангара на базу\E33149364_4_20251229T122103Z.jpg</t>
  </si>
  <si>
    <t>пн 29.12.2025 — 12:21:03</t>
  </si>
  <si>
    <t>E33149364_4_20251229T122152Z.jpg</t>
  </si>
  <si>
    <t>11 С ангара на базу\E33149364_4_20251229T122152Z.jpg</t>
  </si>
  <si>
    <t>пн 29.12.2025 — 12:21:52</t>
  </si>
  <si>
    <t>E33149364_4_20251229T122219Z.jpg</t>
  </si>
  <si>
    <t>11 С ангара на базу\E33149364_4_20251229T122219Z.jpg</t>
  </si>
  <si>
    <t>пн 29.12.2025 — 12:22:19</t>
  </si>
  <si>
    <t>E33149364_4_20251229T122456Z.jpg</t>
  </si>
  <si>
    <t>11 С ангара на базу\E33149364_4_20251229T122456Z.jpg</t>
  </si>
  <si>
    <t>пн 29.12.2025 — 12:24:56</t>
  </si>
  <si>
    <t>E33149364_4_20251229T153209Z.jpg</t>
  </si>
  <si>
    <t>11 С ангара на базу\E33149364_4_20251229T153209Z.jpg</t>
  </si>
  <si>
    <t>пн 29.12.2025 — 15:32:09</t>
  </si>
  <si>
    <t>E33149364_4_20251230T100949Z.jpg</t>
  </si>
  <si>
    <t>11 С ангара на базу\E33149364_4_20251230T100949Z.jpg</t>
  </si>
  <si>
    <t>вт 30.12.2025 — 10:09:49</t>
  </si>
  <si>
    <t>E33149364_4_20251230T115637Z.jpg</t>
  </si>
  <si>
    <t>11 С ангара на базу\E33149364_4_20251230T115637Z.jpg</t>
  </si>
  <si>
    <t>вт 30.12.2025 — 11:56:37</t>
  </si>
  <si>
    <t>E33149364_4_20251231T163940Z.jpg</t>
  </si>
  <si>
    <t>11 С ангара на базу\E33149364_4_20251231T163940Z.jpg</t>
  </si>
  <si>
    <t>ср 31.12.2025 — 16:39:40</t>
  </si>
  <si>
    <t>E33149364_4_20260101T103436Z.jpg</t>
  </si>
  <si>
    <t>11 С ангара на базу\E33149364_4_20260101T103436Z.jpg</t>
  </si>
  <si>
    <t>чт 01.01.2026 — 10:34:36</t>
  </si>
  <si>
    <t>E33149364_4_20260101T161641Z.jpg</t>
  </si>
  <si>
    <t>11 С ангара на базу\E33149364_4_20260101T161641Z.jpg</t>
  </si>
  <si>
    <t>чт 01.01.2026 — 16:16:41</t>
  </si>
  <si>
    <t>E33149364_3_20251229T120514Z.jpg</t>
  </si>
  <si>
    <t>10 Сушилка навес\E33149364_3_20251229T120514Z.jpg</t>
  </si>
  <si>
    <t>пн 29.12.2025 — 12:05:14</t>
  </si>
  <si>
    <t>E33149364_3_20251229T121655Z.jpg</t>
  </si>
  <si>
    <t>10 Сушилка навес\E33149364_3_20251229T121655Z.jpg</t>
  </si>
  <si>
    <t>пн 29.12.2025 — 12:16:55</t>
  </si>
  <si>
    <t>E33149364_3_20251229T121700Z.jpg</t>
  </si>
  <si>
    <t>10 Сушилка навес\E33149364_3_20251229T121700Z.jpg</t>
  </si>
  <si>
    <t>пн 29.12.2025 — 12:17:00</t>
  </si>
  <si>
    <t>E33149364_3_20251229T121914Z.jpg</t>
  </si>
  <si>
    <t>10 Сушилка навес\E33149364_3_20251229T121914Z.jpg</t>
  </si>
  <si>
    <t>пн 29.12.2025 — 12:19:14</t>
  </si>
  <si>
    <t>E33149364_3_20251229T122450Z.jpg</t>
  </si>
  <si>
    <t>10 Сушилка навес\E33149364_3_20251229T122450Z.jpg</t>
  </si>
  <si>
    <t>пн 29.12.2025 — 12:24:50</t>
  </si>
  <si>
    <t>E33149364_3_20251229T131536Z.jpg</t>
  </si>
  <si>
    <t>10 Сушилка навес\E33149364_3_20251229T131536Z.jpg</t>
  </si>
  <si>
    <t>пн 29.12.2025 — 13:15:36</t>
  </si>
  <si>
    <t>E33149364_3_20251229T140200Z.jpg</t>
  </si>
  <si>
    <t>10 Сушилка навес\E33149364_3_20251229T140200Z.jpg</t>
  </si>
  <si>
    <t>пн 29.12.2025 — 14:02:00</t>
  </si>
  <si>
    <t>E33149364_3_20251229T140543Z.jpg</t>
  </si>
  <si>
    <t>10 Сушилка навес\E33149364_3_20251229T140543Z.jpg</t>
  </si>
  <si>
    <t>пн 29.12.2025 — 14:05:43</t>
  </si>
  <si>
    <t>E33149364_3_20251229T141207Z.jpg</t>
  </si>
  <si>
    <t>10 Сушилка навес\E33149364_3_20251229T141207Z.jpg</t>
  </si>
  <si>
    <t>пн 29.12.2025 — 14:12:07</t>
  </si>
  <si>
    <t>E33149364_3_20251229T152950Z.jpg</t>
  </si>
  <si>
    <t>10 Сушилка навес\E33149364_3_20251229T152950Z.jpg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</si>
  <si>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</si>
  <si>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</si>
  <si>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</si>
  <si>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</si>
  <si>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</si>
  <si>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10 Сушилка навес\E33149364_3_20251229T160300Z.jpg</t>
  </si>
  <si>
    <t>пн 29.12.2025 — 16:03:00</t>
  </si>
  <si>
    <t>E33149364_3_20251229T165442Z.jpg</t>
  </si>
  <si>
    <t>10 Сушилка навес\E33149364_3_20251229T165442Z.jpg</t>
  </si>
  <si>
    <t>пн 29.12.2025 — 16:54:42</t>
  </si>
  <si>
    <t>E33149364_3_20251229T171740Z.jpg</t>
  </si>
  <si>
    <t>10 Сушилка навес\E33149364_3_20251229T171740Z.jpg</t>
  </si>
  <si>
    <t>пн 29.12.2025 — 17:17:40</t>
  </si>
  <si>
    <t>E33149364_3_20251230T135741Z.jpg</t>
  </si>
  <si>
    <t>10 Сушилка навес\E33149364_3_20251230T135741Z.jpg</t>
  </si>
  <si>
    <t>вт 30.12.2025 — 13:57:41</t>
  </si>
  <si>
    <t>E33149364_3_20251230T135827Z.jpg</t>
  </si>
  <si>
    <t>10 Сушилка навес\E33149364_3_20251230T135827Z.jpg</t>
  </si>
  <si>
    <t>вт 30.12.2025 — 13:58:27</t>
  </si>
  <si>
    <t>E33149364_3_20251230T135856Z.jpg</t>
  </si>
  <si>
    <t>10 Сушилка навес\E33149364_3_20251230T135856Z.jpg</t>
  </si>
  <si>
    <t>вт 30.12.2025 — 13:58:56</t>
  </si>
  <si>
    <t>E33149364_3_20251230T135910Z.jpg</t>
  </si>
  <si>
    <t>10 Сушилка навес\E33149364_3_20251230T135910Z.jpg</t>
  </si>
  <si>
    <t>вт 30.12.2025 — 13:59:10</t>
  </si>
  <si>
    <t>E33149364_3_20251230T140007Z.jpg</t>
  </si>
  <si>
    <t>10 Сушилка навес\E33149364_3_20251230T140007Z.jpg</t>
  </si>
  <si>
    <t>вт 30.12.2025 — 14:00:07</t>
  </si>
  <si>
    <t>E33149364_3_20251230T153524Z.jpg</t>
  </si>
  <si>
    <t>10 Сушилка навес\E33149364_3_20251230T153524Z.jpg</t>
  </si>
  <si>
    <t>вт 30.12.2025 — 15:35:24</t>
  </si>
  <si>
    <t>E33149364_3_20251230T154339Z.jpg</t>
  </si>
  <si>
    <t>10 Сушилка навес\E33149364_3_20251230T154339Z.jpg</t>
  </si>
  <si>
    <t>вт 30.12.2025 — 15:43:39</t>
  </si>
  <si>
    <t>E33149364_3_20251230T161856Z.jpg</t>
  </si>
  <si>
    <t>10 Сушилка навес\E33149364_3_20251230T161856Z.jpg</t>
  </si>
  <si>
    <t>вт 30.12.2025 — 16:18:56</t>
  </si>
  <si>
    <t>E33149364_3_20251230T163625Z.jpg</t>
  </si>
  <si>
    <t>10 Сушилка навес\E33149364_3_20251230T163625Z.jpg</t>
  </si>
  <si>
    <t>вт 30.12.2025 — 16:36:25</t>
  </si>
  <si>
    <t>E33149364_3_20251231T135532Z.jpg</t>
  </si>
  <si>
    <t>10 Сушилка навес\E33149364_3_20251231T135532Z.jpg</t>
  </si>
  <si>
    <t>ср 31.12.2025 — 13:55:32</t>
  </si>
  <si>
    <t>E33149364_3_20260101T155513Z.jpg</t>
  </si>
  <si>
    <t>10 Сушилка навес\E33149364_3_20260101T155513Z.jpg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</si>
  <si>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</si>
  <si>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</si>
  <si>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</si>
  <si>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</si>
  <si>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</si>
  <si>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</si>
  <si>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</si>
  <si>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</si>
  <si>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</si>
  <si>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</si>
  <si>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</si>
  <si>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</si>
  <si>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</si>
  <si>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</si>
  <si>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</si>
  <si>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</si>
  <si>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</si>
  <si>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</si>
  <si>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</si>
  <si>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</si>
  <si>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</si>
  <si>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</si>
  <si>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</si>
  <si>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</si>
  <si>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</si>
  <si>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</si>
  <si>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</si>
  <si>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</si>
  <si>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</si>
  <si>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</si>
  <si>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</si>
  <si>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</si>
  <si>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</si>
  <si>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</si>
  <si>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</si>
  <si>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</si>
  <si>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</si>
  <si>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</si>
  <si>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</si>
  <si>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</si>
  <si>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</si>
  <si>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</si>
  <si>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</si>
  <si>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</si>
  <si>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</si>
  <si>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</si>
  <si>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</si>
  <si>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</si>
  <si>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</si>
  <si>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</si>
  <si>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</si>
  <si>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</si>
  <si>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</si>
  <si>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</si>
  <si>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</si>
  <si>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</si>
  <si>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</si>
  <si>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</si>
  <si>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</si>
  <si>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</si>
  <si>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</si>
  <si>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8 Рейсмус\E33149364_2_20251231T143559Z.jpg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</si>
  <si>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</si>
  <si>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</si>
  <si>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</si>
  <si>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</si>
  <si>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</si>
  <si>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</si>
  <si>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</si>
  <si>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</si>
  <si>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</si>
  <si>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</si>
  <si>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</si>
  <si>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</si>
  <si>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</si>
  <si>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</si>
  <si>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</si>
  <si>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</si>
  <si>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</si>
  <si>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</si>
  <si>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</si>
  <si>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</si>
  <si>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</si>
  <si>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</si>
  <si>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</si>
  <si>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</si>
  <si>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</si>
  <si>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</si>
  <si>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</si>
  <si>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</si>
  <si>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</si>
  <si>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</si>
  <si>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2 Пилорама поката\E33149364_7_20260102T175559Z.jpg</t>
  </si>
  <si>
    <t>пт 02.01.2026 — 17:55:59</t>
  </si>
  <si>
    <t>E33149364_7_20260103T175602Z.jpg</t>
  </si>
  <si>
    <t>2 Пилорама поката\E33149364_7_20260103T175602Z.jpg</t>
  </si>
  <si>
    <t>сб 03.01.2026 — 17:56:02</t>
  </si>
  <si>
    <t>E33149364_7_20260104T113429Z.jpg</t>
  </si>
  <si>
    <t>2 Пилорама поката\E33149364_7_20260104T113429Z.jpg</t>
  </si>
  <si>
    <t>вс 04.01.2026 — 11:34:29</t>
  </si>
  <si>
    <t>E33149364_6_20260102T164716Z.jpg</t>
  </si>
  <si>
    <t>1 Ангар Склад 2 въезд\E33149364_6_20260102T164716Z.jpg</t>
  </si>
  <si>
    <t>пт 02.01.2026 — 16:47:16</t>
  </si>
  <si>
    <t>E33149364_6_20260103T161020Z.jpg</t>
  </si>
  <si>
    <t>1 Ангар Склад 2 въезд\E33149364_6_20260103T161020Z.jpg</t>
  </si>
  <si>
    <t>сб 03.01.2026 — 16:10:20</t>
  </si>
  <si>
    <t>E33149364_6_20260103T162955Z.jpg</t>
  </si>
  <si>
    <t>1 Ангар Склад 2 въезд\E33149364_6_20260103T162955Z.jpg</t>
  </si>
  <si>
    <t>сб 03.01.2026 — 16:29:55</t>
  </si>
  <si>
    <t>E33149364_6_20260104T160919Z.jpg</t>
  </si>
  <si>
    <t>1 Ангар Склад 2 въезд\E33149364_6_20260104T160919Z.jpg</t>
  </si>
  <si>
    <t>вс 04.01.2026 — 16:09:19</t>
  </si>
  <si>
    <t>E33149364_8_20260102T140620Z.jpg</t>
  </si>
  <si>
    <t>3 Въезд на базу\E33149364_8_20260102T140620Z.jpg</t>
  </si>
  <si>
    <t>пт 02.01.2026 — 14:06:20</t>
  </si>
  <si>
    <t>E33149364_8_20260103T161030Z.jpg</t>
  </si>
  <si>
    <t>3 Въезд на базу\E33149364_8_20260103T161030Z.jpg</t>
  </si>
  <si>
    <t>сб 03.01.2026 — 16:10:30</t>
  </si>
  <si>
    <t>E33149364_8_20260104T155859Z.jpg</t>
  </si>
  <si>
    <t>3 Въезд на базу\E33149364_8_20260104T155859Z.jpg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</si>
  <si>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</si>
  <si>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</si>
  <si>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</si>
  <si>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</si>
  <si>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</si>
  <si>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</si>
  <si>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</si>
  <si>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</si>
  <si>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</si>
  <si>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</si>
  <si>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</si>
  <si>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</si>
  <si>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</si>
  <si>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</si>
  <si>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</si>
  <si>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</si>
  <si>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</si>
  <si>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</si>
  <si>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</si>
  <si>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</si>
  <si>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8 Рейсмус\E33149364_2_20260102T113006Z.jpg</t>
  </si>
  <si>
    <t>пт 02.01.2026 — 11:30:06</t>
  </si>
  <si>
    <t>E33149364_2_20260103T162936Z.jpg</t>
  </si>
  <si>
    <t>8 Рейсмус\E33149364_2_20260103T162936Z.jpg</t>
  </si>
  <si>
    <t>сб 03.01.2026 — 16:29:36</t>
  </si>
  <si>
    <t>E33149364_2_20260104T150306Z.jpg</t>
  </si>
  <si>
    <t>8 Рейсмус\E33149364_2_20260104T150306Z.jpg</t>
  </si>
  <si>
    <t>вс 04.01.2026 — 15:03:06</t>
  </si>
  <si>
    <t>E33149364_1_20260102T170630Z.jpg</t>
  </si>
  <si>
    <t>9 Ангар пилорама\E33149364_1_20260102T170630Z.jpg</t>
  </si>
  <si>
    <t>пт 02.01.2026 — 17:06:30</t>
  </si>
  <si>
    <t>E33149364_1_20260103T170845Z.jpg</t>
  </si>
  <si>
    <t>9 Ангар пилорама\E33149364_1_20260103T170845Z.jpg</t>
  </si>
  <si>
    <t>сб 03.01.2026 — 17:08:45</t>
  </si>
  <si>
    <t>E33149364_1_20260104T165818Z.jpg</t>
  </si>
  <si>
    <t>9 Ангар пилорама\E33149364_1_20260104T165818Z.jpg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</si>
  <si>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</si>
  <si>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</si>
  <si>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</si>
  <si>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</si>
  <si>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</si>
  <si>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</si>
  <si>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</si>
  <si>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</si>
  <si>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</si>
  <si>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</si>
  <si>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</si>
  <si>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10 Сушилка навес\E33149364_3_20260102T131145Z.jpg</t>
  </si>
  <si>
    <t>пт 02.01.2026 — 13:11:45</t>
  </si>
  <si>
    <t>E33149364_3_20260103T161406Z.jpg</t>
  </si>
  <si>
    <t>10 Сушилка навес\E33149364_3_20260103T161406Z.jpg</t>
  </si>
  <si>
    <t>сб 03.01.2026 — 16:14:06</t>
  </si>
  <si>
    <t>E33149364_3_20260104T113437Z.jpg</t>
  </si>
  <si>
    <t>10 Сушилка навес\E33149364_3_20260104T113437Z.jpg</t>
  </si>
  <si>
    <t>вс 04.01.2026 — 11:34:37</t>
  </si>
  <si>
    <t>E33149364_4_20260102T151910Z.jpg</t>
  </si>
  <si>
    <t>11 С ангара на базу\E33149364_4_20260102T151910Z.jpg</t>
  </si>
  <si>
    <t>пт 02.01.2026 — 15:19:10</t>
  </si>
  <si>
    <t>E33149364_4_20260103T161305Z.jpg</t>
  </si>
  <si>
    <t>11 С ангара на базу\E33149364_4_20260103T161305Z.jpg</t>
  </si>
  <si>
    <t>сб 03.01.2026 — 16:13:05</t>
  </si>
  <si>
    <t>E33149364_4_20260104T160513Z.jpg</t>
  </si>
  <si>
    <t>11 С ангара на базу\E33149364_4_20260104T160513Z.jpg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</si>
  <si>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</si>
  <si>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</si>
  <si>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</si>
  <si>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</si>
  <si>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</si>
  <si>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</si>
  <si>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</si>
  <si>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</si>
  <si>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</si>
  <si>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</si>
  <si>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</si>
  <si>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</si>
  <si>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</si>
  <si>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</si>
  <si>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</si>
  <si>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</si>
  <si>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</si>
  <si>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</si>
  <si>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</si>
  <si>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</si>
  <si>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</si>
  <si>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</si>
  <si>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</si>
  <si>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</si>
  <si>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</si>
  <si>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</si>
  <si>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</si>
  <si>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</si>
  <si>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</si>
  <si>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</si>
  <si>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2 Пилорама поката\E33149364_7_20260105T163002Z.jpg</t>
  </si>
  <si>
    <t>пн 05.01.2026 — 16:30:02</t>
  </si>
  <si>
    <t>E33149364_7_20260106T180019Z.jpg</t>
  </si>
  <si>
    <t>2 Пилорама поката\E33149364_7_20260106T180019Z.jpg</t>
  </si>
  <si>
    <t>вт 06.01.2026 — 18:00:19</t>
  </si>
  <si>
    <t>E33149364_7_20260107T175916Z.jpg</t>
  </si>
  <si>
    <t>2 Пилорама поката\E33149364_7_20260107T175916Z.jpg</t>
  </si>
  <si>
    <t>ср 07.01.2026 — 17:59:16</t>
  </si>
  <si>
    <t>E33149364_7_20260108T175709Z.jpg</t>
  </si>
  <si>
    <t>2 Пилорама поката\E33149364_7_20260108T175709Z.jpg</t>
  </si>
  <si>
    <t>чт 08.01.2026 — 17:57:09</t>
  </si>
  <si>
    <t>E33149364_7_20260109T180405Z.jpg</t>
  </si>
  <si>
    <t>2 Пилорама поката\E33149364_7_20260109T180405Z.jpg</t>
  </si>
  <si>
    <t>пт 09.01.2026 — 18:04:05</t>
  </si>
  <si>
    <t>E33149364_7_20260110T180513Z.jpg</t>
  </si>
  <si>
    <t>2 Пилорама поката\E33149364_7_20260110T180513Z.jpg</t>
  </si>
  <si>
    <t>сб 10.01.2026 — 18:05:13</t>
  </si>
  <si>
    <t>E33149364_7_20260111T151317Z.jpg</t>
  </si>
  <si>
    <t>2 Пилорама поката\E33149364_7_20260111T151317Z.jpg</t>
  </si>
  <si>
    <t>вс 11.01.2026 — 15:13:17</t>
  </si>
  <si>
    <t>E33149364_6_20260105T171206Z.jpg</t>
  </si>
  <si>
    <t>1 Ангар Склад 2 въезд\E33149364_6_20260105T171206Z.jpg</t>
  </si>
  <si>
    <t>пн 05.01.2026 — 17:12:06</t>
  </si>
  <si>
    <t>E33149364_6_20260106T140127Z.jpg</t>
  </si>
  <si>
    <t>1 Ангар Склад 2 въезд\E33149364_6_20260106T140127Z.jpg</t>
  </si>
  <si>
    <t>вт 06.01.2026 — 14:01:27</t>
  </si>
  <si>
    <t>E33149364_6_20260106T141024Z.jpg</t>
  </si>
  <si>
    <t>1 Ангар Склад 2 въезд\E33149364_6_20260106T141024Z.jpg</t>
  </si>
  <si>
    <t>вт 06.01.2026 — 14:10:24</t>
  </si>
  <si>
    <t>E33149364_6_20260107T162122Z.jpg</t>
  </si>
  <si>
    <t>1 Ангар Склад 2 въезд\E33149364_6_20260107T162122Z.jpg</t>
  </si>
  <si>
    <t>ср 07.01.2026 — 16:21:22</t>
  </si>
  <si>
    <t>E33149364_6_20260108T175716Z.jpg</t>
  </si>
  <si>
    <t>1 Ангар Склад 2 въезд\E33149364_6_20260108T175716Z.jpg</t>
  </si>
  <si>
    <t>чт 08.01.2026 — 17:57:16</t>
  </si>
  <si>
    <t>E33149364_6_20260108T175844Z.jpg</t>
  </si>
  <si>
    <t>1 Ангар Склад 2 въезд\E33149364_6_20260108T175844Z.jpg</t>
  </si>
  <si>
    <t>чт 08.01.2026 — 17:58:44</t>
  </si>
  <si>
    <t>E33149364_6_20260109T160341Z.jpg</t>
  </si>
  <si>
    <t>1 Ангар Склад 2 въезд\E33149364_6_20260109T160341Z.jpg</t>
  </si>
  <si>
    <t>пт 09.01.2026 — 16:03:41</t>
  </si>
  <si>
    <t>E33149364_6_20260109T161125Z.jpg</t>
  </si>
  <si>
    <t>1 Ангар Склад 2 въезд\E33149364_6_20260109T161125Z.jpg</t>
  </si>
  <si>
    <t>пт 09.01.2026 — 16:11:25</t>
  </si>
  <si>
    <t>E33149364_6_20260110T124240Z.jpg</t>
  </si>
  <si>
    <t>1 Ангар Склад 2 въезд\E33149364_6_20260110T124240Z.jpg</t>
  </si>
  <si>
    <t>сб 10.01.2026 — 12:42:40</t>
  </si>
  <si>
    <t>E33149364_6_20260110T130537Z.jpg</t>
  </si>
  <si>
    <t>1 Ангар Склад 2 въезд\E33149364_6_20260110T130537Z.jpg</t>
  </si>
  <si>
    <t>сб 10.01.2026 — 13:05:37</t>
  </si>
  <si>
    <t>E33149364_6_20260110T130805Z.jpg</t>
  </si>
  <si>
    <t>1 Ангар Склад 2 въезд\E33149364_6_20260110T130805Z.jpg</t>
  </si>
  <si>
    <t>сб 10.01.2026 — 13:08:05</t>
  </si>
  <si>
    <t>E33149364_6_20260110T130820Z.jpg</t>
  </si>
  <si>
    <t>1 Ангар Склад 2 въезд\E33149364_6_20260110T130820Z.jpg</t>
  </si>
  <si>
    <t>сб 10.01.2026 — 13:08:20</t>
  </si>
  <si>
    <t>E33149364_6_20260110T163347Z.jpg</t>
  </si>
  <si>
    <t>1 Ангар Склад 2 въезд\E33149364_6_20260110T163347Z.jpg</t>
  </si>
  <si>
    <t>сб 10.01.2026 — 16:33:47</t>
  </si>
  <si>
    <t>E33149364_6_20260110T170641Z.jpg</t>
  </si>
  <si>
    <t>1 Ангар Склад 2 въезд\E33149364_6_20260110T170641Z.jpg</t>
  </si>
  <si>
    <t>сб 10.01.2026 — 17:06:41</t>
  </si>
  <si>
    <t>E33149364_6_20260111T160324Z.jpg</t>
  </si>
  <si>
    <t>1 Ангар Склад 2 въезд\E33149364_6_20260111T160324Z.jpg</t>
  </si>
  <si>
    <t>вс 11.01.2026 — 16:03:24</t>
  </si>
  <si>
    <t>E33149364_6_20260111T185154Z.jpg</t>
  </si>
  <si>
    <t>1 Ангар Склад 2 въезд\E33149364_6_20260111T185154Z.jpg</t>
  </si>
  <si>
    <t>вс 11.01.2026 — 18:51:54</t>
  </si>
  <si>
    <t>E33149364_6_20260111T185328Z.jpg</t>
  </si>
  <si>
    <t>1 Ангар Склад 2 въезд\E33149364_6_20260111T185328Z.jpg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</si>
  <si>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</si>
  <si>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</si>
  <si>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</si>
  <si>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</si>
  <si>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</si>
  <si>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</si>
  <si>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</si>
  <si>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</si>
  <si>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</si>
  <si>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</si>
  <si>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</si>
  <si>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</si>
  <si>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</si>
  <si>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</si>
  <si>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</si>
  <si>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</si>
  <si>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</si>
  <si>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</si>
  <si>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</si>
  <si>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</si>
  <si>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</si>
  <si>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</si>
  <si>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</si>
  <si>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</si>
  <si>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</si>
  <si>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</si>
  <si>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</si>
  <si>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</si>
  <si>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</si>
  <si>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</si>
  <si>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</si>
  <si>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</si>
  <si>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</si>
  <si>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</si>
  <si>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</si>
  <si>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</si>
  <si>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</si>
  <si>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</si>
  <si>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</si>
  <si>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</si>
  <si>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</si>
  <si>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</si>
  <si>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</si>
  <si>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</si>
  <si>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8 Рейсмус\E33149364_2_20260105T143530Z.jpg</t>
  </si>
  <si>
    <t>пн 05.01.2026 — 14:35:30</t>
  </si>
  <si>
    <t>E33149364_2_20260106T155321Z.jpg</t>
  </si>
  <si>
    <t>8 Рейсмус\E33149364_2_20260106T155321Z.jpg</t>
  </si>
  <si>
    <t>вт 06.01.2026 — 15:53:21</t>
  </si>
  <si>
    <t>E33149364_2_20260107T120357Z.jpg</t>
  </si>
  <si>
    <t>8 Рейсмус\E33149364_2_20260107T120357Z.jpg</t>
  </si>
  <si>
    <t>ср 07.01.2026 — 12:03:57</t>
  </si>
  <si>
    <t>E33149364_2_20260108T142150Z.jpg</t>
  </si>
  <si>
    <t>8 Рейсмус\E33149364_2_20260108T142150Z.jpg</t>
  </si>
  <si>
    <t>чт 08.01.2026 — 14:21:50</t>
  </si>
  <si>
    <t>E33149364_2_20260109T164349Z.jpg</t>
  </si>
  <si>
    <t>8 Рейсмус\E33149364_2_20260109T164349Z.jpg</t>
  </si>
  <si>
    <t>пт 09.01.2026 — 16:43:49</t>
  </si>
  <si>
    <t>E33149364_2_20260110T160508Z.jpg</t>
  </si>
  <si>
    <t>8 Рейсмус\E33149364_2_20260110T160508Z.jpg</t>
  </si>
  <si>
    <t>сб 10.01.2026 — 16:05:08</t>
  </si>
  <si>
    <t>E33149364_2_20260111T151612Z.jpg</t>
  </si>
  <si>
    <t>8 Рейсмус\E33149364_2_20260111T151612Z.jpg</t>
  </si>
  <si>
    <t>вс 11.01.2026 — 15:16:12</t>
  </si>
  <si>
    <t>E33149364_8_20260105T162306Z.jpg</t>
  </si>
  <si>
    <t>3 Въезд на базу\E33149364_8_20260105T162306Z.jpg</t>
  </si>
  <si>
    <t>пн 05.01.2026 — 16:23:06</t>
  </si>
  <si>
    <t>E33149364_8_20260106T140140Z.jpg</t>
  </si>
  <si>
    <t>3 Въезд на базу\E33149364_8_20260106T140140Z.jpg</t>
  </si>
  <si>
    <t>вт 06.01.2026 — 14:01:40</t>
  </si>
  <si>
    <t>E33149364_8_20260107T131440Z.jpg</t>
  </si>
  <si>
    <t>3 Въезд на базу\E33149364_8_20260107T131440Z.jpg</t>
  </si>
  <si>
    <t>ср 07.01.2026 — 13:14:40</t>
  </si>
  <si>
    <t>E33149364_8_20260108T132835Z.jpg</t>
  </si>
  <si>
    <t>3 Въезд на базу\E33149364_8_20260108T132835Z.jpg</t>
  </si>
  <si>
    <t>чт 08.01.2026 — 13:28:35</t>
  </si>
  <si>
    <t>E33149364_8_20260109T160339Z.jpg</t>
  </si>
  <si>
    <t>3 Въезд на базу\E33149364_8_20260109T160339Z.jpg</t>
  </si>
  <si>
    <t>пт 09.01.2026 — 16:03:39</t>
  </si>
  <si>
    <t>E33149364_8_20260110T130856Z.jpg</t>
  </si>
  <si>
    <t>3 Въезд на базу\E33149364_8_20260110T130856Z.jpg</t>
  </si>
  <si>
    <t>сб 10.01.2026 — 13:08:56</t>
  </si>
  <si>
    <t>E33149364_8_20260111T164048Z.jpg</t>
  </si>
  <si>
    <t>3 Въезд на базу\E33149364_8_20260111T164048Z.jpg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</si>
  <si>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</si>
  <si>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</si>
  <si>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</si>
  <si>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</si>
  <si>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</si>
  <si>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</si>
  <si>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</si>
  <si>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</si>
  <si>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</si>
  <si>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</si>
  <si>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</si>
  <si>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</si>
  <si>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</si>
  <si>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</si>
  <si>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</si>
  <si>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</si>
  <si>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</si>
  <si>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</si>
  <si>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</si>
  <si>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</si>
  <si>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</si>
  <si>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</si>
  <si>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</si>
  <si>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</si>
  <si>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</si>
  <si>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</si>
  <si>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</si>
  <si>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</si>
  <si>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</si>
  <si>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</si>
  <si>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</si>
  <si>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</si>
  <si>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</si>
  <si>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</si>
  <si>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</si>
  <si>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</si>
  <si>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</si>
  <si>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</si>
  <si>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</si>
  <si>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</si>
  <si>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</si>
  <si>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</si>
  <si>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</si>
  <si>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</si>
  <si>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9 Ангар пилорама\E33149364_1_20260105T165535Z.jpg</t>
  </si>
  <si>
    <t>пн 05.01.2026 — 16:55:35</t>
  </si>
  <si>
    <t>E33149364_1_20260106T101003Z.jpg</t>
  </si>
  <si>
    <t>9 Ангар пилорама\E33149364_1_20260106T101003Z.jpg</t>
  </si>
  <si>
    <t>вт 06.01.2026 — 10:10:03</t>
  </si>
  <si>
    <t>E33149364_1_20260107T120710Z.jpg</t>
  </si>
  <si>
    <t>9 Ангар пилорама\E33149364_1_20260107T120710Z.jpg</t>
  </si>
  <si>
    <t>ср 07.01.2026 — 12:07:10</t>
  </si>
  <si>
    <t>E33149364_1_20260108T171613Z.jpg</t>
  </si>
  <si>
    <t>9 Ангар пилорама\E33149364_1_20260108T171613Z.jpg</t>
  </si>
  <si>
    <t>чт 08.01.2026 — 17:16:13</t>
  </si>
  <si>
    <t>E33149364_1_20260109T135224Z.jpg</t>
  </si>
  <si>
    <t>9 Ангар пилорама\E33149364_1_20260109T135224Z.jpg</t>
  </si>
  <si>
    <t>пт 09.01.2026 — 13:52:24</t>
  </si>
  <si>
    <t>E33149364_1_20260110T093742Z.jpg</t>
  </si>
  <si>
    <t>9 Ангар пилорама\E33149364_1_20260110T093742Z.jpg</t>
  </si>
  <si>
    <t>сб 10.01.2026 — 09:37:42</t>
  </si>
  <si>
    <t>E33149364_1_20260111T151451Z.jpg</t>
  </si>
  <si>
    <t>9 Ангар пилорама\E33149364_1_20260111T151451Z.jpg</t>
  </si>
  <si>
    <t>вс 11.01.2026 — 15:14:51</t>
  </si>
  <si>
    <t>E33149364_3_20260105T155740Z.jpg</t>
  </si>
  <si>
    <t>10 Сушилка навес\E33149364_3_20260105T155740Z.jpg</t>
  </si>
  <si>
    <t>пн 05.01.2026 — 15:57:40</t>
  </si>
  <si>
    <t>E33149364_3_20260106T102158Z.jpg</t>
  </si>
  <si>
    <t>10 Сушилка навес\E33149364_3_20260106T102158Z.jpg</t>
  </si>
  <si>
    <t>вт 06.01.2026 — 10:21:58</t>
  </si>
  <si>
    <t>E33149364_3_20260107T120822Z.jpg</t>
  </si>
  <si>
    <t>10 Сушилка навес\E33149364_3_20260107T120822Z.jpg</t>
  </si>
  <si>
    <t>ср 07.01.2026 — 12:08:22</t>
  </si>
  <si>
    <t>E33149364_3_20260108T180123Z.jpg</t>
  </si>
  <si>
    <t>10 Сушилка навес\E33149364_3_20260108T180123Z.jpg</t>
  </si>
  <si>
    <t>чт 08.01.2026 — 18:01:23</t>
  </si>
  <si>
    <t>E33149364_3_20260109T100736Z.jpg</t>
  </si>
  <si>
    <t>10 Сушилка навес\E33149364_3_20260109T100736Z.jpg</t>
  </si>
  <si>
    <t>пт 09.01.2026 — 10:07:36</t>
  </si>
  <si>
    <t>E33149364_3_20260110T140408Z.jpg</t>
  </si>
  <si>
    <t>10 Сушилка навес\E33149364_3_20260110T140408Z.jpg</t>
  </si>
  <si>
    <t>сб 10.01.2026 — 14:04:08</t>
  </si>
  <si>
    <t>E33149364_3_20260111T151240Z.jpg</t>
  </si>
  <si>
    <t>10 Сушилка навес\E33149364_3_20260111T151240Z.jpg</t>
  </si>
  <si>
    <t>вс 11.01.2026 — 15:12:40</t>
  </si>
  <si>
    <t>E33149364_4_20260105T100625Z.jpg</t>
  </si>
  <si>
    <t>11 С ангара на базу\E33149364_4_20260105T100625Z.jpg</t>
  </si>
  <si>
    <t>пн 05.01.2026 — 10:06:25</t>
  </si>
  <si>
    <t>E33149364_4_20260105T154550Z.jpg</t>
  </si>
  <si>
    <t>11 С ангара на базу\E33149364_4_20260105T154550Z.jpg</t>
  </si>
  <si>
    <t>пн 05.01.2026 — 15:45:50</t>
  </si>
  <si>
    <t>E33149364_4_20260106T102943Z.jpg</t>
  </si>
  <si>
    <t>11 С ангара на базу\E33149364_4_20260106T102943Z.jpg</t>
  </si>
  <si>
    <t>вт 06.01.2026 — 10:29:43</t>
  </si>
  <si>
    <t>E33149364_4_20260106T153323Z.jpg</t>
  </si>
  <si>
    <t>11 С ангара на базу\E33149364_4_20260106T153323Z.jpg</t>
  </si>
  <si>
    <t>вт 06.01.2026 — 15:33:23</t>
  </si>
  <si>
    <t>E33149364_4_20260107T102736Z.jpg</t>
  </si>
  <si>
    <t>11 С ангара на базу\E33149364_4_20260107T102736Z.jpg</t>
  </si>
  <si>
    <t>ср 07.01.2026 — 10:27:36</t>
  </si>
  <si>
    <t>E33149364_4_20260107T153946Z.jpg</t>
  </si>
  <si>
    <t>11 С ангара на базу\E33149364_4_20260107T153946Z.jpg</t>
  </si>
  <si>
    <t>ср 07.01.2026 — 15:39:46</t>
  </si>
  <si>
    <t>E33149364_4_20260108T113816Z.jpg</t>
  </si>
  <si>
    <t>11 С ангара на базу\E33149364_4_20260108T113816Z.jpg</t>
  </si>
  <si>
    <t>чт 08.01.2026 — 11:38:16</t>
  </si>
  <si>
    <t>E33149364_4_20260108T173157Z.jpg</t>
  </si>
  <si>
    <t>11 С ангара на базу\E33149364_4_20260108T173157Z.jpg</t>
  </si>
  <si>
    <t>чт 08.01.2026 — 17:31:57</t>
  </si>
  <si>
    <t>E33149364_4_20260109T125303Z.jpg</t>
  </si>
  <si>
    <t>11 С ангара на базу\E33149364_4_20260109T125303Z.jpg</t>
  </si>
  <si>
    <t>пт 09.01.2026 — 12:53:03</t>
  </si>
  <si>
    <t>E33149364_4_20260110T132347Z.jpg</t>
  </si>
  <si>
    <t>11 С ангара на базу\E33149364_4_20260110T132347Z.jpg</t>
  </si>
  <si>
    <t>сб 10.01.2026 — 13:23:47</t>
  </si>
  <si>
    <t>E33149364_4_20260111T155817Z.jpg</t>
  </si>
  <si>
    <t>11 С ангара на базу\E33149364_4_20260111T155817Z.jpg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</si>
  <si>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</si>
  <si>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</si>
  <si>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</si>
  <si>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</si>
  <si>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</si>
  <si>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</si>
  <si>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</si>
  <si>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</si>
  <si>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</si>
  <si>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</si>
  <si>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</si>
  <si>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</si>
  <si>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</si>
  <si>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</si>
  <si>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</si>
  <si>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</si>
  <si>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</si>
  <si>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</si>
  <si>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</si>
  <si>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</si>
  <si>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</si>
  <si>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</si>
  <si>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</si>
  <si>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</si>
  <si>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</si>
  <si>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</si>
  <si>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</si>
  <si>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</si>
  <si>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</si>
  <si>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</si>
  <si>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</si>
  <si>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</si>
  <si>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</si>
  <si>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</si>
  <si>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</si>
  <si>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</si>
  <si>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</si>
  <si>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</si>
  <si>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</si>
  <si>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</si>
  <si>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</si>
  <si>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</si>
  <si>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</si>
  <si>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</si>
  <si>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</si>
  <si>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</si>
  <si>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</si>
  <si>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</si>
  <si>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</si>
  <si>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</si>
  <si>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</si>
  <si>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</si>
  <si>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</si>
  <si>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</si>
  <si>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</si>
  <si>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</si>
  <si>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</si>
  <si>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</si>
  <si>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</si>
  <si>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</si>
  <si>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</si>
  <si>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</si>
  <si>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</si>
  <si>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</si>
  <si>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</si>
  <si>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</si>
  <si>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</si>
  <si>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</si>
  <si>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</si>
  <si>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</si>
  <si>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</si>
  <si>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</si>
  <si>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</si>
  <si>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2 Пилорама поката\E33149364_7_20260112T110526Z.jpg</t>
  </si>
  <si>
    <t>пн 12.01.2026 — 11:05:26</t>
  </si>
  <si>
    <t>E33149364_7_20260112T110542Z.jpg</t>
  </si>
  <si>
    <t>2 Пилорама поката\E33149364_7_20260112T110542Z.jpg</t>
  </si>
  <si>
    <t>пн 12.01.2026 — 11:05:42</t>
  </si>
  <si>
    <t>E33149364_7_20260112T112812Z.jpg</t>
  </si>
  <si>
    <t>2 Пилорама поката\E33149364_7_20260112T112812Z.jpg</t>
  </si>
  <si>
    <t>пн 12.01.2026 — 11:28:12</t>
  </si>
  <si>
    <t>E33149364_7_20260112T141240Z.jpg</t>
  </si>
  <si>
    <t>2 Пилорама поката\E33149364_7_20260112T141240Z.jpg</t>
  </si>
  <si>
    <t>пн 12.01.2026 — 14:12:40</t>
  </si>
  <si>
    <t>E33149364_7_20260112T142204Z.jpg</t>
  </si>
  <si>
    <t>2 Пилорама поката\E33149364_7_20260112T142204Z.jpg</t>
  </si>
  <si>
    <t>пн 12.01.2026 — 14:22:04</t>
  </si>
  <si>
    <t>E33149364_7_20260112T160117Z.jpg</t>
  </si>
  <si>
    <t>2 Пилорама поката\E33149364_7_20260112T160117Z.jpg</t>
  </si>
  <si>
    <t>пн 12.01.2026 — 16:01:17</t>
  </si>
  <si>
    <t>E33149364_7_20260112T160129Z.jpg</t>
  </si>
  <si>
    <t>2 Пилорама поката\E33149364_7_20260112T160129Z.jpg</t>
  </si>
  <si>
    <t>пн 12.01.2026 — 16:01:29</t>
  </si>
  <si>
    <t>E33149364_7_20260113T093213Z.jpg</t>
  </si>
  <si>
    <t>2 Пилорама поката\E33149364_7_20260113T093213Z.jpg</t>
  </si>
  <si>
    <t>вт 13.01.2026 — 09:32:13</t>
  </si>
  <si>
    <t>E33149364_6_20260112T161502Z.jpg</t>
  </si>
  <si>
    <t>1 Ангар Склад 2 въезд\E33149364_6_20260112T161502Z.jpg</t>
  </si>
  <si>
    <t>пн 12.01.2026 — 16:15:02</t>
  </si>
  <si>
    <t>E33149364_6_20260113T095152Z.jpg</t>
  </si>
  <si>
    <t>1 Ангар Склад 2 въезд\E33149364_6_20260113T095152Z.jpg</t>
  </si>
  <si>
    <t>вт 13.01.2026 — 09:51:52</t>
  </si>
  <si>
    <t>E33149364_6_20260113T095410Z.jpg</t>
  </si>
  <si>
    <t>1 Ангар Склад 2 въезд\E33149364_6_20260113T095410Z.jpg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</si>
  <si>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</si>
  <si>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</si>
  <si>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</si>
  <si>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</si>
  <si>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</si>
  <si>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</si>
  <si>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</si>
  <si>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</si>
  <si>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</si>
  <si>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</si>
  <si>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</si>
  <si>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</si>
  <si>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</si>
  <si>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</si>
  <si>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</si>
  <si>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</si>
  <si>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</si>
  <si>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</si>
  <si>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</si>
  <si>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</si>
  <si>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</si>
  <si>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</si>
  <si>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</si>
  <si>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</si>
  <si>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</si>
  <si>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</si>
  <si>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</si>
  <si>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</si>
  <si>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</si>
  <si>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</si>
  <si>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</si>
  <si>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</si>
  <si>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</si>
  <si>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</si>
  <si>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</si>
  <si>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</si>
  <si>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</si>
  <si>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</si>
  <si>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9 Ангар пилорама\E33149364_1_20260112T101423Z.jpg</t>
  </si>
  <si>
    <t>пн 12.01.2026 — 10:14:23</t>
  </si>
  <si>
    <t>E33149364_1_20260112T105545Z.jpg</t>
  </si>
  <si>
    <t>9 Ангар пилорама\E33149364_1_20260112T105545Z.jpg</t>
  </si>
  <si>
    <t>пн 12.01.2026 — 10:55:45</t>
  </si>
  <si>
    <t>E33149364_1_20260112T105619Z.jpg</t>
  </si>
  <si>
    <t>9 Ангар пилорама\E33149364_1_20260112T105619Z.jpg</t>
  </si>
  <si>
    <t>пн 12.01.2026 — 10:56:19</t>
  </si>
  <si>
    <t>E33149364_1_20260112T105623Z.jpg</t>
  </si>
  <si>
    <t>9 Ангар пилорама\E33149364_1_20260112T105623Z.jpg</t>
  </si>
  <si>
    <t>пн 12.01.2026 — 10:56:23</t>
  </si>
  <si>
    <t>E33149364_1_20260112T112855Z.jpg</t>
  </si>
  <si>
    <t>9 Ангар пилорама\E33149364_1_20260112T112855Z.jpg</t>
  </si>
  <si>
    <t>пн 12.01.2026 — 11:28:55</t>
  </si>
  <si>
    <t>E33149364_1_20260112T113441Z.jpg</t>
  </si>
  <si>
    <t>9 Ангар пилорама\E33149364_1_20260112T113441Z.jpg</t>
  </si>
  <si>
    <t>пн 12.01.2026 — 11:34:41</t>
  </si>
  <si>
    <t>E33149364_1_20260112T115004Z.jpg</t>
  </si>
  <si>
    <t>9 Ангар пилорама\E33149364_1_20260112T115004Z.jpg</t>
  </si>
  <si>
    <t>пн 12.01.2026 — 11:50:04</t>
  </si>
  <si>
    <t>E33149364_1_20260112T115658Z.jpg</t>
  </si>
  <si>
    <t>9 Ангар пилорама\E33149364_1_20260112T115658Z.jpg</t>
  </si>
  <si>
    <t>пн 12.01.2026 — 11:56:58</t>
  </si>
  <si>
    <t>E33149364_1_20260112T120429Z.jpg</t>
  </si>
  <si>
    <t>9 Ангар пилорама\E33149364_1_20260112T120429Z.jpg</t>
  </si>
  <si>
    <t>пн 12.01.2026 — 12:04:29</t>
  </si>
  <si>
    <t>E33149364_1_20260112T121626Z.jpg</t>
  </si>
  <si>
    <t>9 Ангар пилорама\E33149364_1_20260112T121626Z.jpg</t>
  </si>
  <si>
    <t>пн 12.01.2026 — 12:16:26</t>
  </si>
  <si>
    <t>E33149364_1_20260112T122707Z.jpg</t>
  </si>
  <si>
    <t>9 Ангар пилорама\E33149364_1_20260112T122707Z.jpg</t>
  </si>
  <si>
    <t>пн 12.01.2026 — 12:27:07</t>
  </si>
  <si>
    <t>E33149364_1_20260112T141528Z.jpg</t>
  </si>
  <si>
    <t>9 Ангар пилорама\E33149364_1_20260112T141528Z.jpg</t>
  </si>
  <si>
    <t>пн 12.01.2026 — 14:15:28</t>
  </si>
  <si>
    <t>E33149364_1_20260112T142606Z.jpg</t>
  </si>
  <si>
    <t>9 Ангар пилорама\E33149364_1_20260112T142606Z.jpg</t>
  </si>
  <si>
    <t>пн 12.01.2026 — 14:26:06</t>
  </si>
  <si>
    <t>E33149364_1_20260112T145301Z.jpg</t>
  </si>
  <si>
    <t>9 Ангар пилорама\E33149364_1_20260112T145301Z.jpg</t>
  </si>
  <si>
    <t>пн 12.01.2026 — 14:53:01</t>
  </si>
  <si>
    <t>E33149364_1_20260112T171017Z.jpg</t>
  </si>
  <si>
    <t>9 Ангар пилорама\E33149364_1_20260112T171017Z.jpg</t>
  </si>
  <si>
    <t>пн 12.01.2026 — 17:10:17</t>
  </si>
  <si>
    <t>E33149364_1_20260112T212223Z.jpg</t>
  </si>
  <si>
    <t>9 Ангар пилорама\E33149364_1_20260112T212223Z.jpg</t>
  </si>
  <si>
    <t>пн 12.01.2026 — 21:22:23</t>
  </si>
  <si>
    <t>E33149364_1_20260113T090056Z.jpg</t>
  </si>
  <si>
    <t>9 Ангар пилорама\E33149364_1_20260113T090056Z.jpg</t>
  </si>
  <si>
    <t>вт 13.01.2026 — 09:00:56</t>
  </si>
  <si>
    <t>E33149364_1_20260113T100502Z.jpg</t>
  </si>
  <si>
    <t>9 Ангар пилорама\E33149364_1_20260113T100502Z.jpg</t>
  </si>
  <si>
    <t>вт 13.01.2026 — 10:05:02</t>
  </si>
  <si>
    <t>E33149364_1_20260113T101500Z.jpg</t>
  </si>
  <si>
    <t>9 Ангар пилорама\E33149364_1_20260113T101500Z.jpg</t>
  </si>
  <si>
    <t>вт 13.01.2026 — 10:15:00</t>
  </si>
  <si>
    <t>E33149364_1_20260113T101533Z.jpg</t>
  </si>
  <si>
    <t>9 Ангар пилорама\E33149364_1_20260113T101533Z.jpg</t>
  </si>
  <si>
    <t>вт 13.01.2026 — 10:15:33</t>
  </si>
  <si>
    <t>E33149364_1_20260113T101608Z.jpg</t>
  </si>
  <si>
    <t>9 Ангар пилорама\E33149364_1_20260113T101608Z.jpg</t>
  </si>
  <si>
    <t>вт 13.01.2026 — 10:16:08</t>
  </si>
  <si>
    <t>E33149364_1_20260113T111018Z.jpg</t>
  </si>
  <si>
    <t>9 Ангар пилорама\E33149364_1_20260113T111018Z.jpg</t>
  </si>
  <si>
    <t>вт 13.01.2026 — 11:10:18</t>
  </si>
  <si>
    <t>E33149364_1_20260113T123811Z.jpg</t>
  </si>
  <si>
    <t>9 Ангар пилорама\E33149364_1_20260113T123811Z.jpg</t>
  </si>
  <si>
    <t>вт 13.01.2026 — 12:38:11</t>
  </si>
  <si>
    <t>E33149364_1_20260113T160529Z.jpg</t>
  </si>
  <si>
    <t>9 Ангар пилорама\E33149364_1_20260113T160529Z.jpg</t>
  </si>
  <si>
    <t>вт 13.01.2026 — 16:05:29</t>
  </si>
  <si>
    <t>E33149364_1_20260113T161329Z.jpg</t>
  </si>
  <si>
    <t>9 Ангар пилорама\E33149364_1_20260113T161329Z.jpg</t>
  </si>
  <si>
    <t>вт 13.01.2026 — 16:13:29</t>
  </si>
  <si>
    <t>E33149364_1_20260113T204326Z.jpg</t>
  </si>
  <si>
    <t>9 Ангар пилорама\E33149364_1_20260113T204326Z.jpg</t>
  </si>
  <si>
    <t>вт 13.01.2026 — 20:43:26</t>
  </si>
  <si>
    <t>E33149364_8_20260112T102742Z.jpg</t>
  </si>
  <si>
    <t>C:\ВИДЕОНАБЛЮДЕНИЕ\3 Въезд на базу\captrue\</t>
  </si>
  <si>
    <t>3 Въезд на базу\E33149364_8_20260112T102742Z.jpg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</si>
  <si>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</si>
  <si>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</si>
  <si>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</si>
  <si>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</si>
  <si>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</si>
  <si>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</si>
  <si>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</si>
  <si>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</si>
  <si>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3 Въезд на базу\E33149364_8_20260113T114146Z.jpg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</si>
  <si>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</si>
  <si>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</si>
  <si>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</si>
  <si>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</si>
  <si>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</si>
  <si>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</si>
  <si>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</si>
  <si>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</si>
  <si>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</si>
  <si>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</si>
  <si>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</si>
  <si>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</si>
  <si>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</si>
  <si>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</si>
  <si>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8 Рейсмус\E33149364_2_20260112T114636Z.jpg</t>
  </si>
  <si>
    <t>пн 12.01.2026 — 11:46:36</t>
  </si>
  <si>
    <t>E33149364_2_20260113T094656Z.jpg</t>
  </si>
  <si>
    <t>8 Рейсмус\E33149364_2_20260113T094656Z.jpg</t>
  </si>
  <si>
    <t>вт 13.01.2026 — 09:46:56</t>
  </si>
  <si>
    <t>E33149364_2_20260113T101853Z.jpg</t>
  </si>
  <si>
    <t>8 Рейсмус\E33149364_2_20260113T101853Z.jpg</t>
  </si>
  <si>
    <t>вт 13.01.2026 — 10:18:53</t>
  </si>
  <si>
    <t>E33149364_2_20260113T105555Z.jpg</t>
  </si>
  <si>
    <t>8 Рейсмус\E33149364_2_20260113T105555Z.jpg</t>
  </si>
  <si>
    <t>вт 13.01.2026 — 10:55:55</t>
  </si>
  <si>
    <t>E33149364_2_20260113T105704Z.jpg</t>
  </si>
  <si>
    <t>8 Рейсмус\E33149364_2_20260113T105704Z.jpg</t>
  </si>
  <si>
    <t>вт 13.01.2026 — 10:57:04</t>
  </si>
  <si>
    <t>E33149364_2_20260113T110312Z.jpg</t>
  </si>
  <si>
    <t>8 Рейсмус\E33149364_2_20260113T110312Z.jpg</t>
  </si>
  <si>
    <t>вт 13.01.2026 — 11:03:12</t>
  </si>
  <si>
    <t>E33149364_2_20260113T111700Z.jpg</t>
  </si>
  <si>
    <t>8 Рейсмус\E33149364_2_20260113T111700Z.jpg</t>
  </si>
  <si>
    <t>вт 13.01.2026 — 11:17:00</t>
  </si>
  <si>
    <t>E33149364_2_20260113T203057Z.jpg</t>
  </si>
  <si>
    <t>8 Рейсмус\E33149364_2_20260113T203057Z.jpg</t>
  </si>
  <si>
    <t>вт 13.01.2026 — 20:30:57</t>
  </si>
  <si>
    <t>E33149364_2_20260113T204154Z.jpg</t>
  </si>
  <si>
    <t>8 Рейсмус\E33149364_2_20260113T204154Z.jpg</t>
  </si>
  <si>
    <t>вт 13.01.2026 — 20:41:54</t>
  </si>
  <si>
    <t>E33149364_3_20260112T103346Z.jpg</t>
  </si>
  <si>
    <t>10 Сушилка навес\E33149364_3_20260112T103346Z.jpg</t>
  </si>
  <si>
    <t>пн 12.01.2026 — 10:33:46</t>
  </si>
  <si>
    <t>E33149364_3_20260112T104707Z.jpg</t>
  </si>
  <si>
    <t>10 Сушилка навес\E33149364_3_20260112T104707Z.jpg</t>
  </si>
  <si>
    <t>пн 12.01.2026 — 10:47:07</t>
  </si>
  <si>
    <t>E33149364_3_20260112T104823Z.jpg</t>
  </si>
  <si>
    <t>10 Сушилка навес\E33149364_3_20260112T104823Z.jpg</t>
  </si>
  <si>
    <t>пн 12.01.2026 — 10:48:23</t>
  </si>
  <si>
    <t>E33149364_3_20260112T104943Z.jpg</t>
  </si>
  <si>
    <t>10 Сушилка навес\E33149364_3_20260112T104943Z.jpg</t>
  </si>
  <si>
    <t>пн 12.01.2026 — 10:49:43</t>
  </si>
  <si>
    <t>E33149364_3_20260112T112731Z.jpg</t>
  </si>
  <si>
    <t>10 Сушилка навес\E33149364_3_20260112T112731Z.jpg</t>
  </si>
  <si>
    <t>пн 12.01.2026 — 11:27:31</t>
  </si>
  <si>
    <t>E33149364_3_20260112T113458Z.jpg</t>
  </si>
  <si>
    <t>10 Сушилка навес\E33149364_3_20260112T113458Z.jpg</t>
  </si>
  <si>
    <t>пн 12.01.2026 — 11:34:58</t>
  </si>
  <si>
    <t>E33149364_3_20260112T113822Z.jpg</t>
  </si>
  <si>
    <t>10 Сушилка навес\E33149364_3_20260112T113822Z.jpg</t>
  </si>
  <si>
    <t>пн 12.01.2026 — 11:38:22</t>
  </si>
  <si>
    <t>E33149364_3_20260112T115803Z.jpg</t>
  </si>
  <si>
    <t>10 Сушилка навес\E33149364_3_20260112T115803Z.jpg</t>
  </si>
  <si>
    <t>пн 12.01.2026 — 11:58:03</t>
  </si>
  <si>
    <t>E33149364_3_20260112T115825Z.jpg</t>
  </si>
  <si>
    <t>10 Сушилка навес\E33149364_3_20260112T115825Z.jpg</t>
  </si>
  <si>
    <t>пн 12.01.2026 — 11:58:25</t>
  </si>
  <si>
    <t>E33149364_3_20260112T121734Z.jpg</t>
  </si>
  <si>
    <t>10 Сушилка навес\E33149364_3_20260112T121734Z.jpg</t>
  </si>
  <si>
    <t>пн 12.01.2026 — 12:17:34</t>
  </si>
  <si>
    <t>E33149364_3_20260112T121739Z.jpg</t>
  </si>
  <si>
    <t>10 Сушилка навес\E33149364_3_20260112T121739Z.jpg</t>
  </si>
  <si>
    <t>пн 12.01.2026 — 12:17:39</t>
  </si>
  <si>
    <t>E33149364_3_20260112T122830Z.jpg</t>
  </si>
  <si>
    <t>10 Сушилка навес\E33149364_3_20260112T122830Z.jpg</t>
  </si>
  <si>
    <t>пн 12.01.2026 — 12:28:30</t>
  </si>
  <si>
    <t>E33149364_3_20260112T141206Z.jpg</t>
  </si>
  <si>
    <t>10 Сушилка навес\E33149364_3_20260112T141206Z.jpg</t>
  </si>
  <si>
    <t>пн 12.01.2026 — 14:12:06</t>
  </si>
  <si>
    <t>E33149364_3_20260112T142139Z.jpg</t>
  </si>
  <si>
    <t>10 Сушилка навес\E33149364_3_20260112T142139Z.jpg</t>
  </si>
  <si>
    <t>пн 12.01.2026 — 14:21:39</t>
  </si>
  <si>
    <t>E33149364_3_20260112T142729Z.jpg</t>
  </si>
  <si>
    <t>10 Сушилка навес\E33149364_3_20260112T142729Z.jpg</t>
  </si>
  <si>
    <t>пн 12.01.2026 — 14:27:29</t>
  </si>
  <si>
    <t>E33149364_3_20260112T145819Z.jpg</t>
  </si>
  <si>
    <t>10 Сушилка навес\E33149364_3_20260112T145819Z.jpg</t>
  </si>
  <si>
    <t>пн 12.01.2026 — 14:58:19</t>
  </si>
  <si>
    <t>E33149364_3_20260113T092130Z.jpg</t>
  </si>
  <si>
    <t>10 Сушилка навес\E33149364_3_20260113T092130Z.jpg</t>
  </si>
  <si>
    <t>вт 13.01.2026 — 09:21:30</t>
  </si>
  <si>
    <t>E33149364_3_20260113T092134Z.jpg</t>
  </si>
  <si>
    <t>10 Сушилка навес\E33149364_3_20260113T092134Z.jpg</t>
  </si>
  <si>
    <t>вт 13.01.2026 — 09:21:34</t>
  </si>
  <si>
    <t>E33149364_3_20260113T092352Z.jpg</t>
  </si>
  <si>
    <t>10 Сушилка навес\E33149364_3_20260113T092352Z.jpg</t>
  </si>
  <si>
    <t>вт 13.01.2026 — 09:23:52</t>
  </si>
  <si>
    <t>E33149364_3_20260113T094131Z.jpg</t>
  </si>
  <si>
    <t>10 Сушилка навес\E33149364_3_20260113T094131Z.jpg</t>
  </si>
  <si>
    <t>вт 13.01.2026 — 09:41:31</t>
  </si>
  <si>
    <t>E33149364_3_20260113T095917Z.jpg</t>
  </si>
  <si>
    <t>10 Сушилка навес\E33149364_3_20260113T095917Z.jpg</t>
  </si>
  <si>
    <t>вт 13.01.2026 — 09:59:17</t>
  </si>
  <si>
    <t>E33149364_3_20260113T100240Z.jpg</t>
  </si>
  <si>
    <t>10 Сушилка навес\E33149364_3_20260113T100240Z.jpg</t>
  </si>
  <si>
    <t>вт 13.01.2026 — 10:02:40</t>
  </si>
  <si>
    <t>E33149364_3_20260113T110728Z.jpg</t>
  </si>
  <si>
    <t>10 Сушилка навес\E33149364_3_20260113T110728Z.jpg</t>
  </si>
  <si>
    <t>вт 13.01.2026 — 11:07:28</t>
  </si>
  <si>
    <t>E33149364_3_20260113T111149Z.jpg</t>
  </si>
  <si>
    <t>10 Сушилка навес\E33149364_3_20260113T111149Z.jpg</t>
  </si>
  <si>
    <t>вт 13.01.2026 — 11:11:49</t>
  </si>
  <si>
    <t>E33149364_3_20260113T111154Z.jpg</t>
  </si>
  <si>
    <t>10 Сушилка навес\E33149364_3_20260113T111154Z.jpg</t>
  </si>
  <si>
    <t>вт 13.01.2026 — 11:11:54</t>
  </si>
  <si>
    <t>E33149364_3_20260113T113729Z.jpg</t>
  </si>
  <si>
    <t>10 Сушилка навес\E33149364_3_20260113T113729Z.jpg</t>
  </si>
  <si>
    <t>вт 13.01.2026 — 11:37:29</t>
  </si>
  <si>
    <t>E33149364_3_20260113T113852Z.jpg</t>
  </si>
  <si>
    <t>10 Сушилка навес\E33149364_3_20260113T113852Z.jpg</t>
  </si>
  <si>
    <t>вт 13.01.2026 — 11:38:52</t>
  </si>
  <si>
    <t>E33149364_3_20260113T115013Z.jpg</t>
  </si>
  <si>
    <t>10 Сушилка навес\E33149364_3_20260113T115013Z.jpg</t>
  </si>
  <si>
    <t>вт 13.01.2026 — 11:50:13</t>
  </si>
  <si>
    <t>E33149364_3_20260113T151633Z.jpg</t>
  </si>
  <si>
    <t>10 Сушилка навес\E33149364_3_20260113T151633Z.jpg</t>
  </si>
  <si>
    <t>вт 13.01.2026 — 15:16:33</t>
  </si>
  <si>
    <t>E33149364_4_20260112T104949Z.jpg</t>
  </si>
  <si>
    <t>11 С ангара на базу\E33149364_4_20260112T104949Z.jpg</t>
  </si>
  <si>
    <t>пн 12.01.2026 — 10:49:49</t>
  </si>
  <si>
    <t>E33149364_4_20260112T112342Z.jpg</t>
  </si>
  <si>
    <t>11 С ангара на базу\E33149364_4_20260112T112342Z.jpg</t>
  </si>
  <si>
    <t>пн 12.01.2026 — 11:23:42</t>
  </si>
  <si>
    <t>E33149364_4_20260112T112354Z.jpg</t>
  </si>
  <si>
    <t>11 С ангара на базу\E33149364_4_20260112T112354Z.jpg</t>
  </si>
  <si>
    <t>пн 12.01.2026 — 11:23:54</t>
  </si>
  <si>
    <t>E33149364_4_20260112T112639Z.jpg</t>
  </si>
  <si>
    <t>11 С ангара на базу\E33149364_4_20260112T112639Z.jpg</t>
  </si>
  <si>
    <t>пн 12.01.2026 — 11:26:39</t>
  </si>
  <si>
    <t>E33149364_4_20260112T113912Z.jpg</t>
  </si>
  <si>
    <t>11 С ангара на базу\E33149364_4_20260112T113912Z.jpg</t>
  </si>
  <si>
    <t>пн 12.01.2026 — 11:39:12</t>
  </si>
  <si>
    <t>E33149364_4_20260112T171536Z.jpg</t>
  </si>
  <si>
    <t>11 С ангара на базу\E33149364_4_20260112T171536Z.jpg</t>
  </si>
  <si>
    <t>пн 12.01.2026 — 17:15:36</t>
  </si>
  <si>
    <t>E33149364_4_20260113T111227Z.jpg</t>
  </si>
  <si>
    <t>11 С ангара на базу\E33149364_4_20260113T111227Z.jpg</t>
  </si>
  <si>
    <t>вт 13.01.2026 — 11:12:27</t>
  </si>
  <si>
    <t>E33149364_4_20260113T111916Z.jpg</t>
  </si>
  <si>
    <t>11 С ангара на базу\E33149364_4_20260113T111916Z.jpg</t>
  </si>
  <si>
    <t>вт 13.01.2026 — 11:19:16</t>
  </si>
  <si>
    <t>E33149364_4_20260113T111943Z.jpg</t>
  </si>
  <si>
    <t>11 С ангара на базу\E33149364_4_20260113T111943Z.jpg</t>
  </si>
  <si>
    <t>вт 13.01.2026 — 11:19:43</t>
  </si>
  <si>
    <t>E33149364_4_20260113T113021Z.jpg</t>
  </si>
  <si>
    <t>11 С ангара на базу\E33149364_4_20260113T113021Z.jpg</t>
  </si>
  <si>
    <t>вт 13.01.2026 — 11:30:21</t>
  </si>
  <si>
    <t>E33149364_4_20260113T171241Z.jpg</t>
  </si>
  <si>
    <t>11 С ангара на базу\E33149364_4_20260113T171241Z.jpg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</si>
  <si>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</si>
  <si>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</si>
  <si>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</si>
  <si>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</si>
  <si>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</si>
  <si>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</si>
  <si>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</si>
  <si>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</si>
  <si>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</si>
  <si>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</si>
  <si>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</si>
  <si>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</si>
  <si>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</si>
  <si>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</si>
  <si>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</si>
  <si>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</si>
  <si>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</si>
  <si>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</si>
  <si>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</si>
  <si>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</si>
  <si>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</si>
  <si>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</si>
  <si>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</si>
  <si>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</si>
  <si>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</si>
  <si>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</si>
  <si>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</si>
  <si>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</si>
  <si>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</si>
  <si>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</si>
  <si>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</si>
  <si>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</si>
  <si>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</si>
  <si>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</si>
  <si>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</si>
  <si>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</si>
  <si>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</si>
  <si>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</si>
  <si>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</si>
  <si>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</si>
  <si>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</si>
  <si>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</si>
  <si>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</si>
  <si>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</si>
  <si>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</si>
  <si>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</si>
  <si>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</si>
  <si>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</si>
  <si>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</si>
  <si>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</si>
  <si>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</si>
  <si>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</si>
  <si>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</si>
  <si>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</si>
  <si>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</si>
  <si>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</si>
  <si>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</si>
  <si>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</si>
  <si>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</si>
  <si>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</si>
  <si>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</si>
  <si>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</si>
  <si>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</si>
  <si>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</si>
  <si>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</si>
  <si>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</si>
  <si>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</si>
  <si>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</si>
  <si>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2 Пилорама поката\E33149364_7_20260114T120901Z.jpg</t>
  </si>
  <si>
    <t>ср 14.01.2026 — 12:09:01</t>
  </si>
  <si>
    <t>E33149364_7_20260114T122047Z.jpg</t>
  </si>
  <si>
    <t>2 Пилорама поката\E33149364_7_20260114T122047Z.jpg</t>
  </si>
  <si>
    <t>ср 14.01.2026 — 12:20:47</t>
  </si>
  <si>
    <t>E33149364_7_20260114T142146Z.jpg</t>
  </si>
  <si>
    <t>2 Пилорама поката\E33149364_7_20260114T142146Z.jpg</t>
  </si>
  <si>
    <t>ср 14.01.2026 — 14:21:46</t>
  </si>
  <si>
    <t>E33149364_7_20260114T162123Z.jpg</t>
  </si>
  <si>
    <t>2 Пилорама поката\E33149364_7_20260114T162123Z.jpg</t>
  </si>
  <si>
    <t>ср 14.01.2026 — 16:21:23</t>
  </si>
  <si>
    <t>E33149364_7_20260114T165837Z.jpg</t>
  </si>
  <si>
    <t>2 Пилорама поката\E33149364_7_20260114T165837Z.jpg</t>
  </si>
  <si>
    <t>ср 14.01.2026 — 16:58:37</t>
  </si>
  <si>
    <t>E33149364_7_20260115T164019Z.jpg</t>
  </si>
  <si>
    <t>2 Пилорама поката\E33149364_7_20260115T164019Z.jpg</t>
  </si>
  <si>
    <t>чт 15.01.2026 — 16:40:19</t>
  </si>
  <si>
    <t>E33149364_7_20260116T092426Z.jpg</t>
  </si>
  <si>
    <t>2 Пилорама поката\E33149364_7_20260116T092426Z.jpg</t>
  </si>
  <si>
    <t>пт 16.01.2026 — 09:24:26</t>
  </si>
  <si>
    <t>E33149364_7_20260116T092432Z.jpg</t>
  </si>
  <si>
    <t>2 Пилорама поката\E33149364_7_20260116T092432Z.jpg</t>
  </si>
  <si>
    <t>пт 16.01.2026 — 09:24:32</t>
  </si>
  <si>
    <t>E33149364_7_20260116T110858Z.jpg</t>
  </si>
  <si>
    <t>2 Пилорама поката\E33149364_7_20260116T110858Z.jpg</t>
  </si>
  <si>
    <t>пт 16.01.2026 — 11:08:58</t>
  </si>
  <si>
    <t>E33149364_8_20260114T152209Z.jpg</t>
  </si>
  <si>
    <t>3 Въезд на базу\E33149364_8_20260114T152209Z.jpg</t>
  </si>
  <si>
    <t>ср 14.01.2026 — 15:22:09</t>
  </si>
  <si>
    <t>E33149364_6_20260114T115809Z.jpg</t>
  </si>
  <si>
    <t>1 Ангар Склад 2 въезд\E33149364_6_20260114T115809Z.jpg</t>
  </si>
  <si>
    <t>ср 14.01.2026 — 11:58:09</t>
  </si>
  <si>
    <t>E33149364_6_20260114T165951Z.jpg</t>
  </si>
  <si>
    <t>1 Ангар Склад 2 въезд\E33149364_6_20260114T165951Z.jpg</t>
  </si>
  <si>
    <t>ср 14.01.2026 — 16:59:51</t>
  </si>
  <si>
    <t>E33149364_6_20260115T155056Z.jpg</t>
  </si>
  <si>
    <t>1 Ангар Склад 2 въезд\E33149364_6_20260115T155056Z.jpg</t>
  </si>
  <si>
    <t>чт 15.01.2026 — 15:50:56</t>
  </si>
  <si>
    <t>E33149364_6_20260116T100227Z.jpg</t>
  </si>
  <si>
    <t>1 Ангар Склад 2 въезд\E33149364_6_20260116T100227Z.jpg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</si>
  <si>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</si>
  <si>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</si>
  <si>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</si>
  <si>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</si>
  <si>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</si>
  <si>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</si>
  <si>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</si>
  <si>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</si>
  <si>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</si>
  <si>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</si>
  <si>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</si>
  <si>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</si>
  <si>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</si>
  <si>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</si>
  <si>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</si>
  <si>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</si>
  <si>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</si>
  <si>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8 Рейсмус\E33149364_2_20260114T090431Z.jpg</t>
  </si>
  <si>
    <t>ср 14.01.2026 — 09:04:31</t>
  </si>
  <si>
    <t>E33149364_2_20260114T202355Z.jpg</t>
  </si>
  <si>
    <t>8 Рейсмус\E33149364_2_20260114T202355Z.jpg</t>
  </si>
  <si>
    <t>ср 14.01.2026 — 20:23:55</t>
  </si>
  <si>
    <t>E33149364_2_20260114T202512Z.jpg</t>
  </si>
  <si>
    <t>8 Рейсмус\E33149364_2_20260114T202512Z.jpg</t>
  </si>
  <si>
    <t>ср 14.01.2026 — 20:25:12</t>
  </si>
  <si>
    <t>E33149364_2_20260114T202529Z.jpg</t>
  </si>
  <si>
    <t>8 Рейсмус\E33149364_2_20260114T202529Z.jpg</t>
  </si>
  <si>
    <t>ср 14.01.2026 — 20:25:29</t>
  </si>
  <si>
    <t>E33149364_2_20260114T203648Z.jpg</t>
  </si>
  <si>
    <t>8 Рейсмус\E33149364_2_20260114T203648Z.jpg</t>
  </si>
  <si>
    <t>ср 14.01.2026 — 20:36:48</t>
  </si>
  <si>
    <t>E33149364_2_20260114T204143Z.jpg</t>
  </si>
  <si>
    <t>8 Рейсмус\E33149364_2_20260114T204143Z.jpg</t>
  </si>
  <si>
    <t>ср 14.01.2026 — 20:41:43</t>
  </si>
  <si>
    <t>E33149364_1_20260114T091823Z.jpg</t>
  </si>
  <si>
    <t>9 Ангар пилорама\E33149364_1_20260114T091823Z.jpg</t>
  </si>
  <si>
    <t>ср 14.01.2026 — 09:18:23</t>
  </si>
  <si>
    <t>E33149364_1_20260114T101947Z.jpg</t>
  </si>
  <si>
    <t>9 Ангар пилорама\E33149364_1_20260114T101947Z.jpg</t>
  </si>
  <si>
    <t>ср 14.01.2026 — 10:19:47</t>
  </si>
  <si>
    <t>E33149364_1_20260114T115854Z.jpg</t>
  </si>
  <si>
    <t>9 Ангар пилорама\E33149364_1_20260114T115854Z.jpg</t>
  </si>
  <si>
    <t>ср 14.01.2026 — 11:58:54</t>
  </si>
  <si>
    <t>E33149364_1_20260114T204251Z.jpg</t>
  </si>
  <si>
    <t>9 Ангар пилорама\E33149364_1_20260114T204251Z.jpg</t>
  </si>
  <si>
    <t>ср 14.01.2026 — 20:42:51</t>
  </si>
  <si>
    <t>E33149364_3_20260114T115944Z.jpg</t>
  </si>
  <si>
    <t>10 Сушилка навес\E33149364_3_20260114T115944Z.jpg</t>
  </si>
  <si>
    <t>ср 14.01.2026 — 11:59:44</t>
  </si>
  <si>
    <t>E33149364_3_20260114T142846Z.jpg</t>
  </si>
  <si>
    <t>10 Сушилка навес\E33149364_3_20260114T142846Z.jpg</t>
  </si>
  <si>
    <t>ср 14.01.2026 — 14:28:46</t>
  </si>
  <si>
    <t>E33149364_3_20260114T165843Z.jpg</t>
  </si>
  <si>
    <t>10 Сушилка навес\E33149364_3_20260114T165843Z.jpg</t>
  </si>
  <si>
    <t>ср 14.01.2026 — 16:58:43</t>
  </si>
  <si>
    <t>E33149364_3_20260114T171225Z.jpg</t>
  </si>
  <si>
    <t>10 Сушилка навес\E33149364_3_20260114T171225Z.jpg</t>
  </si>
  <si>
    <t>ср 14.01.2026 — 17:12:25</t>
  </si>
  <si>
    <t>E33149364_4_20260114T140708Z.jpg</t>
  </si>
  <si>
    <t>11 С ангара на базу\E33149364_4_20260114T140708Z.jpg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</si>
  <si>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</si>
  <si>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</si>
  <si>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</si>
  <si>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</si>
  <si>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</si>
  <si>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</si>
  <si>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</si>
  <si>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</si>
  <si>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</si>
  <si>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</si>
  <si>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</si>
  <si>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</si>
  <si>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</si>
  <si>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</si>
  <si>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</si>
  <si>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</si>
  <si>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</si>
  <si>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</si>
  <si>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</si>
  <si>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</si>
  <si>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</si>
  <si>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</si>
  <si>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</si>
  <si>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</si>
  <si>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</si>
  <si>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</si>
  <si>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</si>
  <si>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</si>
  <si>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</si>
  <si>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</si>
  <si>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3 Въезд на базу\E33149364_8_20260115T102859Z.jpg</t>
  </si>
  <si>
    <t>чт 15.01.2026 — 10:28:59</t>
  </si>
  <si>
    <t>E33149364_8_20260115T160458Z.jpg</t>
  </si>
  <si>
    <t>3 Въезд на базу\E33149364_8_20260115T160458Z.jpg</t>
  </si>
  <si>
    <t>чт 15.01.2026 — 16:04:58</t>
  </si>
  <si>
    <t>E33149364_8_20260116T135301Z.jpg</t>
  </si>
  <si>
    <t>3 Въезд на базу\E33149364_8_20260116T135301Z.jpg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</si>
  <si>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</si>
  <si>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</si>
  <si>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</si>
  <si>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</si>
  <si>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</si>
  <si>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</si>
  <si>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</si>
  <si>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</si>
  <si>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</si>
  <si>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</si>
  <si>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</si>
  <si>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</si>
  <si>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</si>
  <si>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</si>
  <si>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</si>
  <si>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</si>
  <si>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</si>
  <si>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</si>
  <si>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</si>
  <si>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</si>
  <si>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</si>
  <si>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</si>
  <si>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</si>
  <si>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</si>
  <si>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</si>
  <si>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</si>
  <si>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</si>
  <si>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</si>
  <si>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</si>
  <si>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</si>
  <si>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</si>
  <si>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</si>
  <si>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</si>
  <si>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</si>
  <si>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</si>
  <si>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</si>
  <si>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</si>
  <si>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</si>
  <si>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</si>
  <si>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</si>
  <si>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</si>
  <si>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</si>
  <si>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</si>
  <si>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</si>
  <si>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</si>
  <si>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</si>
  <si>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</si>
  <si>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</si>
  <si>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</si>
  <si>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</si>
  <si>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</si>
  <si>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</si>
  <si>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</si>
  <si>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</si>
  <si>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</si>
  <si>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</si>
  <si>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</si>
  <si>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</si>
  <si>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</si>
  <si>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</si>
  <si>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8 Рейсмус\E33149364_2_20260115T091742Z.jpg</t>
  </si>
  <si>
    <t>чт 15.01.2026 — 09:17:42</t>
  </si>
  <si>
    <t>E33149364_2_20260115T101156Z.jpg</t>
  </si>
  <si>
    <t>8 Рейсмус\E33149364_2_20260115T101156Z.jpg</t>
  </si>
  <si>
    <t>чт 15.01.2026 — 10:11:56</t>
  </si>
  <si>
    <t>E33149364_2_20260115T103020Z.jpg</t>
  </si>
  <si>
    <t>8 Рейсмус\E33149364_2_20260115T103020Z.jpg</t>
  </si>
  <si>
    <t>чт 15.01.2026 — 10:30:20</t>
  </si>
  <si>
    <t>E33149364_2_20260115T105808Z.jpg</t>
  </si>
  <si>
    <t>8 Рейсмус\E33149364_2_20260115T105808Z.jpg</t>
  </si>
  <si>
    <t>чт 15.01.2026 — 10:58:08</t>
  </si>
  <si>
    <t>E33149364_2_20260115T111934Z.jpg</t>
  </si>
  <si>
    <t>8 Рейсмус\E33149364_2_20260115T111934Z.jpg</t>
  </si>
  <si>
    <t>чт 15.01.2026 — 11:19:34</t>
  </si>
  <si>
    <t>E33149364_2_20260115T122507Z.jpg</t>
  </si>
  <si>
    <t>8 Рейсмус\E33149364_2_20260115T122507Z.jpg</t>
  </si>
  <si>
    <t>чт 15.01.2026 — 12:25:07</t>
  </si>
  <si>
    <t>E33149364_2_20260115T144954Z.jpg</t>
  </si>
  <si>
    <t>8 Рейсмус\E33149364_2_20260115T144954Z.jpg</t>
  </si>
  <si>
    <t>чт 15.01.2026 — 14:49:54</t>
  </si>
  <si>
    <t>E33149364_2_20260115T164031Z.jpg</t>
  </si>
  <si>
    <t>8 Рейсмус\E33149364_2_20260115T164031Z.jpg</t>
  </si>
  <si>
    <t>чт 15.01.2026 — 16:40:31</t>
  </si>
  <si>
    <t>E33149364_2_20260116T093119Z.jpg</t>
  </si>
  <si>
    <t>8 Рейсмус\E33149364_2_20260116T093119Z.jpg</t>
  </si>
  <si>
    <t>пт 16.01.2026 — 09:31:19</t>
  </si>
  <si>
    <t>E33149364_2_20260116T115647Z.jpg</t>
  </si>
  <si>
    <t>8 Рейсмус\E33149364_2_20260116T115647Z.jpg</t>
  </si>
  <si>
    <t>пт 16.01.2026 — 11:56:47</t>
  </si>
  <si>
    <t>E33149364_2_20260116T122723Z.jpg</t>
  </si>
  <si>
    <t>8 Рейсмус\E33149364_2_20260116T122723Z.jpg</t>
  </si>
  <si>
    <t>пт 16.01.2026 — 12:27:23</t>
  </si>
  <si>
    <t>E33149364_2_20260116T141835Z.jpg</t>
  </si>
  <si>
    <t>8 Рейсмус\E33149364_2_20260116T141835Z.jpg</t>
  </si>
  <si>
    <t>пт 16.01.2026 — 14:18:35</t>
  </si>
  <si>
    <t>E33149364_2_20260116T145647Z.jpg</t>
  </si>
  <si>
    <t>8 Рейсмус\E33149364_2_20260116T145647Z.jpg</t>
  </si>
  <si>
    <t>пт 16.01.2026 — 14:56:47</t>
  </si>
  <si>
    <t>E33149364_2_20260116T155719Z.jpg</t>
  </si>
  <si>
    <t>8 Рейсмус\E33149364_2_20260116T155719Z.jpg</t>
  </si>
  <si>
    <t>пт 16.01.2026 — 15:57:19</t>
  </si>
  <si>
    <t>E33149364_2_20260116T160030Z.jpg</t>
  </si>
  <si>
    <t>8 Рейсмус\E33149364_2_20260116T160030Z.jpg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</si>
  <si>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</si>
  <si>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</si>
  <si>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</si>
  <si>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</si>
  <si>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</si>
  <si>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9 Ангар пилорама\E33149364_1_20260115T092143Z.jpg</t>
  </si>
  <si>
    <t>чт 15.01.2026 — 09:21:43</t>
  </si>
  <si>
    <t>E33149364_1_20260115T102047Z.jpg</t>
  </si>
  <si>
    <t>9 Ангар пилорама\E33149364_1_20260115T102047Z.jpg</t>
  </si>
  <si>
    <t>чт 15.01.2026 — 10:20:47</t>
  </si>
  <si>
    <t>E33149364_1_20260115T141428Z.jpg</t>
  </si>
  <si>
    <t>9 Ангар пилорама\E33149364_1_20260115T141428Z.jpg</t>
  </si>
  <si>
    <t>чт 15.01.2026 — 14:14:28</t>
  </si>
  <si>
    <t>E33149364_1_20260115T152156Z.jpg</t>
  </si>
  <si>
    <t>9 Ангар пилорама\E33149364_1_20260115T152156Z.jpg</t>
  </si>
  <si>
    <t>чт 15.01.2026 — 15:21:56</t>
  </si>
  <si>
    <t>E33149364_1_20260115T161504Z.jpg</t>
  </si>
  <si>
    <t>9 Ангар пилорама\E33149364_1_20260115T161504Z.jpg</t>
  </si>
  <si>
    <t>чт 15.01.2026 — 16:15:04</t>
  </si>
  <si>
    <t>E33149364_1_20260116T104409Z.jpg</t>
  </si>
  <si>
    <t>9 Ангар пилорама\E33149364_1_20260116T104409Z.jpg</t>
  </si>
  <si>
    <t>пт 16.01.2026 — 10:44:09</t>
  </si>
  <si>
    <t>E33149364_1_20260116T110906Z.jpg</t>
  </si>
  <si>
    <t>9 Ангар пилорама\E33149364_1_20260116T110906Z.jpg</t>
  </si>
  <si>
    <t>пт 16.01.2026 — 11:09:06</t>
  </si>
  <si>
    <t>E33149364_1_20260116T121008Z.jpg</t>
  </si>
  <si>
    <t>9 Ангар пилорама\E33149364_1_20260116T121008Z.jpg</t>
  </si>
  <si>
    <t>пт 16.01.2026 — 12:10:08</t>
  </si>
  <si>
    <t>E33149364_1_20260116T151425Z.jpg</t>
  </si>
  <si>
    <t>9 Ангар пилорама\E33149364_1_20260116T151425Z.jpg</t>
  </si>
  <si>
    <t>пт 16.01.2026 — 15:14:25</t>
  </si>
  <si>
    <t>установка станка</t>
  </si>
  <si>
    <t>E33149364_3_20260115T121305Z.jpg</t>
  </si>
  <si>
    <t>10 Сушилка навес\E33149364_3_20260115T121305Z.jpg</t>
  </si>
  <si>
    <t>чт 15.01.2026 — 12:13:05</t>
  </si>
  <si>
    <t>E33149364_3_20260115T123927Z.jpg</t>
  </si>
  <si>
    <t>10 Сушилка навес\E33149364_3_20260115T123927Z.jpg</t>
  </si>
  <si>
    <t>чт 15.01.2026 — 12:39:27</t>
  </si>
  <si>
    <t>E33149364_3_20260115T124145Z.jpg</t>
  </si>
  <si>
    <t>10 Сушилка навес\E33149364_3_20260115T124145Z.jpg</t>
  </si>
  <si>
    <t>чт 15.01.2026 — 12:41:45</t>
  </si>
  <si>
    <t>E33149364_3_20260115T144142Z.jpg</t>
  </si>
  <si>
    <t>10 Сушилка навес\E33149364_3_20260115T144142Z.jpg</t>
  </si>
  <si>
    <t>чт 15.01.2026 — 14:41:42</t>
  </si>
  <si>
    <t>E33149364_3_20260115T155022Z.jpg</t>
  </si>
  <si>
    <t>10 Сушилка навес\E33149364_3_20260115T155022Z.jpg</t>
  </si>
  <si>
    <t>чт 15.01.2026 — 15:50:22</t>
  </si>
  <si>
    <t>E33149364_3_20260115T161645Z.jpg</t>
  </si>
  <si>
    <t>10 Сушилка навес\E33149364_3_20260115T161645Z.jpg</t>
  </si>
  <si>
    <t>чт 15.01.2026 — 16:16:45</t>
  </si>
  <si>
    <t>E33149364_3_20260116T092304Z.jpg</t>
  </si>
  <si>
    <t>10 Сушилка навес\E33149364_3_20260116T092304Z.jpg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</si>
  <si>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</si>
  <si>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</si>
  <si>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</si>
  <si>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</si>
  <si>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</si>
  <si>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10 Сушилка навес\E33149364_3_20260116T094034Z.jpg</t>
  </si>
  <si>
    <t>пт 16.01.2026 — 09:40:34</t>
  </si>
  <si>
    <t>E33149364_3_20260116T123337Z.jpg</t>
  </si>
  <si>
    <t>10 Сушилка навес\E33149364_3_20260116T123337Z.jpg</t>
  </si>
  <si>
    <t>пт 16.01.2026 — 12:33:37</t>
  </si>
  <si>
    <t>E33149364_3_20260116T162225Z.jpg</t>
  </si>
  <si>
    <t>10 Сушилка навес\E33149364_3_20260116T162225Z.jpg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</si>
  <si>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</si>
  <si>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</si>
  <si>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</si>
  <si>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</si>
  <si>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</si>
  <si>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11 С ангара на базу\E33149364_4_20260115T165602Z.jpg</t>
  </si>
  <si>
    <t>чт 15.01.2026 — 16:56:02</t>
  </si>
  <si>
    <t>E33149364_4_20260116T110149Z.jpg</t>
  </si>
  <si>
    <t>11 С ангара на базу\E33149364_4_20260116T110149Z.jpg</t>
  </si>
  <si>
    <t>пт 16.01.2026 — 11:01:49</t>
  </si>
  <si>
    <t>E33149364_4_20260116T112436Z.jpg</t>
  </si>
  <si>
    <t>11 С ангара на базу\E33149364_4_20260116T112436Z.jpg</t>
  </si>
  <si>
    <t>пт 16.01.2026 — 11:24:36</t>
  </si>
  <si>
    <t>E33149364_4_20260116T113624Z.jpg</t>
  </si>
  <si>
    <t>11 С ангара на базу\E33149364_4_20260116T113624Z.jpg</t>
  </si>
  <si>
    <t>пт 16.01.2026 — 11:36:24</t>
  </si>
  <si>
    <t>E33149364_4_20260116T123433Z.jpg</t>
  </si>
  <si>
    <t>11 С ангара на базу\E33149364_4_20260116T123433Z.jpg</t>
  </si>
  <si>
    <t>пт 16.01.2026 — 12:34:33</t>
  </si>
  <si>
    <t>E33149364_4_20260116T140719Z.jpg</t>
  </si>
  <si>
    <t>11 С ангара на базу\E33149364_4_20260116T140719Z.jpg</t>
  </si>
  <si>
    <t>пт 16.01.2026 — 14:07:19</t>
  </si>
  <si>
    <t>E33149364_4_20260116T162545Z.jpg</t>
  </si>
  <si>
    <t>11 С ангара на базу\E33149364_4_20260116T162545Z.jpg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</si>
  <si>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</si>
  <si>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</si>
  <si>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</si>
  <si>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</si>
  <si>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</si>
  <si>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</si>
  <si>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</si>
  <si>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</si>
  <si>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</si>
  <si>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</si>
  <si>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</si>
  <si>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</si>
  <si>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</si>
  <si>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</si>
  <si>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</si>
  <si>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</si>
  <si>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</si>
  <si>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</si>
  <si>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</si>
  <si>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</si>
  <si>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</si>
  <si>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</si>
  <si>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</si>
  <si>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</si>
  <si>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</si>
  <si>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</si>
  <si>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</si>
  <si>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</si>
  <si>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</si>
  <si>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2 Пилорама поката\E33149364_7_20260117T142231Z.jpg</t>
  </si>
  <si>
    <t>сб 17.01.2026 — 14:22:31</t>
  </si>
  <si>
    <t>E33149364_7_20260117T143937Z.jpg</t>
  </si>
  <si>
    <t>2 Пилорама поката\E33149364_7_20260117T143937Z.jpg</t>
  </si>
  <si>
    <t>сб 17.01.2026 — 14:39:37</t>
  </si>
  <si>
    <t>E33149364_7_20260117T151926Z.jpg</t>
  </si>
  <si>
    <t>2 Пилорама поката\E33149364_7_20260117T151926Z.jpg</t>
  </si>
  <si>
    <t>сб 17.01.2026 — 15:19:26</t>
  </si>
  <si>
    <t>E33149364_7_20260117T154642Z.jpg</t>
  </si>
  <si>
    <t>2 Пилорама поката\E33149364_7_20260117T154642Z.jpg</t>
  </si>
  <si>
    <t>сб 17.01.2026 — 15:46:42</t>
  </si>
  <si>
    <t>E33149364_7_20260118T085908Z.jpg</t>
  </si>
  <si>
    <t>2 Пилорама поката\E33149364_7_20260118T085908Z.jpg</t>
  </si>
  <si>
    <t>вс 18.01.2026 — 08:59:08</t>
  </si>
  <si>
    <t>E33149364_8_20260117T150313Z.jpg</t>
  </si>
  <si>
    <t>3 Въезд на базу\E33149364_8_20260117T150313Z.jpg</t>
  </si>
  <si>
    <t>сб 17.01.2026 — 15:03:13</t>
  </si>
  <si>
    <t>E33149364_8_20260118T163332Z.jpg</t>
  </si>
  <si>
    <t>3 Въезд на базу\E33149364_8_20260118T163332Z.jpg</t>
  </si>
  <si>
    <t>вс 18.01.2026 — 16:33:32</t>
  </si>
  <si>
    <t>E33149364_6_20260117T141650Z.jpg</t>
  </si>
  <si>
    <t>1 Ангар Склад 2 въезд\E33149364_6_20260117T141650Z.jpg</t>
  </si>
  <si>
    <t>сб 17.01.2026 — 14:16:50</t>
  </si>
  <si>
    <t>E33149364_6_20260117T144125Z.jpg</t>
  </si>
  <si>
    <t>1 Ангар Склад 2 въезд\E33149364_6_20260117T144125Z.jpg</t>
  </si>
  <si>
    <t>сб 17.01.2026 — 14:41:25</t>
  </si>
  <si>
    <t>E33149364_6_20260117T144310Z.jpg</t>
  </si>
  <si>
    <t>1 Ангар Склад 2 въезд\E33149364_6_20260117T144310Z.jpg</t>
  </si>
  <si>
    <t>сб 17.01.2026 — 14:43:10</t>
  </si>
  <si>
    <t>E33149364_6_20260117T151804Z.jpg</t>
  </si>
  <si>
    <t>1 Ангар Склад 2 въезд\E33149364_6_20260117T151804Z.jpg</t>
  </si>
  <si>
    <t>сб 17.01.2026 — 15:18:04</t>
  </si>
  <si>
    <t>E33149364_6_20260117T153109Z.jpg</t>
  </si>
  <si>
    <t>1 Ангар Склад 2 въезд\E33149364_6_20260117T153109Z.jpg</t>
  </si>
  <si>
    <t>сб 17.01.2026 — 15:31:09</t>
  </si>
  <si>
    <t>E33149364_6_20260117T154758Z.jpg</t>
  </si>
  <si>
    <t>1 Ангар Склад 2 въезд\E33149364_6_20260117T154758Z.jpg</t>
  </si>
  <si>
    <t>сб 17.01.2026 — 15:47:58</t>
  </si>
  <si>
    <t>E33149364_6_20260118T174847Z.jpg</t>
  </si>
  <si>
    <t>1 Ангар Склад 2 въезд\E33149364_6_20260118T174847Z.jpg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</si>
  <si>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</si>
  <si>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</si>
  <si>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</si>
  <si>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</si>
  <si>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</si>
  <si>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</si>
  <si>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</si>
  <si>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</si>
  <si>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8 Рейсмус\E33149364_2_20260117T100510Z.jpg</t>
  </si>
  <si>
    <t>сб 17.01.2026 — 10:05:10</t>
  </si>
  <si>
    <t>E33149364_2_20260117T142129Z.jpg</t>
  </si>
  <si>
    <t>8 Рейсмус\E33149364_2_20260117T142129Z.jpg</t>
  </si>
  <si>
    <t>сб 17.01.2026 — 14:21:29</t>
  </si>
  <si>
    <t>E33149364_2_20260118T150621Z.jpg</t>
  </si>
  <si>
    <t>8 Рейсмус\E33149364_2_20260118T150621Z.jpg</t>
  </si>
  <si>
    <t>вс 18.01.2026 — 15:06:21</t>
  </si>
  <si>
    <t>E33149364_2_20260118T161024Z.jpg</t>
  </si>
  <si>
    <t>8 Рейсмус\E33149364_2_20260118T161024Z.jpg</t>
  </si>
  <si>
    <t>вс 18.01.2026 — 16:10:24</t>
  </si>
  <si>
    <t>E33149364_2_20260118T163631Z.jpg</t>
  </si>
  <si>
    <t>8 Рейсмус\E33149364_2_20260118T163631Z.jpg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</si>
  <si>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</si>
  <si>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</si>
  <si>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</si>
  <si>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</si>
  <si>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</si>
  <si>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</si>
  <si>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</si>
  <si>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</si>
  <si>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</si>
  <si>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</si>
  <si>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</si>
  <si>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</si>
  <si>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</si>
  <si>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</si>
  <si>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</si>
  <si>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</si>
  <si>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</si>
  <si>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9 Ангар пилорама\E33149364_1_20260117T121427Z.jpg</t>
  </si>
  <si>
    <t>сб 17.01.2026 — 12:14:27</t>
  </si>
  <si>
    <t>E33149364_1_20260118T150141Z.jpg</t>
  </si>
  <si>
    <t>9 Ангар пилорама\E33149364_1_20260118T150141Z.jpg</t>
  </si>
  <si>
    <t>вс 18.01.2026 — 15:01:41</t>
  </si>
  <si>
    <t>E33149364_1_20260118T150803Z.jpg</t>
  </si>
  <si>
    <t>9 Ангар пилорама\E33149364_1_20260118T150803Z.jpg</t>
  </si>
  <si>
    <t>вс 18.01.2026 — 15:08:03</t>
  </si>
  <si>
    <t>E33149364_3_20260117T143952Z.jpg</t>
  </si>
  <si>
    <t>10 Сушилка навес\E33149364_3_20260117T143952Z.jpg</t>
  </si>
  <si>
    <t>сб 17.01.2026 — 14:39:52</t>
  </si>
  <si>
    <t>E33149364_3_20260117T154650Z.jpg</t>
  </si>
  <si>
    <t>10 Сушилка навес\E33149364_3_20260117T154650Z.jpg</t>
  </si>
  <si>
    <t>сб 17.01.2026 — 15:46:50</t>
  </si>
  <si>
    <t>E33149364_3_20260118T150832Z.jpg</t>
  </si>
  <si>
    <t>10 Сушилка навес\E33149364_3_20260118T150832Z.jpg</t>
  </si>
  <si>
    <t>вс 18.01.2026 — 15:08:32</t>
  </si>
  <si>
    <t>E33149364_4_20260117T154650Z.jpg</t>
  </si>
  <si>
    <t>11 С ангара на базу\E33149364_4_20260117T154650Z.jpg</t>
  </si>
  <si>
    <t>E33149364_4_20260118T164035Z.jpg</t>
  </si>
  <si>
    <t>11 С ангара на базу\E33149364_4_20260118T164035Z.jpg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</si>
  <si>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</si>
  <si>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</si>
  <si>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</si>
  <si>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</si>
  <si>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</si>
  <si>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</si>
  <si>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</si>
  <si>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</si>
  <si>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</si>
  <si>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</si>
  <si>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</si>
  <si>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</si>
  <si>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</si>
  <si>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</si>
  <si>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</si>
  <si>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</si>
  <si>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</si>
  <si>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</si>
  <si>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</si>
  <si>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</si>
  <si>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</si>
  <si>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</si>
  <si>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</si>
  <si>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</si>
  <si>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</si>
  <si>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</si>
  <si>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</si>
  <si>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</si>
  <si>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</si>
  <si>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</si>
  <si>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</si>
  <si>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</si>
  <si>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</si>
  <si>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</si>
  <si>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</si>
  <si>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</si>
  <si>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</si>
  <si>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</si>
  <si>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</si>
  <si>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1 Ангар Склад 2 въезд\E33149364_6_20260119T160117Z.jpg</t>
  </si>
  <si>
    <t>пн 19.01.2026 — 16:01:17</t>
  </si>
  <si>
    <t>E33149364_6_20260120T165036Z.jpg</t>
  </si>
  <si>
    <t>1 Ангар Склад 2 въезд\E33149364_6_20260120T165036Z.jpg</t>
  </si>
  <si>
    <t>вт 20.01.2026 — 16:50:36</t>
  </si>
  <si>
    <t>E33149364_7_20260119T181756Z.jpg</t>
  </si>
  <si>
    <t>2 Пилорама поката\E33149364_7_20260119T181756Z.jpg</t>
  </si>
  <si>
    <t>пн 19.01.2026 — 18:17:56</t>
  </si>
  <si>
    <t>E33149364_7_20260120T172758Z.jpg</t>
  </si>
  <si>
    <t>2 Пилорама поката\E33149364_7_20260120T172758Z.jpg</t>
  </si>
  <si>
    <t>вт 20.01.2026 — 17:27:58</t>
  </si>
  <si>
    <t>E33149364_8_20260119T161911Z.jpg</t>
  </si>
  <si>
    <t>3 Въезд на базу\E33149364_8_20260119T161911Z.jpg</t>
  </si>
  <si>
    <t>пн 19.01.2026 — 16:19:11</t>
  </si>
  <si>
    <t>E33149364_8_20260120T134540Z.jpg</t>
  </si>
  <si>
    <t>3 Въезд на базу\E33149364_8_20260120T134540Z.jpg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</si>
  <si>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</si>
  <si>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</si>
  <si>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</si>
  <si>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</si>
  <si>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</si>
  <si>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</si>
  <si>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</si>
  <si>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</si>
  <si>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</si>
  <si>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</si>
  <si>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</si>
  <si>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</si>
  <si>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</si>
  <si>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</si>
  <si>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</si>
  <si>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</si>
  <si>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</si>
  <si>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8 Рейсмус\E33149364_2_20260119T092650Z.jpg</t>
  </si>
  <si>
    <t>пн 19.01.2026 — 09:26:50</t>
  </si>
  <si>
    <t>E33149364_2_20260119T095841Z.jpg</t>
  </si>
  <si>
    <t>8 Рейсмус\E33149364_2_20260119T095841Z.jpg</t>
  </si>
  <si>
    <t>пн 19.01.2026 — 09:58:41</t>
  </si>
  <si>
    <t>E33149364_2_20260119T102145Z.jpg</t>
  </si>
  <si>
    <t>8 Рейсмус\E33149364_2_20260119T102145Z.jpg</t>
  </si>
  <si>
    <t>пн 19.01.2026 — 10:21:45</t>
  </si>
  <si>
    <t>E33149364_2_20260119T113748Z.jpg</t>
  </si>
  <si>
    <t>8 Рейсмус\E33149364_2_20260119T113748Z.jpg</t>
  </si>
  <si>
    <t>пн 19.01.2026 — 11:37:48</t>
  </si>
  <si>
    <t>E33149364_2_20260119T114436Z.jpg</t>
  </si>
  <si>
    <t>8 Рейсмус\E33149364_2_20260119T114436Z.jpg</t>
  </si>
  <si>
    <t>пн 19.01.2026 — 11:44:36</t>
  </si>
  <si>
    <t>E33149364_2_20260119T123511Z.jpg</t>
  </si>
  <si>
    <t>8 Рейсмус\E33149364_2_20260119T123511Z.jpg</t>
  </si>
  <si>
    <t>пн 19.01.2026 — 12:35:11</t>
  </si>
  <si>
    <t>E33149364_2_20260120T100804Z.jpg</t>
  </si>
  <si>
    <t>8 Рейсмус\E33149364_2_20260120T100804Z.jpg</t>
  </si>
  <si>
    <t>вт 20.01.2026 — 10:08:04</t>
  </si>
  <si>
    <t>E33149364_2_20260120T115744Z.jpg</t>
  </si>
  <si>
    <t>8 Рейсмус\E33149364_2_20260120T115744Z.jpg</t>
  </si>
  <si>
    <t>вт 20.01.2026 — 11:57:44</t>
  </si>
  <si>
    <t>E33149364_2_20260120T120146Z.jpg</t>
  </si>
  <si>
    <t>8 Рейсмус\E33149364_2_20260120T120146Z.jpg</t>
  </si>
  <si>
    <t>вт 20.01.2026 — 12:01:46</t>
  </si>
  <si>
    <t>E33149364_2_20260120T120606Z.jpg</t>
  </si>
  <si>
    <t>8 Рейсмус\E33149364_2_20260120T120606Z.jpg</t>
  </si>
  <si>
    <t>вт 20.01.2026 — 12:06:06</t>
  </si>
  <si>
    <t>E33149364_2_20260120T145224Z.jpg</t>
  </si>
  <si>
    <t>8 Рейсмус\E33149364_2_20260120T145224Z.jpg</t>
  </si>
  <si>
    <t>вт 20.01.2026 — 14:52:24</t>
  </si>
  <si>
    <t>E33149364_2_20260120T150201Z.jpg</t>
  </si>
  <si>
    <t>8 Рейсмус\E33149364_2_20260120T150201Z.jpg</t>
  </si>
  <si>
    <t>вт 20.01.2026 — 15:02:01</t>
  </si>
  <si>
    <t>E33149364_2_20260120T152305Z.jpg</t>
  </si>
  <si>
    <t>8 Рейсмус\E33149364_2_20260120T152305Z.jpg</t>
  </si>
  <si>
    <t>вт 20.01.2026 — 15:23:05</t>
  </si>
  <si>
    <t>E33149364_2_20260120T152411Z.jpg</t>
  </si>
  <si>
    <t>8 Рейсмус\E33149364_2_20260120T152411Z.jpg</t>
  </si>
  <si>
    <t>вт 20.01.2026 — 15:24:11</t>
  </si>
  <si>
    <t>E33149364_2_20260120T162500Z.jpg</t>
  </si>
  <si>
    <t>8 Рейсмус\E33149364_2_20260120T162500Z.jpg</t>
  </si>
  <si>
    <t>вт 20.01.2026 — 16:25:00</t>
  </si>
  <si>
    <t>E33149364_2_20260120T162519Z.jpg</t>
  </si>
  <si>
    <t>8 Рейсмус\E33149364_2_20260120T162519Z.jpg</t>
  </si>
  <si>
    <t>вт 20.01.2026 — 16:25:19</t>
  </si>
  <si>
    <t>E33149364_2_20260120T203557Z.jpg</t>
  </si>
  <si>
    <t>8 Рейсмус\E33149364_2_20260120T203557Z.jpg</t>
  </si>
  <si>
    <t>вт 20.01.2026 — 20:35:57</t>
  </si>
  <si>
    <t>E33149364_2_20260120T211056Z.jpg</t>
  </si>
  <si>
    <t>8 Рейсмус\E33149364_2_20260120T211056Z.jpg</t>
  </si>
  <si>
    <t>вт 20.01.2026 — 21:10:56</t>
  </si>
  <si>
    <t>E33149364_1_20260119T092943Z.jpg</t>
  </si>
  <si>
    <t>9 Ангар пилорама\E33149364_1_20260119T092943Z.jpg</t>
  </si>
  <si>
    <t>пн 19.01.2026 — 09:29:43</t>
  </si>
  <si>
    <t>E33149364_1_20260119T152552Z.jpg</t>
  </si>
  <si>
    <t>9 Ангар пилорама\E33149364_1_20260119T152552Z.jpg</t>
  </si>
  <si>
    <t>пн 19.01.2026 — 15:25:52</t>
  </si>
  <si>
    <t>E33149364_1_20260120T092719Z.jpg</t>
  </si>
  <si>
    <t>9 Ангар пилорама\E33149364_1_20260120T092719Z.jpg</t>
  </si>
  <si>
    <t>вт 20.01.2026 — 09:27:19</t>
  </si>
  <si>
    <t>E33149364_1_20260120T100853Z.jpg</t>
  </si>
  <si>
    <t>9 Ангар пилорама\E33149364_1_20260120T100853Z.jpg</t>
  </si>
  <si>
    <t>вт 20.01.2026 — 10:08:53</t>
  </si>
  <si>
    <t>E33149364_1_20260120T101108Z.jpg</t>
  </si>
  <si>
    <t>9 Ангар пилорама\E33149364_1_20260120T101108Z.jpg</t>
  </si>
  <si>
    <t>вт 20.01.2026 — 10:11:08</t>
  </si>
  <si>
    <t>E33149364_1_20260120T102933Z.jpg</t>
  </si>
  <si>
    <t>9 Ангар пилорама\E33149364_1_20260120T102933Z.jpg</t>
  </si>
  <si>
    <t>вт 20.01.2026 — 10:29:33</t>
  </si>
  <si>
    <t>E33149364_1_20260120T103734Z.jpg</t>
  </si>
  <si>
    <t>9 Ангар пилорама\E33149364_1_20260120T103734Z.jpg</t>
  </si>
  <si>
    <t>вт 20.01.2026 — 10:37:34</t>
  </si>
  <si>
    <t>E33149364_1_20260120T110915Z.jpg</t>
  </si>
  <si>
    <t>9 Ангар пилорама\E33149364_1_20260120T110915Z.jpg</t>
  </si>
  <si>
    <t>вт 20.01.2026 — 11:09:15</t>
  </si>
  <si>
    <t>E33149364_1_20260120T125400Z.jpg</t>
  </si>
  <si>
    <t>9 Ангар пилорама\E33149364_1_20260120T125400Z.jpg</t>
  </si>
  <si>
    <t>вт 20.01.2026 — 12:54:00</t>
  </si>
  <si>
    <t>E33149364_1_20260120T211446Z.jpg</t>
  </si>
  <si>
    <t>9 Ангар пилорама\E33149364_1_20260120T211446Z.jpg</t>
  </si>
  <si>
    <t>вт 20.01.2026 — 21:14:46</t>
  </si>
  <si>
    <t>E33149364_3_20260119T162733Z.jpg</t>
  </si>
  <si>
    <t>10 Сушилка навес\E33149364_3_20260119T162733Z.jpg</t>
  </si>
  <si>
    <t>пн 19.01.2026 — 16:27:33</t>
  </si>
  <si>
    <t>E33149364_3_20260120T093017Z.jpg</t>
  </si>
  <si>
    <t>10 Сушилка навес\E33149364_3_20260120T093017Z.jpg</t>
  </si>
  <si>
    <t>вт 20.01.2026 — 09:30:17</t>
  </si>
  <si>
    <t>E33149364_3_20260120T101235Z.jpg</t>
  </si>
  <si>
    <t>10 Сушилка навес\E33149364_3_20260120T101235Z.jpg</t>
  </si>
  <si>
    <t>вт 20.01.2026 — 10:12:35</t>
  </si>
  <si>
    <t>E33149364_3_20260120T102958Z.jpg</t>
  </si>
  <si>
    <t>10 Сушилка навес\E33149364_3_20260120T102958Z.jpg</t>
  </si>
  <si>
    <t>вт 20.01.2026 — 10:29:58</t>
  </si>
  <si>
    <t>E33149364_3_20260120T103755Z.jpg</t>
  </si>
  <si>
    <t>10 Сушилка навес\E33149364_3_20260120T103755Z.jpg</t>
  </si>
  <si>
    <t>вт 20.01.2026 — 10:37:55</t>
  </si>
  <si>
    <t>E33149364_4_20260119T164913Z.jpg</t>
  </si>
  <si>
    <t>11 С ангара на базу\E33149364_4_20260119T164913Z.jpg</t>
  </si>
  <si>
    <t>пн 19.01.2026 — 16:49:13</t>
  </si>
  <si>
    <t>E33149364_4_20260120T092932Z.jpg</t>
  </si>
  <si>
    <t>11 С ангара на базу\E33149364_4_20260120T092932Z.jpg</t>
  </si>
  <si>
    <t>вт 20.01.2026 — 09:29:32</t>
  </si>
  <si>
    <t>E33149364_4_20260120T093008Z.jpg</t>
  </si>
  <si>
    <t>11 С ангара на базу\E33149364_4_20260120T093008Z.jpg</t>
  </si>
  <si>
    <t>вт 20.01.2026 — 09:30:08</t>
  </si>
  <si>
    <t>E33149364_4_20260120T101323Z.jpg</t>
  </si>
  <si>
    <t>11 С ангара на базу\E33149364_4_20260120T101323Z.jpg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</si>
  <si>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</si>
  <si>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</si>
  <si>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</si>
  <si>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</si>
  <si>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</si>
  <si>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</si>
  <si>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</si>
  <si>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</si>
  <si>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</si>
  <si>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</si>
  <si>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</si>
  <si>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</si>
  <si>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</si>
  <si>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</si>
  <si>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</si>
  <si>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</si>
  <si>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</si>
  <si>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</si>
  <si>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</si>
  <si>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</si>
  <si>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</si>
  <si>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</si>
  <si>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</si>
  <si>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</si>
  <si>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</si>
  <si>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</si>
  <si>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</si>
  <si>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</si>
  <si>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</si>
  <si>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</si>
  <si>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</si>
  <si>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</si>
  <si>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</si>
  <si>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</si>
  <si>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</si>
  <si>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</si>
  <si>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</si>
  <si>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</si>
  <si>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</si>
  <si>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</si>
  <si>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</si>
  <si>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</si>
  <si>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</si>
  <si>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</si>
  <si>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</si>
  <si>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</si>
  <si>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</si>
  <si>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</si>
  <si>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</si>
  <si>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</si>
  <si>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</si>
  <si>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</si>
  <si>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</si>
  <si>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</si>
  <si>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</si>
  <si>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</si>
  <si>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</si>
  <si>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</si>
  <si>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</si>
  <si>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</si>
  <si>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</si>
  <si>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</si>
  <si>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</si>
  <si>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</si>
  <si>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</si>
  <si>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2 Пилорама поката\E33149364_7_20260121T132654Z.jpg</t>
  </si>
  <si>
    <t>ср 21.01.2026 — 13:26:54</t>
  </si>
  <si>
    <t>E33149364_7_20260121T194556Z.jpg</t>
  </si>
  <si>
    <t>2 Пилорама поката\E33149364_7_20260121T194556Z.jpg</t>
  </si>
  <si>
    <t>ср 21.01.2026 — 19:45:56</t>
  </si>
  <si>
    <t>E33149364_7_20260122T121430Z.jpg</t>
  </si>
  <si>
    <t>2 Пилорама поката\E33149364_7_20260122T121430Z.jpg</t>
  </si>
  <si>
    <t>чт 22.01.2026 — 12:14:30</t>
  </si>
  <si>
    <t>E33149364_7_20260122T123746Z.jpg</t>
  </si>
  <si>
    <t>2 Пилорама поката\E33149364_7_20260122T123746Z.jpg</t>
  </si>
  <si>
    <t>чт 22.01.2026 — 12:37:46</t>
  </si>
  <si>
    <t>E33149364_6_20260121T165121Z.jpg</t>
  </si>
  <si>
    <t>1 Ангар Склад 2 въезд\E33149364_6_20260121T165121Z.jpg</t>
  </si>
  <si>
    <t>ср 21.01.2026 — 16:51:21</t>
  </si>
  <si>
    <t>E33149364_6_20260122T120606Z.jpg</t>
  </si>
  <si>
    <t>1 Ангар Склад 2 въезд\E33149364_6_20260122T120606Z.jpg</t>
  </si>
  <si>
    <t>чт 22.01.2026 — 12:06:06</t>
  </si>
  <si>
    <t>E33149364_6_20260122T161006Z.jpg</t>
  </si>
  <si>
    <t>1 Ангар Склад 2 въезд\E33149364_6_20260122T161006Z.jpg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</si>
  <si>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</si>
  <si>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</si>
  <si>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</si>
  <si>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</si>
  <si>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</si>
  <si>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</si>
  <si>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</si>
  <si>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</si>
  <si>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</si>
  <si>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</si>
  <si>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</si>
  <si>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</si>
  <si>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</si>
  <si>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</si>
  <si>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</si>
  <si>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</si>
  <si>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</si>
  <si>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3 Въезд на базу\E33149364_8_20260121T123533Z.jpg</t>
  </si>
  <si>
    <t>ср 21.01.2026 — 12:35:33</t>
  </si>
  <si>
    <t>E33149364_8_20260121T164131Z.jpg</t>
  </si>
  <si>
    <t>3 Въезд на базу\E33149364_8_20260121T164131Z.jpg</t>
  </si>
  <si>
    <t>ср 21.01.2026 — 16:41:31</t>
  </si>
  <si>
    <t>E33149364_8_20260122T113325Z.jpg</t>
  </si>
  <si>
    <t>3 Въезд на базу\E33149364_8_20260122T113325Z.jpg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</si>
  <si>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</si>
  <si>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</si>
  <si>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</si>
  <si>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</si>
  <si>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</si>
  <si>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</si>
  <si>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</si>
  <si>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</si>
  <si>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</si>
  <si>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</si>
  <si>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</si>
  <si>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</si>
  <si>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</si>
  <si>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</si>
  <si>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</si>
  <si>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</si>
  <si>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</si>
  <si>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</si>
  <si>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</si>
  <si>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</si>
  <si>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8 Рейсмус\E33149364_2_20260121T095955Z.jpg</t>
  </si>
  <si>
    <t>ср 21.01.2026 — 09:59:55</t>
  </si>
  <si>
    <t>E33149364_2_20260121T122030Z.jpg</t>
  </si>
  <si>
    <t>8 Рейсмус\E33149364_2_20260121T122030Z.jpg</t>
  </si>
  <si>
    <t>ср 21.01.2026 — 12:20:30</t>
  </si>
  <si>
    <t>E33149364_2_20260121T141641Z.jpg</t>
  </si>
  <si>
    <t>8 Рейсмус\E33149364_2_20260121T141641Z.jpg</t>
  </si>
  <si>
    <t>ср 21.01.2026 — 14:16:41</t>
  </si>
  <si>
    <t>E33149364_2_20260121T153820Z.jpg</t>
  </si>
  <si>
    <t>8 Рейсмус\E33149364_2_20260121T153820Z.jpg</t>
  </si>
  <si>
    <t>ср 21.01.2026 — 15:38:20</t>
  </si>
  <si>
    <t>E33149364_2_20260121T165929Z.jpg</t>
  </si>
  <si>
    <t>8 Рейсмус\E33149364_2_20260121T165929Z.jpg</t>
  </si>
  <si>
    <t>ср 21.01.2026 — 16:59:29</t>
  </si>
  <si>
    <t>E33149364_2_20260121T205047Z.jpg</t>
  </si>
  <si>
    <t>8 Рейсмус\E33149364_2_20260121T205047Z.jpg</t>
  </si>
  <si>
    <t>ср 21.01.2026 — 20:50:47</t>
  </si>
  <si>
    <t>E33149364_2_20260122T092218Z.jpg</t>
  </si>
  <si>
    <t>8 Рейсмус\E33149364_2_20260122T092218Z.jpg</t>
  </si>
  <si>
    <t>чт 22.01.2026 — 09:22:18</t>
  </si>
  <si>
    <t>E33149364_2_20260122T100038Z.jpg</t>
  </si>
  <si>
    <t>8 Рейсмус\E33149364_2_20260122T100038Z.jpg</t>
  </si>
  <si>
    <t>чт 22.01.2026 — 10:00:38</t>
  </si>
  <si>
    <t>E33149364_2_20260122T102134Z.jpg</t>
  </si>
  <si>
    <t>8 Рейсмус\E33149364_2_20260122T102134Z.jpg</t>
  </si>
  <si>
    <t>чт 22.01.2026 — 10:21:34</t>
  </si>
  <si>
    <t>E33149364_2_20260122T114438Z.jpg</t>
  </si>
  <si>
    <t>8 Рейсмус\E33149364_2_20260122T114438Z.jpg</t>
  </si>
  <si>
    <t>чт 22.01.2026 — 11:44:38</t>
  </si>
  <si>
    <t>E33149364_2_20260122T141447Z.jpg</t>
  </si>
  <si>
    <t>8 Рейсмус\E33149364_2_20260122T141447Z.jpg</t>
  </si>
  <si>
    <t>чт 22.01.2026 — 14:14:47</t>
  </si>
  <si>
    <t>E33149364_2_20260122T162228Z.jpg</t>
  </si>
  <si>
    <t>8 Рейсмус\E33149364_2_20260122T162228Z.jpg</t>
  </si>
  <si>
    <t>чт 22.01.2026 — 16:22:28</t>
  </si>
  <si>
    <t>E33149364_2_20260122T163233Z.jpg</t>
  </si>
  <si>
    <t>8 Рейсмус\E33149364_2_20260122T163233Z.jpg</t>
  </si>
  <si>
    <t>чт 22.01.2026 — 16:32:33</t>
  </si>
  <si>
    <t>E33149364_1_20260121T092050Z.jpg</t>
  </si>
  <si>
    <t>9 Ангар пилорама\E33149364_1_20260121T092050Z.jpg</t>
  </si>
  <si>
    <t>ср 21.01.2026 — 09:20:50</t>
  </si>
  <si>
    <t>E33149364_1_20260121T210722Z.jpg</t>
  </si>
  <si>
    <t>9 Ангар пилорама\E33149364_1_20260121T210722Z.jpg</t>
  </si>
  <si>
    <t>ср 21.01.2026 — 21:07:22</t>
  </si>
  <si>
    <t>E33149364_1_20260122T113404Z.jpg</t>
  </si>
  <si>
    <t>9 Ангар пилорама\E33149364_1_20260122T113404Z.jpg</t>
  </si>
  <si>
    <t>чт 22.01.2026 — 11:34:04</t>
  </si>
  <si>
    <t>E33149364_1_20260122T115422Z.jpg</t>
  </si>
  <si>
    <t>9 Ангар пилорама\E33149364_1_20260122T115422Z.jpg</t>
  </si>
  <si>
    <t>чт 22.01.2026 — 11:54:22</t>
  </si>
  <si>
    <t>E33149364_1_20260122T115556Z.jpg</t>
  </si>
  <si>
    <t>9 Ангар пилорама\E33149364_1_20260122T115556Z.jpg</t>
  </si>
  <si>
    <t>чт 22.01.2026 — 11:55:56</t>
  </si>
  <si>
    <t>E33149364_1_20260122T120150Z.jpg</t>
  </si>
  <si>
    <t>9 Ангар пилорама\E33149364_1_20260122T120150Z.jpg</t>
  </si>
  <si>
    <t>чт 22.01.2026 — 12:01:50</t>
  </si>
  <si>
    <t>E33149364_1_20260122T144442Z.jpg</t>
  </si>
  <si>
    <t>9 Ангар пилорама\E33149364_1_20260122T144442Z.jpg</t>
  </si>
  <si>
    <t>чт 22.01.2026 — 14:44:42</t>
  </si>
  <si>
    <t>E33149364_1_20260122T231152Z.jpg</t>
  </si>
  <si>
    <t>9 Ангар пилорама\E33149364_1_20260122T231152Z.jpg</t>
  </si>
  <si>
    <t>чт 22.01.2026 — 23:11:52</t>
  </si>
  <si>
    <t>E33149364_1_20260122T234921Z.jpg</t>
  </si>
  <si>
    <t>9 Ангар пилорама\E33149364_1_20260122T234921Z.jpg</t>
  </si>
  <si>
    <t>чт 22.01.2026 — 23:49:21</t>
  </si>
  <si>
    <t>E33149364_3_20260121T111328Z.jpg</t>
  </si>
  <si>
    <t>10 Сушилка навес\E33149364_3_20260121T111328Z.jpg</t>
  </si>
  <si>
    <t>ср 21.01.2026 — 11:13:28</t>
  </si>
  <si>
    <t>E33149364_3_20260121T115746Z.jpg</t>
  </si>
  <si>
    <t>10 Сушилка навес\E33149364_3_20260121T115746Z.jpg</t>
  </si>
  <si>
    <t>ср 21.01.2026 — 11:57:46</t>
  </si>
  <si>
    <t>E33149364_3_20260121T132648Z.jpg</t>
  </si>
  <si>
    <t>10 Сушилка навес\E33149364_3_20260121T132648Z.jpg</t>
  </si>
  <si>
    <t>ср 21.01.2026 — 13:26:48</t>
  </si>
  <si>
    <t>E33149364_3_20260121T142116Z.jpg</t>
  </si>
  <si>
    <t>10 Сушилка навес\E33149364_3_20260121T142116Z.jpg</t>
  </si>
  <si>
    <t>ср 21.01.2026 — 14:21:16</t>
  </si>
  <si>
    <t>E33149364_3_20260121T194620Z.jpg</t>
  </si>
  <si>
    <t>10 Сушилка навес\E33149364_3_20260121T194620Z.jpg</t>
  </si>
  <si>
    <t>ср 21.01.2026 — 19:46:20</t>
  </si>
  <si>
    <t>E33149364_3_20260122T115944Z.jpg</t>
  </si>
  <si>
    <t>10 Сушилка навес\E33149364_3_20260122T115944Z.jpg</t>
  </si>
  <si>
    <t>чт 22.01.2026 — 11:59:44</t>
  </si>
  <si>
    <t>E33149364_3_20260122T120208Z.jpg</t>
  </si>
  <si>
    <t>10 Сушилка навес\E33149364_3_20260122T120208Z.jpg</t>
  </si>
  <si>
    <t>чт 22.01.2026 — 12:02:08</t>
  </si>
  <si>
    <t>E33149364_3_20260122T120843Z.jpg</t>
  </si>
  <si>
    <t>10 Сушилка навес\E33149364_3_20260122T120843Z.jpg</t>
  </si>
  <si>
    <t>чт 22.01.2026 — 12:08:43</t>
  </si>
  <si>
    <t>E33149364_3_20260122T122316Z.jpg</t>
  </si>
  <si>
    <t>10 Сушилка навес\E33149364_3_20260122T122316Z.jpg</t>
  </si>
  <si>
    <t>чт 22.01.2026 — 12:23:16</t>
  </si>
  <si>
    <t>E33149364_3_20260122T123753Z.jpg</t>
  </si>
  <si>
    <t>10 Сушилка навес\E33149364_3_20260122T123753Z.jpg</t>
  </si>
  <si>
    <t>чт 22.01.2026 — 12:37:53</t>
  </si>
  <si>
    <t>E33149364_3_20260122T123803Z.jpg</t>
  </si>
  <si>
    <t>10 Сушилка навес\E33149364_3_20260122T123803Z.jpg</t>
  </si>
  <si>
    <t>чт 22.01.2026 — 12:38:03</t>
  </si>
  <si>
    <t>E33149364_3_20260122T143344Z.jpg</t>
  </si>
  <si>
    <t>10 Сушилка навес\E33149364_3_20260122T143344Z.jpg</t>
  </si>
  <si>
    <t>чт 22.01.2026 — 14:33:44</t>
  </si>
  <si>
    <t>E33149364_3_20260122T143822Z.jpg</t>
  </si>
  <si>
    <t>10 Сушилка навес\E33149364_3_20260122T143822Z.jpg</t>
  </si>
  <si>
    <t>чт 22.01.2026 — 14:38:22</t>
  </si>
  <si>
    <t>E33149364_3_20260122T154645Z.jpg</t>
  </si>
  <si>
    <t>10 Сушилка навес\E33149364_3_20260122T154645Z.jpg</t>
  </si>
  <si>
    <t>чт 22.01.2026 — 15:46:45</t>
  </si>
  <si>
    <t>E33149364_4_20260121T164342Z.jpg</t>
  </si>
  <si>
    <t>11 С ангара на базу\E33149364_4_20260121T164342Z.jpg</t>
  </si>
  <si>
    <t>ср 21.01.2026 — 16:43:42</t>
  </si>
  <si>
    <t>E33149364_4_20260122T113510Z.jpg</t>
  </si>
  <si>
    <t>11 С ангара на базу\E33149364_4_20260122T113510Z.jpg</t>
  </si>
  <si>
    <t>чт 22.01.2026 — 11:35:10</t>
  </si>
  <si>
    <t>E33149364_4_20260122T114242Z.jpg</t>
  </si>
  <si>
    <t>11 С ангара на базу\E33149364_4_20260122T114242Z.jpg</t>
  </si>
  <si>
    <t>чт 22.01.2026 — 11:42:42</t>
  </si>
  <si>
    <t>E33149364_4_20260122T114313Z.jpg</t>
  </si>
  <si>
    <t>11 С ангара на базу\E33149364_4_20260122T114313Z.jpg</t>
  </si>
  <si>
    <t>чт 22.01.2026 — 11:43:13</t>
  </si>
  <si>
    <t>E33149364_4_20260122T114724Z.jpg</t>
  </si>
  <si>
    <t>11 С ангара на базу\E33149364_4_20260122T114724Z.jpg</t>
  </si>
  <si>
    <t>чт 22.01.2026 — 11:47:24</t>
  </si>
  <si>
    <t>E33149364_4_20260122T144338Z.jpg</t>
  </si>
  <si>
    <t>11 С ангара на базу\E33149364_4_20260122T144338Z.jpg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</si>
  <si>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</si>
  <si>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</si>
  <si>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</si>
  <si>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</si>
  <si>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</si>
  <si>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</si>
  <si>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</si>
  <si>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</si>
  <si>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</si>
  <si>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</si>
  <si>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</si>
  <si>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</si>
  <si>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</si>
  <si>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</si>
  <si>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</si>
  <si>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</si>
  <si>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</si>
  <si>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</si>
  <si>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</si>
  <si>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</si>
  <si>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</si>
  <si>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</si>
  <si>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</si>
  <si>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</si>
  <si>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</si>
  <si>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</si>
  <si>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</si>
  <si>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</si>
  <si>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</si>
  <si>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</si>
  <si>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</si>
  <si>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</si>
  <si>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</si>
  <si>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</si>
  <si>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</si>
  <si>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</si>
  <si>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</si>
  <si>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</si>
  <si>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</si>
  <si>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</si>
  <si>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</si>
  <si>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1 Ангар Склад 2 въезд\E33149364_6_20260123T010742Z.jpg</t>
  </si>
  <si>
    <t>пт 23.01.2026 — 01:07:42</t>
  </si>
  <si>
    <t>E33149364_6_20260123T104621Z.jpg</t>
  </si>
  <si>
    <t>1 Ангар Склад 2 въезд\E33149364_6_20260123T104621Z.jpg</t>
  </si>
  <si>
    <t>пт 23.01.2026 — 10:46:21</t>
  </si>
  <si>
    <t>E33149364_6_20260123T105804Z.jpg</t>
  </si>
  <si>
    <t>1 Ангар Склад 2 въезд\E33149364_6_20260123T105804Z.jpg</t>
  </si>
  <si>
    <t>пт 23.01.2026 — 10:58:04</t>
  </si>
  <si>
    <t>E33149364_6_20260123T122704Z.jpg</t>
  </si>
  <si>
    <t>1 Ангар Склад 2 въезд\E33149364_6_20260123T122704Z.jpg</t>
  </si>
  <si>
    <t>пт 23.01.2026 — 12:27:04</t>
  </si>
  <si>
    <t>E33149364_6_20260123T142115Z.jpg</t>
  </si>
  <si>
    <t>1 Ангар Склад 2 въезд\E33149364_6_20260123T142115Z.jpg</t>
  </si>
  <si>
    <t>пт 23.01.2026 — 14:21:15</t>
  </si>
  <si>
    <t>E33149364_6_20260122T221921Z.jpg</t>
  </si>
  <si>
    <t>1 Ангар Склад 2 въезд\E33149364_6_20260122T221921Z.jpg</t>
  </si>
  <si>
    <t>чт 22.01.2026 — 22:19:21</t>
  </si>
  <si>
    <t>E33149364_6_20260123T002441Z.jpg</t>
  </si>
  <si>
    <t>1 Ангар Склад 2 въезд\E33149364_6_20260123T002441Z.jpg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</si>
  <si>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</si>
  <si>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</si>
  <si>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</si>
  <si>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</si>
  <si>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</si>
  <si>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</si>
  <si>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2 Пилорама поката\E33149364_7_20260123T105206Z.jpg</t>
  </si>
  <si>
    <t>пт 23.01.2026 — 10:52:06</t>
  </si>
  <si>
    <t>E33149364_7_20260123T122252Z.jpg</t>
  </si>
  <si>
    <t>2 Пилорама поката\E33149364_7_20260123T122252Z.jpg</t>
  </si>
  <si>
    <t>пт 23.01.2026 — 12:22:52</t>
  </si>
  <si>
    <t>E33149364_7_20260123T122331Z.jpg</t>
  </si>
  <si>
    <t>2 Пилорама поката\E33149364_7_20260123T122331Z.jpg</t>
  </si>
  <si>
    <t>пт 23.01.2026 — 12:23:31</t>
  </si>
  <si>
    <t>E33149364_8_20260123T105539Z.jpg</t>
  </si>
  <si>
    <t>3 Въезд на базу\E33149364_8_20260123T105539Z.jpg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</si>
  <si>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</si>
  <si>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</si>
  <si>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</si>
  <si>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</si>
  <si>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</si>
  <si>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</si>
  <si>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</si>
  <si>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</si>
  <si>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</si>
  <si>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</si>
  <si>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</si>
  <si>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</si>
  <si>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</si>
  <si>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</si>
  <si>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</si>
  <si>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</si>
  <si>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</si>
  <si>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</si>
  <si>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</si>
  <si>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</si>
  <si>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</si>
  <si>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</si>
  <si>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</si>
  <si>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</si>
  <si>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</si>
  <si>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</si>
  <si>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</si>
  <si>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</si>
  <si>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</si>
  <si>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</si>
  <si>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</si>
  <si>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</si>
  <si>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</si>
  <si>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</si>
  <si>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</si>
  <si>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</si>
  <si>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</si>
  <si>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</si>
  <si>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</si>
  <si>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</si>
  <si>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</si>
  <si>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</si>
  <si>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</si>
  <si>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</si>
  <si>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</si>
  <si>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</si>
  <si>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</si>
  <si>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</si>
  <si>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</si>
  <si>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</si>
  <si>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</si>
  <si>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</si>
  <si>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</si>
  <si>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</si>
  <si>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</si>
  <si>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</si>
  <si>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</si>
  <si>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</si>
  <si>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</si>
  <si>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</si>
  <si>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</si>
  <si>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</si>
  <si>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</si>
  <si>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</si>
  <si>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</si>
  <si>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</si>
  <si>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</si>
  <si>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</si>
  <si>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</si>
  <si>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</si>
  <si>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</si>
  <si>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</si>
  <si>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</si>
  <si>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</si>
  <si>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</si>
  <si>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</si>
  <si>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</si>
  <si>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</si>
  <si>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</si>
  <si>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</si>
  <si>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</si>
  <si>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</si>
  <si>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</si>
  <si>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</si>
  <si>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</si>
  <si>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</si>
  <si>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</si>
  <si>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</si>
  <si>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</si>
  <si>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</si>
  <si>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</si>
  <si>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</si>
  <si>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</si>
  <si>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</si>
  <si>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</si>
  <si>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</si>
  <si>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</si>
  <si>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</si>
  <si>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</si>
  <si>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</si>
  <si>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</si>
  <si>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</si>
  <si>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</si>
  <si>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</si>
  <si>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</si>
  <si>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</si>
  <si>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</si>
  <si>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</si>
  <si>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</si>
  <si>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</si>
  <si>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</si>
  <si>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</si>
  <si>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</si>
  <si>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</si>
  <si>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</si>
  <si>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</si>
  <si>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</si>
  <si>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</si>
  <si>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</si>
  <si>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</si>
  <si>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</si>
  <si>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</si>
  <si>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</si>
  <si>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</si>
  <si>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</si>
  <si>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</si>
  <si>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</si>
  <si>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</si>
  <si>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</si>
  <si>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</si>
  <si>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</si>
  <si>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</si>
  <si>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</si>
  <si>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</si>
  <si>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</si>
  <si>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</si>
  <si>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</si>
  <si>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</si>
  <si>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</si>
  <si>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</si>
  <si>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</si>
  <si>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</si>
  <si>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</si>
  <si>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</si>
  <si>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</si>
  <si>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</si>
  <si>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</si>
  <si>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</si>
  <si>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</si>
  <si>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</si>
  <si>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</si>
  <si>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</si>
  <si>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</si>
  <si>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</si>
  <si>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</si>
  <si>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</si>
  <si>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</si>
  <si>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</si>
  <si>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</si>
  <si>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</si>
  <si>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</si>
  <si>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</si>
  <si>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</si>
  <si>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</si>
  <si>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</si>
  <si>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</si>
  <si>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</si>
  <si>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</si>
  <si>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</si>
  <si>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</si>
  <si>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</si>
  <si>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</si>
  <si>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</si>
  <si>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</si>
  <si>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</si>
  <si>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8 Рейсмус\E33149364_2_20260123T093716Z.jpg</t>
  </si>
  <si>
    <t>пт 23.01.2026 — 09:37:16</t>
  </si>
  <si>
    <t>E33149364_2_20260123T113622Z.jpg</t>
  </si>
  <si>
    <t>8 Рейсмус\E33149364_2_20260123T113622Z.jpg</t>
  </si>
  <si>
    <t>пт 23.01.2026 — 11:36:22</t>
  </si>
  <si>
    <t>E33149364_2_20260123T143823Z.jpg</t>
  </si>
  <si>
    <t>8 Рейсмус\E33149364_2_20260123T143823Z.jpg</t>
  </si>
  <si>
    <t>пт 23.01.2026 — 14:38:23</t>
  </si>
  <si>
    <t>E33149364_2_20260123T160505Z.jpg</t>
  </si>
  <si>
    <t>8 Рейсмус\E33149364_2_20260123T160505Z.jpg</t>
  </si>
  <si>
    <t>пт 23.01.2026 — 16:05:05</t>
  </si>
  <si>
    <t>E33149364_2_20260123T204424Z.jpg</t>
  </si>
  <si>
    <t>8 Рейсмус\E33149364_2_20260123T204424Z.jpg</t>
  </si>
  <si>
    <t>пт 23.01.2026 — 20:44:24</t>
  </si>
  <si>
    <t>E33149364_2_20260123T210916Z.jpg</t>
  </si>
  <si>
    <t>8 Рейсмус\E33149364_2_20260123T210916Z.jpg</t>
  </si>
  <si>
    <t>пт 23.01.2026 — 21:09:16</t>
  </si>
  <si>
    <t>E33149364_1_20260123T001613Z.jpg</t>
  </si>
  <si>
    <t>9 Ангар пилорама\E33149364_1_20260123T001613Z.jpg</t>
  </si>
  <si>
    <t>пт 23.01.2026 — 00:16:13</t>
  </si>
  <si>
    <t>E33149364_1_20260123T095017Z.jpg</t>
  </si>
  <si>
    <t>9 Ангар пилорама\E33149364_1_20260123T095017Z.jpg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</si>
  <si>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</si>
  <si>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</si>
  <si>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</si>
  <si>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</si>
  <si>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</si>
  <si>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</si>
  <si>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</si>
  <si>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</si>
  <si>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9 Ангар пилорама\E33149364_1_20260123T163428Z.jpg</t>
  </si>
  <si>
    <t>пт 23.01.2026 — 16:34:28</t>
  </si>
  <si>
    <t>E33149364_3_20260123T092302Z.jpg</t>
  </si>
  <si>
    <t>10 Сушилка навес\E33149364_3_20260123T092302Z.jpg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</si>
  <si>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</si>
  <si>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</si>
  <si>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</si>
  <si>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</si>
  <si>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</si>
  <si>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</si>
  <si>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</si>
  <si>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</si>
  <si>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</si>
  <si>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</si>
  <si>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10 Сушилка навес\E33149364_3_20260123T141500Z.jpg</t>
  </si>
  <si>
    <t>пт 23.01.2026 — 14:15:00</t>
  </si>
  <si>
    <t>E33149364_4_20260123T092943Z.jpg</t>
  </si>
  <si>
    <t>11 С ангара на базу\E33149364_4_20260123T092943Z.jpg</t>
  </si>
  <si>
    <t>пт 23.01.2026 — 09:29:43</t>
  </si>
  <si>
    <t>E33149364_4_20260123T093002Z.jpg</t>
  </si>
  <si>
    <t>11 С ангара на базу\E33149364_4_20260123T093002Z.jpg</t>
  </si>
  <si>
    <t>пт 23.01.2026 — 09:30:02</t>
  </si>
  <si>
    <t>E33149364_4_20260123T095130Z.jpg</t>
  </si>
  <si>
    <t>11 С ангара на базу\E33149364_4_20260123T095130Z.jpg</t>
  </si>
  <si>
    <t>пт 23.01.2026 — 09:51:30</t>
  </si>
  <si>
    <t>E33149364_4_20260123T103346Z.jpg</t>
  </si>
  <si>
    <t>11 С ангара на базу\E33149364_4_20260123T103346Z.jpg</t>
  </si>
  <si>
    <t>пт 23.01.2026 — 10:33:46</t>
  </si>
  <si>
    <t>E33149364_4_20260123T104942Z.jpg</t>
  </si>
  <si>
    <t>11 С ангара на базу\E33149364_4_20260123T104942Z.jpg</t>
  </si>
  <si>
    <t>пт 23.01.2026 — 10:49:42</t>
  </si>
  <si>
    <t>E33149364_4_20260123T120032Z.jpg</t>
  </si>
  <si>
    <t>11 С ангара на базу\E33149364_4_20260123T120032Z.jpg</t>
  </si>
  <si>
    <t>пт 23.01.2026 — 12:00:32</t>
  </si>
  <si>
    <t>E33149364_4_20260123T120311Z.jpg</t>
  </si>
  <si>
    <t>11 С ангара на базу\E33149364_4_20260123T120311Z.jpg</t>
  </si>
  <si>
    <t>пт 23.01.2026 — 12:03:11</t>
  </si>
  <si>
    <t>E33149364_4_20260123T131103Z.jpg</t>
  </si>
  <si>
    <t>11 С ангара на базу\E33149364_4_20260123T131103Z.jpg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</si>
  <si>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</si>
  <si>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</si>
  <si>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</si>
  <si>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</si>
  <si>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</si>
  <si>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</si>
  <si>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</si>
  <si>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</si>
  <si>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</si>
  <si>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</si>
  <si>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</si>
  <si>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</si>
  <si>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</si>
  <si>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</si>
  <si>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</si>
  <si>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</si>
  <si>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</si>
  <si>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</si>
  <si>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</si>
  <si>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</si>
  <si>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</si>
  <si>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</si>
  <si>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</si>
  <si>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</si>
  <si>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2 Пилорама поката\E33149364_7_20260124T085057Z.jpg</t>
  </si>
  <si>
    <t>сб 24.01.2026 — 08:50:57</t>
  </si>
  <si>
    <t>E33149364_7_20260125T182912Z.jpg</t>
  </si>
  <si>
    <t>2 Пилорама поката\E33149364_7_20260125T182912Z.jpg</t>
  </si>
  <si>
    <t>вс 25.01.2026 — 18:29:12</t>
  </si>
  <si>
    <t>E33149364_6_20260124T163121Z.jpg</t>
  </si>
  <si>
    <t>1 Ангар Склад 2 въезд\E33149364_6_20260124T163121Z.jpg</t>
  </si>
  <si>
    <t>сб 24.01.2026 — 16:31:21</t>
  </si>
  <si>
    <t>E33149364_6_20260125T162509Z.jpg</t>
  </si>
  <si>
    <t>1 Ангар Склад 2 въезд\E33149364_6_20260125T162509Z.jpg</t>
  </si>
  <si>
    <t>вс 25.01.2026 — 16:25:09</t>
  </si>
  <si>
    <t>E33149364_2_20260124T112837Z.jpg</t>
  </si>
  <si>
    <t>8 Рейсмус\E33149364_2_20260124T112837Z.jpg</t>
  </si>
  <si>
    <t>сб 24.01.2026 — 11:28:37</t>
  </si>
  <si>
    <t>E33149364_2_20260125T163326Z.jpg</t>
  </si>
  <si>
    <t>8 Рейсмус\E33149364_2_20260125T163326Z.jpg</t>
  </si>
  <si>
    <t>вс 25.01.2026 — 16:33:26</t>
  </si>
  <si>
    <t>E33149364_2_20260125T185743Z.jpg</t>
  </si>
  <si>
    <t>8 Рейсмус\E33149364_2_20260125T185743Z.jpg</t>
  </si>
  <si>
    <t>вс 25.01.2026 — 18:57:43</t>
  </si>
  <si>
    <t>E33149364_1_20260124T103151Z.jpg</t>
  </si>
  <si>
    <t>9 Ангар пилорама\E33149364_1_20260124T103151Z.jpg</t>
  </si>
  <si>
    <t>сб 24.01.2026 — 10:31:51</t>
  </si>
  <si>
    <t>E33149364_3_20260125T165645Z.jpg</t>
  </si>
  <si>
    <t>10 Сушилка навес\E33149364_3_20260125T165645Z.jpg</t>
  </si>
  <si>
    <t>вс 25.01.2026 — 16:56:45</t>
  </si>
  <si>
    <t>E33149364_4_20260124T170127Z.jpg</t>
  </si>
  <si>
    <t>11 С ангара на базу\E33149364_4_20260124T170127Z.jpg</t>
  </si>
  <si>
    <t>сб 24.01.2026 — 17:01:27</t>
  </si>
  <si>
    <t>E33149364_4_20260125T165653Z.jpg</t>
  </si>
  <si>
    <t>11 С ангара на базу\E33149364_4_20260125T165653Z.jpg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</si>
  <si>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</si>
  <si>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</si>
  <si>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</si>
  <si>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</si>
  <si>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</si>
  <si>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</si>
  <si>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</si>
  <si>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</si>
  <si>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</si>
  <si>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</si>
  <si>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</si>
  <si>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</si>
  <si>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</si>
  <si>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</si>
  <si>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3 Въезд на базу\E33149364_8_20260125T170136Z.jpg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</si>
  <si>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</si>
  <si>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</si>
  <si>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</si>
  <si>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</si>
  <si>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</si>
  <si>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</si>
  <si>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</si>
  <si>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</si>
  <si>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</si>
  <si>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</si>
  <si>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</si>
  <si>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</si>
  <si>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</si>
  <si>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</si>
  <si>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</si>
  <si>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</si>
  <si>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</si>
  <si>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</si>
  <si>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</si>
  <si>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</si>
  <si>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</si>
  <si>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</si>
  <si>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</si>
  <si>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</si>
  <si>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</si>
  <si>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</si>
  <si>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9 Ангар пилорама\E33149364_1_20260125T162419Z.jpg</t>
  </si>
  <si>
    <t>вс 25.01.2026 — 16:24:19</t>
  </si>
  <si>
    <t>E33149364_3_20260124T111551Z.jpg</t>
  </si>
  <si>
    <t>10 Сушилка навес\E33149364_3_20260124T111551Z.jpg</t>
  </si>
  <si>
    <t>сб 24.01.2026 — 11:15:51</t>
  </si>
  <si>
    <t>Сотрудник с досками</t>
  </si>
  <si>
    <t>E33149364_8_20260124T160859Z.jpg</t>
  </si>
  <si>
    <t>3 Въезд на базу\E33149364_8_20260124T160859Z.jpg</t>
  </si>
  <si>
    <t>сб 24.01.2026 — 16:08:59</t>
  </si>
  <si>
    <t>E33149364_7_20260126T183126Z.jpg</t>
  </si>
  <si>
    <t>2 Пилорама поката\E33149364_7_20260126T183126Z.jpg</t>
  </si>
  <si>
    <t>пн 26.01.2026 — 18:31:26</t>
  </si>
  <si>
    <t>E33149364_7_20260127T144127Z.jpg</t>
  </si>
  <si>
    <t>2 Пилорама поката\E33149364_7_20260127T144127Z.jpg</t>
  </si>
  <si>
    <t>вт 27.01.2026 — 14:41:27</t>
  </si>
  <si>
    <t>E33149364_6_20260126T164407Z.jpg</t>
  </si>
  <si>
    <t>1 Ангар Склад 2 въезд\E33149364_6_20260126T164407Z.jpg</t>
  </si>
  <si>
    <t>пн 26.01.2026 — 16:44:07</t>
  </si>
  <si>
    <t>E33149364_6_20260127T173031Z.jpg</t>
  </si>
  <si>
    <t>1 Ангар Склад 2 въезд\E33149364_6_20260127T173031Z.jpg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</si>
  <si>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</si>
  <si>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</si>
  <si>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</si>
  <si>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</si>
  <si>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</si>
  <si>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</si>
  <si>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</si>
  <si>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</si>
  <si>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</si>
  <si>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</si>
  <si>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</si>
  <si>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</si>
  <si>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</si>
  <si>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</si>
  <si>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</si>
  <si>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</si>
  <si>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</si>
  <si>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</si>
  <si>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</si>
  <si>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</si>
  <si>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3 Въезд на базу\E33149364_8_20260126T152552Z.jpg</t>
  </si>
  <si>
    <t>пн 26.01.2026 — 15:25:52</t>
  </si>
  <si>
    <t>E33149364_8_20260127T163132Z.jpg</t>
  </si>
  <si>
    <t>3 Въезд на базу\E33149364_8_20260127T163132Z.jpg</t>
  </si>
  <si>
    <t>вт 27.01.2026 — 16:31:32</t>
  </si>
  <si>
    <t>E33149364_2_20260126T103404Z.jpg</t>
  </si>
  <si>
    <t>8 Рейсмус\E33149364_2_20260126T103404Z.jpg</t>
  </si>
  <si>
    <t>пн 26.01.2026 — 10:34:04</t>
  </si>
  <si>
    <t>E33149364_2_20260126T145157Z.jpg</t>
  </si>
  <si>
    <t>8 Рейсмус\E33149364_2_20260126T145157Z.jpg</t>
  </si>
  <si>
    <t>пн 26.01.2026 — 14:51:57</t>
  </si>
  <si>
    <t>E33149364_2_20260126T164623Z.jpg</t>
  </si>
  <si>
    <t>8 Рейсмус\E33149364_2_20260126T164623Z.jpg</t>
  </si>
  <si>
    <t>пн 26.01.2026 — 16:46:23</t>
  </si>
  <si>
    <t>E33149364_2_20260126T180455Z.jpg</t>
  </si>
  <si>
    <t>8 Рейсмус\E33149364_2_20260126T180455Z.jpg</t>
  </si>
  <si>
    <t>пн 26.01.2026 — 18:04:55</t>
  </si>
  <si>
    <t>E33149364_2_20260127T121953Z.jpg</t>
  </si>
  <si>
    <t>8 Рейсмус\E33149364_2_20260127T121953Z.jpg</t>
  </si>
  <si>
    <t>вт 27.01.2026 — 12:19:53</t>
  </si>
  <si>
    <t>E33149364_2_20260127T145331Z.jpg</t>
  </si>
  <si>
    <t>8 Рейсмус\E33149364_2_20260127T145331Z.jpg</t>
  </si>
  <si>
    <t>вт 27.01.2026 — 14:53:31</t>
  </si>
  <si>
    <t>E33149364_2_20260127T160800Z.jpg</t>
  </si>
  <si>
    <t>8 Рейсмус\E33149364_2_20260127T160800Z.jpg</t>
  </si>
  <si>
    <t>вт 27.01.2026 — 16:08:00</t>
  </si>
  <si>
    <t>E33149364_1_20260126T123228Z.jpg</t>
  </si>
  <si>
    <t>9 Ангар пилорама\E33149364_1_20260126T123228Z.jpg</t>
  </si>
  <si>
    <t>пн 26.01.2026 — 12:32:28</t>
  </si>
  <si>
    <t>E33149364_1_20260126T162414Z.jpg</t>
  </si>
  <si>
    <t>9 Ангар пилорама\E33149364_1_20260126T162414Z.jpg</t>
  </si>
  <si>
    <t>пн 26.01.2026 — 16:24:14</t>
  </si>
  <si>
    <t>E33149364_1_20260127T124119Z.jpg</t>
  </si>
  <si>
    <t>9 Ангар пилорама\E33149364_1_20260127T124119Z.jpg</t>
  </si>
  <si>
    <t>вт 27.01.2026 — 12:41:19</t>
  </si>
  <si>
    <t>E33149364_1_20260127T143614Z.jpg</t>
  </si>
  <si>
    <t>9 Ангар пилорама\E33149364_1_20260127T143614Z.jpg</t>
  </si>
  <si>
    <t>вт 27.01.2026 — 14:36:14</t>
  </si>
  <si>
    <t>E33149364_1_20260127T165846Z.jpg</t>
  </si>
  <si>
    <t>9 Ангар пилорама\E33149364_1_20260127T165846Z.jpg</t>
  </si>
  <si>
    <t>вт 27.01.2026 — 16:58:46</t>
  </si>
  <si>
    <t>E33149364_3_20260126T123255Z.jpg</t>
  </si>
  <si>
    <t>10 Сушилка навес\E33149364_3_20260126T123255Z.jpg</t>
  </si>
  <si>
    <t>пн 26.01.2026 — 12:32:55</t>
  </si>
  <si>
    <t>E33149364_3_20260127T130248Z.jpg</t>
  </si>
  <si>
    <t>10 Сушилка навес\E33149364_3_20260127T130248Z.jpg</t>
  </si>
  <si>
    <t>вт 27.01.2026 — 13:02:48</t>
  </si>
  <si>
    <t>E33149364_3_20260127T161121Z.jpg</t>
  </si>
  <si>
    <t>10 Сушилка навес\E33149364_3_20260127T161121Z.jpg</t>
  </si>
  <si>
    <t>вт 27.01.2026 — 16:11:21</t>
  </si>
  <si>
    <t>E33149364_3_20260127T164312Z.jpg</t>
  </si>
  <si>
    <t>10 Сушилка навес\E33149364_3_20260127T164312Z.jpg</t>
  </si>
  <si>
    <t>вт 27.01.2026 — 16:43:12</t>
  </si>
  <si>
    <t>E33149364_4_20260126T142432Z.jpg</t>
  </si>
  <si>
    <t>11 С ангара на базу\E33149364_4_20260126T142432Z.jpg</t>
  </si>
  <si>
    <t>пн 26.01.2026 — 14:24:32</t>
  </si>
  <si>
    <t>E33149364_4_20260127T145554Z.jpg</t>
  </si>
  <si>
    <t>11 С ангара на базу\E33149364_4_20260127T145554Z.jpg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</si>
  <si>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</si>
  <si>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</si>
  <si>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</si>
  <si>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</si>
  <si>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</si>
  <si>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</si>
  <si>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</si>
  <si>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</si>
  <si>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</si>
  <si>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</si>
  <si>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</si>
  <si>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</si>
  <si>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</si>
  <si>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</si>
  <si>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</si>
  <si>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</si>
  <si>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</si>
  <si>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</si>
  <si>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</si>
  <si>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</si>
  <si>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</si>
  <si>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</si>
  <si>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</si>
  <si>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</si>
  <si>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</si>
  <si>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2 Пилорама поката\E33149364_7_20260128T145023Z.jpg</t>
  </si>
  <si>
    <t>ср 28.01.2026 — 14:50:23</t>
  </si>
  <si>
    <t>E33149364_7_20260128T145512Z.jpg</t>
  </si>
  <si>
    <t>2 Пилорама поката\E33149364_7_20260128T145512Z.jpg</t>
  </si>
  <si>
    <t>ср 28.01.2026 — 14:55:12</t>
  </si>
  <si>
    <t>E33149364_7_20260128T150551Z.jpg</t>
  </si>
  <si>
    <t>2 Пилорама поката\E33149364_7_20260128T150551Z.jpg</t>
  </si>
  <si>
    <t>ср 28.01.2026 — 15:05:51</t>
  </si>
  <si>
    <t>E33149364_7_20260128T152403Z.jpg</t>
  </si>
  <si>
    <t>2 Пилорама поката\E33149364_7_20260128T152403Z.jpg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</si>
  <si>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</si>
  <si>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</si>
  <si>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</si>
  <si>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</si>
  <si>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</si>
  <si>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</si>
  <si>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</si>
  <si>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</si>
  <si>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</si>
  <si>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</si>
  <si>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</si>
  <si>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</si>
  <si>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</si>
  <si>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</si>
  <si>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2 Пилорама поката\E33149364_7_20260129T112558Z.jpg</t>
  </si>
  <si>
    <t>чт 29.01.2026 — 11:25:58</t>
  </si>
  <si>
    <t>E33149364_7_20260129T124720Z.jpg</t>
  </si>
  <si>
    <t>2 Пилорама поката\E33149364_7_20260129T124720Z.jpg</t>
  </si>
  <si>
    <t>чт 29.01.2026 — 12:47:20</t>
  </si>
  <si>
    <t>E33149364_7_20260129T140826Z.jpg</t>
  </si>
  <si>
    <t>2 Пилорама поката\E33149364_7_20260129T140826Z.jpg</t>
  </si>
  <si>
    <t>чт 29.01.2026 — 14:08:26</t>
  </si>
  <si>
    <t>E33149364_7_20260129T140834Z.jpg</t>
  </si>
  <si>
    <t>2 Пилорама поката\E33149364_7_20260129T140834Z.jpg</t>
  </si>
  <si>
    <t>чт 29.01.2026 — 14:08:34</t>
  </si>
  <si>
    <t>E33149364_7_20260129T141119Z.jpg</t>
  </si>
  <si>
    <t>2 Пилорама поката\E33149364_7_20260129T141119Z.jpg</t>
  </si>
  <si>
    <t>чт 29.01.2026 — 14:11:19</t>
  </si>
  <si>
    <t>E33149364_7_20260129T150014Z.jpg</t>
  </si>
  <si>
    <t>2 Пилорама поката\E33149364_7_20260129T150014Z.jpg</t>
  </si>
  <si>
    <t>чт 29.01.2026 — 15:00:14</t>
  </si>
  <si>
    <t>E33149364_7_20260129T150311Z.jpg</t>
  </si>
  <si>
    <t>2 Пилорама поката\E33149364_7_20260129T150311Z.jpg</t>
  </si>
  <si>
    <t>чт 29.01.2026 — 15:03:11</t>
  </si>
  <si>
    <t>E33149364_7_20260129T150919Z.jpg</t>
  </si>
  <si>
    <t>2 Пилорама поката\E33149364_7_20260129T150919Z.jpg</t>
  </si>
  <si>
    <t>чт 29.01.2026 — 15:09:19</t>
  </si>
  <si>
    <t>E33149364_7_20260129T151247Z.jpg</t>
  </si>
  <si>
    <t>2 Пилорама поката\E33149364_7_20260129T151247Z.jpg</t>
  </si>
  <si>
    <t>чт 29.01.2026 — 15:12:47</t>
  </si>
  <si>
    <t>E33149364_7_20260129T153648Z.jpg</t>
  </si>
  <si>
    <t>2 Пилорама поката\E33149364_7_20260129T153648Z.jpg</t>
  </si>
  <si>
    <t>чт 29.01.2026 — 15:36:48</t>
  </si>
  <si>
    <t>E33149364_7_20260129T160113Z.jpg</t>
  </si>
  <si>
    <t>2 Пилорама поката\E33149364_7_20260129T160113Z.jpg</t>
  </si>
  <si>
    <t>чт 29.01.2026 — 16:01:13</t>
  </si>
  <si>
    <t>E33149364_7_20260129T160412Z.jpg</t>
  </si>
  <si>
    <t>2 Пилорама поката\E33149364_7_20260129T160412Z.jpg</t>
  </si>
  <si>
    <t>чт 29.01.2026 — 16:04:12</t>
  </si>
  <si>
    <t>E33149364_7_20260129T164106Z.jpg</t>
  </si>
  <si>
    <t>2 Пилорама поката\E33149364_7_20260129T164106Z.jpg</t>
  </si>
  <si>
    <t>чт 29.01.2026 — 16:41:06</t>
  </si>
  <si>
    <t>E33149364_7_20260129T164338Z.jpg</t>
  </si>
  <si>
    <t>2 Пилорама поката\E33149364_7_20260129T164338Z.jpg</t>
  </si>
  <si>
    <t>чт 29.01.2026 — 16:43:38</t>
  </si>
  <si>
    <t>E33149364_7_20260129T164409Z.jpg</t>
  </si>
  <si>
    <t>2 Пилорама поката\E33149364_7_20260129T164409Z.jpg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</si>
  <si>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</si>
  <si>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</si>
  <si>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</si>
  <si>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</si>
  <si>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</si>
  <si>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</si>
  <si>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</si>
  <si>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</si>
  <si>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1 Ангар Склад 2 въезд\E33149364_6_20260128T171608Z.jpg</t>
  </si>
  <si>
    <t>ср 28.01.2026 — 17:16:08</t>
  </si>
  <si>
    <t>E33149364_6_20260129T115201Z.jpg</t>
  </si>
  <si>
    <t>1 Ангар Склад 2 въезд\E33149364_6_20260129T115201Z.jpg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</si>
  <si>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</si>
  <si>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</si>
  <si>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</si>
  <si>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</si>
  <si>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</si>
  <si>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</si>
  <si>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</si>
  <si>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</si>
  <si>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</si>
  <si>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</si>
  <si>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</si>
  <si>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</si>
  <si>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</si>
  <si>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</si>
  <si>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</si>
  <si>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</si>
  <si>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</si>
  <si>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3 Въезд на базу\E33149364_8_20260128T130845Z.jpg</t>
  </si>
  <si>
    <t>ср 28.01.2026 — 13:08:45</t>
  </si>
  <si>
    <t>E33149364_8_20260129T121721Z.jpg</t>
  </si>
  <si>
    <t>3 Въезд на базу\E33149364_8_20260129T121721Z.jpg</t>
  </si>
  <si>
    <t>чт 29.01.2026 — 12:17:21</t>
  </si>
  <si>
    <t>E33149364_2_20260128T061158Z.jpg</t>
  </si>
  <si>
    <t>8 Рейсмус\E33149364_2_20260128T061158Z.jpg</t>
  </si>
  <si>
    <t>ср 28.01.2026 — 06:11:58</t>
  </si>
  <si>
    <t>E33149364_2_20260128T112020Z.jpg</t>
  </si>
  <si>
    <t>8 Рейсмус\E33149364_2_20260128T112020Z.jpg</t>
  </si>
  <si>
    <t>ср 28.01.2026 — 11:20:20</t>
  </si>
  <si>
    <t>E33149364_2_20260128T145757Z.jpg</t>
  </si>
  <si>
    <t>8 Рейсмус\E33149364_2_20260128T145757Z.jpg</t>
  </si>
  <si>
    <t>ср 28.01.2026 — 14:57:57</t>
  </si>
  <si>
    <t>E33149364_2_20260128T163739Z.jpg</t>
  </si>
  <si>
    <t>8 Рейсмус\E33149364_2_20260128T163739Z.jpg</t>
  </si>
  <si>
    <t>ср 28.01.2026 — 16:37:39</t>
  </si>
  <si>
    <t>E33149364_2_20260128T174158Z.jpg</t>
  </si>
  <si>
    <t>8 Рейсмус\E33149364_2_20260128T174158Z.jpg</t>
  </si>
  <si>
    <t>ср 28.01.2026 — 17:41:58</t>
  </si>
  <si>
    <t>E33149364_2_20260128T204231Z.jpg</t>
  </si>
  <si>
    <t>8 Рейсмус\E33149364_2_20260128T204231Z.jpg</t>
  </si>
  <si>
    <t>ср 28.01.2026 — 20:42:31</t>
  </si>
  <si>
    <t>E33149364_2_20260128T224504Z.jpg</t>
  </si>
  <si>
    <t>8 Рейсмус\E33149364_2_20260128T224504Z.jpg</t>
  </si>
  <si>
    <t>ср 28.01.2026 — 22:45:04</t>
  </si>
  <si>
    <t>E33149364_2_20260129T095051Z.jpg</t>
  </si>
  <si>
    <t>8 Рейсмус\E33149364_2_20260129T095051Z.jpg</t>
  </si>
  <si>
    <t>чт 29.01.2026 — 09:50:51</t>
  </si>
  <si>
    <t>E33149364_2_20260129T101940Z.jpg</t>
  </si>
  <si>
    <t>8 Рейсмус\E33149364_2_20260129T101940Z.jpg</t>
  </si>
  <si>
    <t>чт 29.01.2026 — 10:19:40</t>
  </si>
  <si>
    <t>E33149364_2_20260129T111829Z.jpg</t>
  </si>
  <si>
    <t>8 Рейсмус\E33149364_2_20260129T111829Z.jpg</t>
  </si>
  <si>
    <t>чт 29.01.2026 — 11:18:29</t>
  </si>
  <si>
    <t>E33149364_2_20260129T140906Z.jpg</t>
  </si>
  <si>
    <t>8 Рейсмус\E33149364_2_20260129T140906Z.jpg</t>
  </si>
  <si>
    <t>чт 29.01.2026 — 14:09:06</t>
  </si>
  <si>
    <t>E33149364_2_20260129T154044Z.jpg</t>
  </si>
  <si>
    <t>8 Рейсмус\E33149364_2_20260129T154044Z.jpg</t>
  </si>
  <si>
    <t>чт 29.01.2026 — 15:40:44</t>
  </si>
  <si>
    <t>E33149364_2_20260129T164254Z.jpg</t>
  </si>
  <si>
    <t>8 Рейсмус\E33149364_2_20260129T164254Z.jpg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</si>
  <si>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</si>
  <si>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</si>
  <si>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</si>
  <si>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</si>
  <si>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</si>
  <si>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</si>
  <si>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</si>
  <si>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</si>
  <si>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9 Ангар пилорама\E33149364_1_20260128T091635Z.jpg</t>
  </si>
  <si>
    <t>ср 28.01.2026 — 09:16:35</t>
  </si>
  <si>
    <t>E33149364_1_20260128T100012Z.jpg</t>
  </si>
  <si>
    <t>9 Ангар пилорама\E33149364_1_20260128T100012Z.jpg</t>
  </si>
  <si>
    <t>ср 28.01.2026 — 10:00:12</t>
  </si>
  <si>
    <t>E33149364_1_20260128T100740Z.jpg</t>
  </si>
  <si>
    <t>9 Ангар пилорама\E33149364_1_20260128T100740Z.jpg</t>
  </si>
  <si>
    <t>ср 28.01.2026 — 10:07:40</t>
  </si>
  <si>
    <t>E33149364_1_20260128T100806Z.jpg</t>
  </si>
  <si>
    <t>9 Ангар пилорама\E33149364_1_20260128T100806Z.jpg</t>
  </si>
  <si>
    <t>ср 28.01.2026 — 10:08:06</t>
  </si>
  <si>
    <t>E33149364_1_20260128T153940Z.jpg</t>
  </si>
  <si>
    <t>9 Ангар пилорама\E33149364_1_20260128T153940Z.jpg</t>
  </si>
  <si>
    <t>ср 28.01.2026 — 15:39:40</t>
  </si>
  <si>
    <t>E33149364_1_20260128T154144Z.jpg</t>
  </si>
  <si>
    <t>9 Ангар пилорама\E33149364_1_20260128T154144Z.jpg</t>
  </si>
  <si>
    <t>ср 28.01.2026 — 15:41:44</t>
  </si>
  <si>
    <t>E33149364_1_20260128T212719Z.jpg</t>
  </si>
  <si>
    <t>9 Ангар пилорама\E33149364_1_20260128T212719Z.jpg</t>
  </si>
  <si>
    <t>ср 28.01.2026 — 21:27:19</t>
  </si>
  <si>
    <t>E33149364_1_20260129T104017Z.jpg</t>
  </si>
  <si>
    <t>9 Ангар пилорама\E33149364_1_20260129T104017Z.jpg</t>
  </si>
  <si>
    <t>чт 29.01.2026 — 10:40:17</t>
  </si>
  <si>
    <t>E33149364_1_20260129T115723Z.jpg</t>
  </si>
  <si>
    <t>9 Ангар пилорама\E33149364_1_20260129T115723Z.jpg</t>
  </si>
  <si>
    <t>чт 29.01.2026 — 11:57:23</t>
  </si>
  <si>
    <t>E33149364_1_20260129T123118Z.jpg</t>
  </si>
  <si>
    <t>9 Ангар пилорама\E33149364_1_20260129T123118Z.jpg</t>
  </si>
  <si>
    <t>чт 29.01.2026 — 12:31:18</t>
  </si>
  <si>
    <t>E33149364_1_20260129T125259Z.jpg</t>
  </si>
  <si>
    <t>9 Ангар пилорама\E33149364_1_20260129T125259Z.jpg</t>
  </si>
  <si>
    <t>чт 29.01.2026 — 12:52:59</t>
  </si>
  <si>
    <t>E33149364_1_20260129T160108Z.jpg</t>
  </si>
  <si>
    <t>9 Ангар пилорама\E33149364_1_20260129T160108Z.jpg</t>
  </si>
  <si>
    <t>чт 29.01.2026 — 16:01:08</t>
  </si>
  <si>
    <t>E33149364_3_20260128T100809Z.jpg</t>
  </si>
  <si>
    <t>10 Сушилка навес\E33149364_3_20260128T100809Z.jpg</t>
  </si>
  <si>
    <t>ср 28.01.2026 — 10:08:09</t>
  </si>
  <si>
    <t>E33149364_3_20260128T145004Z.jpg</t>
  </si>
  <si>
    <t>10 Сушилка навес\E33149364_3_20260128T145004Z.jpg</t>
  </si>
  <si>
    <t>ср 28.01.2026 — 14:50:04</t>
  </si>
  <si>
    <t>E33149364_3_20260128T153954Z.jpg</t>
  </si>
  <si>
    <t>10 Сушилка навес\E33149364_3_20260128T153954Z.jpg</t>
  </si>
  <si>
    <t>ср 28.01.2026 — 15:39:54</t>
  </si>
  <si>
    <t>E33149364_3_20260129T124710Z.jpg</t>
  </si>
  <si>
    <t>10 Сушилка навес\E33149364_3_20260129T124710Z.jpg</t>
  </si>
  <si>
    <t>чт 29.01.2026 — 12:47:10</t>
  </si>
  <si>
    <t>E33149364_3_20260129T140358Z.jpg</t>
  </si>
  <si>
    <t>10 Сушилка навес\E33149364_3_20260129T140358Z.jpg</t>
  </si>
  <si>
    <t>чт 29.01.2026 — 14:03:58</t>
  </si>
  <si>
    <t>E33149364_3_20260129T140823Z.jpg</t>
  </si>
  <si>
    <t>10 Сушилка навес\E33149364_3_20260129T140823Z.jpg</t>
  </si>
  <si>
    <t>чт 29.01.2026 — 14:08:23</t>
  </si>
  <si>
    <t>E33149364_3_20260129T150331Z.jpg</t>
  </si>
  <si>
    <t>10 Сушилка навес\E33149364_3_20260129T150331Z.jpg</t>
  </si>
  <si>
    <t>чт 29.01.2026 — 15:03:31</t>
  </si>
  <si>
    <t>E33149364_3_20260129T151234Z.jpg</t>
  </si>
  <si>
    <t>10 Сушилка навес\E33149364_3_20260129T151234Z.jpg</t>
  </si>
  <si>
    <t>чт 29.01.2026 — 15:12:34</t>
  </si>
  <si>
    <t>E33149364_3_20260129T164124Z.jpg</t>
  </si>
  <si>
    <t>10 Сушилка навес\E33149364_3_20260129T164124Z.jpg</t>
  </si>
  <si>
    <t>чт 29.01.2026 — 16:41:24</t>
  </si>
  <si>
    <t>E33149364_3_20260129T170550Z.jpg</t>
  </si>
  <si>
    <t>10 Сушилка навес\E33149364_3_20260129T170550Z.jpg</t>
  </si>
  <si>
    <t>чт 29.01.2026 — 17:05:50</t>
  </si>
  <si>
    <t>E33149364_4_20260128T153939Z.jpg</t>
  </si>
  <si>
    <t>11 С ангара на базу\E33149364_4_20260128T153939Z.jpg</t>
  </si>
  <si>
    <t>ср 28.01.2026 — 15:39:39</t>
  </si>
  <si>
    <t>E33149364_4_20260129T161142Z.jpg</t>
  </si>
  <si>
    <t>11 С ангара на базу\E33149364_4_20260129T161142Z.jpg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</si>
  <si>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</si>
  <si>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</si>
  <si>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</si>
  <si>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</si>
  <si>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</si>
  <si>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</si>
  <si>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</si>
  <si>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</si>
  <si>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</si>
  <si>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</si>
  <si>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</si>
  <si>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</si>
  <si>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</si>
  <si>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</si>
  <si>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</si>
  <si>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</si>
  <si>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</si>
  <si>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</si>
  <si>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</si>
  <si>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</si>
  <si>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</si>
  <si>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</si>
  <si>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</si>
  <si>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</si>
  <si>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</si>
  <si>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</si>
  <si>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</si>
  <si>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</si>
  <si>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</si>
  <si>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</si>
  <si>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</si>
  <si>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</si>
  <si>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2 Пилорама поката\E33149364_7_20260130T134217Z.jpg</t>
  </si>
  <si>
    <t>пт 30.01.2026 — 13:42:17</t>
  </si>
  <si>
    <t>E33149364_7_20260130T134723Z.jpg</t>
  </si>
  <si>
    <t>2 Пилорама поката\E33149364_7_20260130T134723Z.jpg</t>
  </si>
  <si>
    <t>пт 30.01.2026 — 13:47:23</t>
  </si>
  <si>
    <t>E33149364_8_20260130T103758Z.jpg</t>
  </si>
  <si>
    <t>3 Въезд на базу\E33149364_8_20260130T103758Z.jpg</t>
  </si>
  <si>
    <t>пт 30.01.2026 — 10:37:58</t>
  </si>
  <si>
    <t>E33149364_8_20260130T175152Z.jpg</t>
  </si>
  <si>
    <t>3 Въезд на базу\E33149364_8_20260130T175152Z.jpg</t>
  </si>
  <si>
    <t>пт 30.01.2026 — 17:51:52</t>
  </si>
  <si>
    <t>E33149364_6_20260130T084530Z.jpg</t>
  </si>
  <si>
    <t>1 Ангар Склад 2 въезд\E33149364_6_20260130T084530Z.jpg</t>
  </si>
  <si>
    <t>пт 30.01.2026 — 08:45:30</t>
  </si>
  <si>
    <t>E33149364_6_20260130T091943Z.jpg</t>
  </si>
  <si>
    <t>1 Ангар Склад 2 въезд\E33149364_6_20260130T091943Z.jpg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</si>
  <si>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</si>
  <si>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</si>
  <si>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</si>
  <si>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</si>
  <si>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</si>
  <si>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</si>
  <si>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</si>
  <si>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</si>
  <si>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</si>
  <si>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</si>
  <si>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</si>
  <si>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</si>
  <si>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</si>
  <si>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</si>
  <si>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</si>
  <si>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</si>
  <si>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</si>
  <si>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8 Рейсмус\E33149364_2_20260130T091624Z.jpg</t>
  </si>
  <si>
    <t>пт 30.01.2026 — 09:16:24</t>
  </si>
  <si>
    <t>E33149364_2_20260130T115317Z.jpg</t>
  </si>
  <si>
    <t>8 Рейсмус\E33149364_2_20260130T115317Z.jpg</t>
  </si>
  <si>
    <t>пт 30.01.2026 — 11:53:17</t>
  </si>
  <si>
    <t>E33149364_2_20260130T121450Z.jpg</t>
  </si>
  <si>
    <t>8 Рейсмус\E33149364_2_20260130T121450Z.jpg</t>
  </si>
  <si>
    <t>пт 30.01.2026 — 12:14:50</t>
  </si>
  <si>
    <t>E33149364_2_20260130T145910Z.jpg</t>
  </si>
  <si>
    <t>8 Рейсмус\E33149364_2_20260130T145910Z.jpg</t>
  </si>
  <si>
    <t>пт 30.01.2026 — 14:59:10</t>
  </si>
  <si>
    <t>E33149364_2_20260130T152222Z.jpg</t>
  </si>
  <si>
    <t>8 Рейсмус\E33149364_2_20260130T152222Z.jpg</t>
  </si>
  <si>
    <t>пт 30.01.2026 — 15:22:22</t>
  </si>
  <si>
    <t>E33149364_2_20260130T152527Z.jpg</t>
  </si>
  <si>
    <t>8 Рейсмус\E33149364_2_20260130T152527Z.jpg</t>
  </si>
  <si>
    <t>пт 30.01.2026 — 15:25:27</t>
  </si>
  <si>
    <t>E33149364_2_20260130T153803Z.jpg</t>
  </si>
  <si>
    <t>8 Рейсмус\E33149364_2_20260130T153803Z.jpg</t>
  </si>
  <si>
    <t>пт 30.01.2026 — 15:38:03</t>
  </si>
  <si>
    <t>E33149364_2_20260130T162000Z.jpg</t>
  </si>
  <si>
    <t>8 Рейсмус\E33149364_2_20260130T162000Z.jpg</t>
  </si>
  <si>
    <t>пт 30.01.2026 — 16:20:00</t>
  </si>
  <si>
    <t>E33149364_1_20260130T093449Z.jpg</t>
  </si>
  <si>
    <t>9 Ангар пилорама\E33149364_1_20260130T093449Z.jpg</t>
  </si>
  <si>
    <t>пт 30.01.2026 — 09:34:49</t>
  </si>
  <si>
    <t>E33149364_1_20260130T095645Z.jpg</t>
  </si>
  <si>
    <t>9 Ангар пилорама\E33149364_1_20260130T095645Z.jpg</t>
  </si>
  <si>
    <t>пт 30.01.2026 — 09:56:45</t>
  </si>
  <si>
    <t>E33149364_1_20260130T172001Z.jpg</t>
  </si>
  <si>
    <t>9 Ангар пилорама\E33149364_1_20260130T172001Z.jpg</t>
  </si>
  <si>
    <t>пт 30.01.2026 — 17:20:01</t>
  </si>
  <si>
    <t>E33149364_3_20260130T090022Z.jpg</t>
  </si>
  <si>
    <t>10 Сушилка навес\E33149364_3_20260130T090022Z.jpg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</si>
  <si>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</si>
  <si>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</si>
  <si>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</si>
  <si>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</si>
  <si>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</si>
  <si>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</si>
  <si>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</si>
  <si>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</si>
  <si>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</si>
  <si>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</si>
  <si>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</si>
  <si>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</si>
  <si>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</si>
  <si>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</si>
  <si>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10 Сушилка навес\E33149364_3_20260130T091340Z.jpg</t>
  </si>
  <si>
    <t>пт 30.01.2026 — 09:13:40</t>
  </si>
  <si>
    <t>E33149364_3_20260130T095133Z.jpg</t>
  </si>
  <si>
    <t>10 Сушилка навес\E33149364_3_20260130T095133Z.jpg</t>
  </si>
  <si>
    <t>пт 30.01.2026 — 09:51:33</t>
  </si>
  <si>
    <t>E33149364_3_20260130T134205Z.jpg</t>
  </si>
  <si>
    <t>10 Сушилка навес\E33149364_3_20260130T134205Z.jpg</t>
  </si>
  <si>
    <t>пт 30.01.2026 — 13:42:05</t>
  </si>
  <si>
    <t>E33149364_3_20260130T134746Z.jpg</t>
  </si>
  <si>
    <t>10 Сушилка навес\E33149364_3_20260130T134746Z.jpg</t>
  </si>
  <si>
    <t>пт 30.01.2026 — 13:47:46</t>
  </si>
  <si>
    <t>E33149364_3_20260130T143328Z.jpg</t>
  </si>
  <si>
    <t>10 Сушилка навес\E33149364_3_20260130T143328Z.jpg</t>
  </si>
  <si>
    <t>пт 30.01.2026 — 14:33:28</t>
  </si>
  <si>
    <t>E33149364_3_20260130T212848Z.jpg</t>
  </si>
  <si>
    <t>10 Сушилка навес\E33149364_3_20260130T212848Z.jpg</t>
  </si>
  <si>
    <t>пт 30.01.2026 — 21:28:48</t>
  </si>
  <si>
    <t>E33149364_4_20260130T170742Z.jpg</t>
  </si>
  <si>
    <t>11 С ангара на базу\E33149364_4_20260130T170742Z.jpg</t>
  </si>
  <si>
    <t>пт 30.01.2026 — 17:07:42</t>
  </si>
  <si>
    <t>E33149364_4_20260130T172509Z.jpg</t>
  </si>
  <si>
    <t>11 С ангара на базу\E33149364_4_20260130T172509Z.jpg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</si>
  <si>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</si>
  <si>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</si>
  <si>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</si>
  <si>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</si>
  <si>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</si>
  <si>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</si>
  <si>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</si>
  <si>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</si>
  <si>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</si>
  <si>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</si>
  <si>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</si>
  <si>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</si>
  <si>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</si>
  <si>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</si>
  <si>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</si>
  <si>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</si>
  <si>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</si>
  <si>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1 Ангар Склад 2 въезд\E33149364_6_20260131T114200Z.jpg</t>
  </si>
  <si>
    <t>сб 31.01.2026 — 11:42:00</t>
  </si>
  <si>
    <t>E33149364_6_20260131T120943Z.jpg</t>
  </si>
  <si>
    <t>1 Ангар Склад 2 въезд\E33149364_6_20260131T120943Z.jpg</t>
  </si>
  <si>
    <t>сб 31.01.2026 — 12:09:43</t>
  </si>
  <si>
    <t>E33149364_6_20260131T172238Z.jpg</t>
  </si>
  <si>
    <t>1 Ангар Склад 2 въезд\E33149364_6_20260131T172238Z.jpg</t>
  </si>
  <si>
    <t>сб 31.01.2026 — 17:22:38</t>
  </si>
  <si>
    <t>E33149364_6_20260201T160321Z.jpg</t>
  </si>
  <si>
    <t>1 Ангар Склад 2 въезд\E33149364_6_20260201T160321Z.jpg</t>
  </si>
  <si>
    <t>вс 01.02.2026 — 16:03:21</t>
  </si>
  <si>
    <t>E33149364_7_20260131T084147Z.jpg</t>
  </si>
  <si>
    <t>2 Пилорама поката\E33149364_7_20260131T084147Z.jpg</t>
  </si>
  <si>
    <t>сб 31.01.2026 — 08:41:47</t>
  </si>
  <si>
    <t>E33149364_7_20260201T172242Z.jpg</t>
  </si>
  <si>
    <t>2 Пилорама поката\E33149364_7_20260201T172242Z.jpg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</si>
  <si>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</si>
  <si>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</si>
  <si>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</si>
  <si>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</si>
  <si>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</si>
  <si>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</si>
  <si>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</si>
  <si>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</si>
  <si>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</si>
  <si>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</si>
  <si>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</si>
  <si>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</si>
  <si>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</si>
  <si>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</si>
  <si>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8 Рейсмус\E33149364_2_20260131T114838Z.jpg</t>
  </si>
  <si>
    <t>сб 31.01.2026 — 11:48:38</t>
  </si>
  <si>
    <t>E33149364_2_20260201T114844Z.jpg</t>
  </si>
  <si>
    <t>8 Рейсмус\E33149364_2_20260201T114844Z.jpg</t>
  </si>
  <si>
    <t>вс 01.02.2026 — 11:48:44</t>
  </si>
  <si>
    <t>E33149364_1_20260131T120701Z.jpg</t>
  </si>
  <si>
    <t>9 Ангар пилорама\E33149364_1_20260131T120701Z.jpg</t>
  </si>
  <si>
    <t>сб 31.01.2026 — 12:07:01</t>
  </si>
  <si>
    <t>E33149364_1_20260201T122350Z.jpg</t>
  </si>
  <si>
    <t>9 Ангар пилорама\E33149364_1_20260201T122350Z.jpg</t>
  </si>
  <si>
    <t>вс 01.02.2026 — 12:23:50</t>
  </si>
  <si>
    <t>E33149364_4_20260131T183137Z.jpg</t>
  </si>
  <si>
    <t>11 С ангара на базу\E33149364_4_20260131T183137Z.jpg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</si>
  <si>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</si>
  <si>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</si>
  <si>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</si>
  <si>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</si>
  <si>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</si>
  <si>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</si>
  <si>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</si>
  <si>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</si>
  <si>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3 Въезд на базу\E33149364_8_20260131T114212Z.jpg</t>
  </si>
  <si>
    <t>сб 31.01.2026 — 11:42:12</t>
  </si>
  <si>
    <t>E33149364_8_20260201T172346Z.jpg</t>
  </si>
  <si>
    <t>3 Въезд на базу\E33149364_8_20260201T172346Z.jpg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</si>
  <si>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</si>
  <si>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</si>
  <si>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</si>
  <si>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</si>
  <si>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</si>
  <si>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</si>
  <si>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</si>
  <si>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</si>
  <si>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</si>
  <si>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</si>
  <si>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</si>
  <si>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</si>
  <si>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</si>
  <si>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</si>
  <si>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</si>
  <si>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</si>
  <si>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</si>
  <si>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</si>
  <si>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</si>
  <si>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</si>
  <si>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</si>
  <si>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</si>
  <si>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</si>
  <si>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</si>
  <si>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</si>
  <si>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</si>
  <si>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</si>
  <si>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</si>
  <si>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</si>
  <si>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</si>
  <si>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</si>
  <si>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</si>
  <si>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</si>
  <si>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</si>
  <si>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</si>
  <si>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</si>
  <si>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</si>
  <si>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</si>
  <si>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</si>
  <si>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</si>
  <si>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</si>
  <si>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</si>
  <si>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</si>
  <si>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</si>
  <si>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10 Сушилка навес\E33149364_3_20260131T120735Z.jpg</t>
  </si>
  <si>
    <t>сб 31.01.2026 — 12:07:35</t>
  </si>
  <si>
    <t>E33149364_3_20260201T123215Z.jpg</t>
  </si>
  <si>
    <t>10 Сушилка навес\E33149364_3_20260201T123215Z.jpg</t>
  </si>
  <si>
    <t>вс 01.02.2026 — 12:32:15</t>
  </si>
  <si>
    <t>E33149364_3_20260201T124520Z.jpg</t>
  </si>
  <si>
    <t>10 Сушилка навес\E33149364_3_20260201T124520Z.jpg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</si>
  <si>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</si>
  <si>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</si>
  <si>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</si>
  <si>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</si>
  <si>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</si>
  <si>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</si>
  <si>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</si>
  <si>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</si>
  <si>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</si>
  <si>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</si>
  <si>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</si>
  <si>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</si>
  <si>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</si>
  <si>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</si>
  <si>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</si>
  <si>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</si>
  <si>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</si>
  <si>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</si>
  <si>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</si>
  <si>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11 С ангара на базу\E33149364_4_20260201T183137Z.jpg</t>
  </si>
  <si>
    <t>вс 01.02.2026 — 18:31:37</t>
  </si>
  <si>
    <t>нет записей камеры</t>
  </si>
  <si>
    <t>E33149364_7_20260202T155935Z.jpg</t>
  </si>
  <si>
    <t>2 Пилорама поката\E33149364_7_20260202T155935Z.jpg</t>
  </si>
  <si>
    <t>пн 02.02.2026 — 15:59:35</t>
  </si>
  <si>
    <t>E33149364_7_20260203T144526Z.jpg</t>
  </si>
  <si>
    <t>2 Пилорама поката\E33149364_7_20260203T144526Z.jpg</t>
  </si>
  <si>
    <t>вт 03.02.2026 — 14:45:26</t>
  </si>
  <si>
    <t>E33149364_6_20260202T171915Z.jpg</t>
  </si>
  <si>
    <t>1 Ангар Склад 2 въезд\E33149364_6_20260202T171915Z.jpg</t>
  </si>
  <si>
    <t>пн 02.02.2026 — 17:19:15</t>
  </si>
  <si>
    <t>E33149364_6_20260203T104127Z.jpg</t>
  </si>
  <si>
    <t>1 Ангар Склад 2 въезд\E33149364_6_20260203T104127Z.jpg</t>
  </si>
  <si>
    <t>вт 03.02.2026 — 10:41:27</t>
  </si>
  <si>
    <t>E33149364_6_20260203T133708Z.jpg</t>
  </si>
  <si>
    <t>1 Ангар Склад 2 въезд\E33149364_6_20260203T133708Z.jpg</t>
  </si>
  <si>
    <t>вт 03.02.2026 — 13:37:08</t>
  </si>
  <si>
    <t>E33149364_6_20260203T190330Z.jpg</t>
  </si>
  <si>
    <t>1 Ангар Склад 2 въезд\E33149364_6_20260203T190330Z.jpg</t>
  </si>
  <si>
    <t>вт 03.02.2026 — 19:03:30</t>
  </si>
  <si>
    <t>E33149364_6_20260203T200535Z.jpg</t>
  </si>
  <si>
    <t>1 Ангар Склад 2 въезд\E33149364_6_20260203T200535Z.jpg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</si>
  <si>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</si>
  <si>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</si>
  <si>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</si>
  <si>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</si>
  <si>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</si>
  <si>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</si>
  <si>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</si>
  <si>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</si>
  <si>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</si>
  <si>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</si>
  <si>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</si>
  <si>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</si>
  <si>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</si>
  <si>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</si>
  <si>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3 Въезд на базу\E33149364_8_20260202T101543Z.jpg</t>
  </si>
  <si>
    <t>пн 02.02.2026 — 10:15:43</t>
  </si>
  <si>
    <t>E33149364_8_20260203T104152Z.jpg</t>
  </si>
  <si>
    <t>3 Въезд на базу\E33149364_8_20260203T104152Z.jpg</t>
  </si>
  <si>
    <t>вт 03.02.2026 — 10:41:52</t>
  </si>
  <si>
    <t>E33149364_8_20260203T164927Z.jpg</t>
  </si>
  <si>
    <t>3 Въезд на базу\E33149364_8_20260203T164927Z.jpg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</si>
  <si>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</si>
  <si>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</si>
  <si>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</si>
  <si>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</si>
  <si>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</si>
  <si>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</si>
  <si>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</si>
  <si>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</si>
  <si>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</si>
  <si>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</si>
  <si>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</si>
  <si>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</si>
  <si>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</si>
  <si>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</si>
  <si>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</si>
  <si>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</si>
  <si>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</si>
  <si>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</si>
  <si>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</si>
  <si>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</si>
  <si>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8 Рейсмус\E33149364_2_20260202T092619Z.jpg</t>
  </si>
  <si>
    <t>пн 02.02.2026 — 09:26:19</t>
  </si>
  <si>
    <t>E33149364_2_20260202T115135Z.jpg</t>
  </si>
  <si>
    <t>8 Рейсмус\E33149364_2_20260202T115135Z.jpg</t>
  </si>
  <si>
    <t>пн 02.02.2026 — 11:51:35</t>
  </si>
  <si>
    <t>E33149364_2_20260202T153232Z.jpg</t>
  </si>
  <si>
    <t>8 Рейсмус\E33149364_2_20260202T153232Z.jpg</t>
  </si>
  <si>
    <t>пн 02.02.2026 — 15:32:32</t>
  </si>
  <si>
    <t>E33149364_2_20260202T163141Z.jpg</t>
  </si>
  <si>
    <t>8 Рейсмус\E33149364_2_20260202T163141Z.jpg</t>
  </si>
  <si>
    <t>пн 02.02.2026 — 16:31:41</t>
  </si>
  <si>
    <t>E33149364_2_20260203T122136Z.jpg</t>
  </si>
  <si>
    <t>8 Рейсмус\E33149364_2_20260203T122136Z.jpg</t>
  </si>
  <si>
    <t>вт 03.02.2026 — 12:21:36</t>
  </si>
  <si>
    <t>E33149364_2_20260203T153729Z.jpg</t>
  </si>
  <si>
    <t>8 Рейсмус\E33149364_2_20260203T153729Z.jpg</t>
  </si>
  <si>
    <t>вт 03.02.2026 — 15:37:29</t>
  </si>
  <si>
    <t>E33149364_2_20260203T154737Z.jpg</t>
  </si>
  <si>
    <t>8 Рейсмус\E33149364_2_20260203T154737Z.jpg</t>
  </si>
  <si>
    <t>вт 03.02.2026 — 15:47:37</t>
  </si>
  <si>
    <t>E33149364_2_20260203T210330Z.jpg</t>
  </si>
  <si>
    <t>8 Рейсмус\E33149364_2_20260203T210330Z.jpg</t>
  </si>
  <si>
    <t>вт 03.02.2026 — 21:03:30</t>
  </si>
  <si>
    <t>E33149364_2_20260203T215006Z.jpg</t>
  </si>
  <si>
    <t>8 Рейсмус\E33149364_2_20260203T215006Z.jpg</t>
  </si>
  <si>
    <t>вт 03.02.2026 — 21:50:06</t>
  </si>
  <si>
    <t>E33149364_1_20260202T093049Z.jpg</t>
  </si>
  <si>
    <t>9 Ангар пилорама\E33149364_1_20260202T093049Z.jpg</t>
  </si>
  <si>
    <t>пн 02.02.2026 — 09:30:49</t>
  </si>
  <si>
    <t>E33149364_1_20260202T094403Z.jpg</t>
  </si>
  <si>
    <t>9 Ангар пилорама\E33149364_1_20260202T094403Z.jpg</t>
  </si>
  <si>
    <t>пн 02.02.2026 — 09:44:03</t>
  </si>
  <si>
    <t>E33149364_1_20260202T095914Z.jpg</t>
  </si>
  <si>
    <t>9 Ангар пилорама\E33149364_1_20260202T095914Z.jpg</t>
  </si>
  <si>
    <t>пн 02.02.2026 — 09:59:14</t>
  </si>
  <si>
    <t>E33149364_1_20260202T225644Z.jpg</t>
  </si>
  <si>
    <t>9 Ангар пилорама\E33149364_1_20260202T225644Z.jpg</t>
  </si>
  <si>
    <t>пн 02.02.2026 — 22:56:44</t>
  </si>
  <si>
    <t>E33149364_1_20260203T122518Z.jpg</t>
  </si>
  <si>
    <t>9 Ангар пилорама\E33149364_1_20260203T122518Z.jpg</t>
  </si>
  <si>
    <t>вт 03.02.2026 — 12:25:18</t>
  </si>
  <si>
    <t>E33149364_1_20260203T123538Z.jpg</t>
  </si>
  <si>
    <t>9 Ангар пилорама\E33149364_1_20260203T123538Z.jpg</t>
  </si>
  <si>
    <t>вт 03.02.2026 — 12:35:38</t>
  </si>
  <si>
    <t>E33149364_1_20260203T151606Z.jpg</t>
  </si>
  <si>
    <t>9 Ангар пилорама\E33149364_1_20260203T151606Z.jpg</t>
  </si>
  <si>
    <t>вт 03.02.2026 — 15:16:06</t>
  </si>
  <si>
    <t>E33149364_1_20260203T163036Z.jpg</t>
  </si>
  <si>
    <t>9 Ангар пилорама\E33149364_1_20260203T163036Z.jpg</t>
  </si>
  <si>
    <t>вт 03.02.2026 — 16:30:36</t>
  </si>
  <si>
    <t>E33149364_1_20260203T213906Z.jpg</t>
  </si>
  <si>
    <t>9 Ангар пилорама\E33149364_1_20260203T213906Z.jpg</t>
  </si>
  <si>
    <t>вт 03.02.2026 — 21:39:06</t>
  </si>
  <si>
    <t>E33149364_3_20260202T092657Z.jpg</t>
  </si>
  <si>
    <t>10 Сушилка навес\E33149364_3_20260202T092657Z.jpg</t>
  </si>
  <si>
    <t>пн 02.02.2026 — 09:26:57</t>
  </si>
  <si>
    <t>E33149364_3_20260202T094346Z.jpg</t>
  </si>
  <si>
    <t>10 Сушилка навес\E33149364_3_20260202T094346Z.jpg</t>
  </si>
  <si>
    <t>пн 02.02.2026 — 09:43:46</t>
  </si>
  <si>
    <t>E33149364_3_20260202T100046Z.jpg</t>
  </si>
  <si>
    <t>10 Сушилка навес\E33149364_3_20260202T100046Z.jpg</t>
  </si>
  <si>
    <t>пн 02.02.2026 — 10:00:46</t>
  </si>
  <si>
    <t>E33149364_3_20260202T115235Z.jpg</t>
  </si>
  <si>
    <t>10 Сушилка навес\E33149364_3_20260202T115235Z.jpg</t>
  </si>
  <si>
    <t>пн 02.02.2026 — 11:52:35</t>
  </si>
  <si>
    <t>E33149364_3_20260203T110411Z.jpg</t>
  </si>
  <si>
    <t>10 Сушилка навес\E33149364_3_20260203T110411Z.jpg</t>
  </si>
  <si>
    <t>вт 03.02.2026 — 11:04:11</t>
  </si>
  <si>
    <t>E33149364_3_20260203T131924Z.jpg</t>
  </si>
  <si>
    <t>10 Сушилка навес\E33149364_3_20260203T131924Z.jpg</t>
  </si>
  <si>
    <t>вт 03.02.2026 — 13:19:24</t>
  </si>
  <si>
    <t>E33149364_3_20260203T142624Z.jpg</t>
  </si>
  <si>
    <t>10 Сушилка навес\E33149364_3_20260203T142624Z.jpg</t>
  </si>
  <si>
    <t>вт 03.02.2026 — 14:26:24</t>
  </si>
  <si>
    <t>E33149364_3_20260203T143305Z.jpg</t>
  </si>
  <si>
    <t>10 Сушилка навес\E33149364_3_20260203T143305Z.jpg</t>
  </si>
  <si>
    <t>вт 03.02.2026 — 14:33:05</t>
  </si>
  <si>
    <t>E33149364_3_20260203T152121Z.jpg</t>
  </si>
  <si>
    <t>10 Сушилка навес\E33149364_3_20260203T152121Z.jpg</t>
  </si>
  <si>
    <t>вт 03.02.2026 — 15:21:21</t>
  </si>
  <si>
    <t>E33149364_3_20260203T161002Z.jpg</t>
  </si>
  <si>
    <t>10 Сушилка навес\E33149364_3_20260203T161002Z.jpg</t>
  </si>
  <si>
    <t>вт 03.02.2026 — 16:10:02</t>
  </si>
  <si>
    <t>E33149364_4_20260202T161957Z.jpg</t>
  </si>
  <si>
    <t>11 С ангара на базу\E33149364_4_20260202T161957Z.jpg</t>
  </si>
  <si>
    <t>пн 02.02.2026 — 16:19:57</t>
  </si>
  <si>
    <t>E33149364_4_20260203T112617Z.jpg</t>
  </si>
  <si>
    <t>11 С ангара на базу\E33149364_4_20260203T112617Z.jpg</t>
  </si>
  <si>
    <t>вт 03.02.2026 — 11:26:17</t>
  </si>
  <si>
    <t>E33149364_4_20260203T112928Z.jpg</t>
  </si>
  <si>
    <t>11 С ангара на базу\E33149364_4_20260203T112928Z.jpg</t>
  </si>
  <si>
    <t>вт 03.02.2026 — 11:29:28</t>
  </si>
  <si>
    <t>E33149364_4_20260203T113157Z.jpg</t>
  </si>
  <si>
    <t>11 С ангара на базу\E33149364_4_20260203T113157Z.jpg</t>
  </si>
  <si>
    <t>вт 03.02.2026 — 11:31:57</t>
  </si>
  <si>
    <t>E33149364_4_20260203T113428Z.jpg</t>
  </si>
  <si>
    <t>11 С ангара на базу\E33149364_4_20260203T113428Z.jpg</t>
  </si>
  <si>
    <t>вт 03.02.2026 — 11:34:28</t>
  </si>
  <si>
    <t>E33149364_4_20260203T113841Z.jpg</t>
  </si>
  <si>
    <t>11 С ангара на базу\E33149364_4_20260203T113841Z.jpg</t>
  </si>
  <si>
    <t>вт 03.02.2026 — 11:38:41</t>
  </si>
  <si>
    <t>E33149364_4_20260203T114130Z.jpg</t>
  </si>
  <si>
    <t>11 С ангара на базу\E33149364_4_20260203T114130Z.jpg</t>
  </si>
  <si>
    <t>вт 03.02.2026 — 11:41:30</t>
  </si>
  <si>
    <t>E33149364_4_20260203T114648Z.jpg</t>
  </si>
  <si>
    <t>11 С ангара на базу\E33149364_4_20260203T114648Z.jpg</t>
  </si>
  <si>
    <t>вт 03.02.2026 — 11:46:48</t>
  </si>
  <si>
    <t>E33149364_4_20260203T114956Z.jpg</t>
  </si>
  <si>
    <t>11 С ангара на базу\E33149364_4_20260203T114956Z.jpg</t>
  </si>
  <si>
    <t>вт 03.02.2026 — 11:49:56</t>
  </si>
  <si>
    <t>E33149364_4_20260203T115307Z.jpg</t>
  </si>
  <si>
    <t>11 С ангара на базу\E33149364_4_20260203T115307Z.jpg</t>
  </si>
  <si>
    <t>вт 03.02.2026 — 11:53:07</t>
  </si>
  <si>
    <t>E33149364_4_20260203T120119Z.jpg</t>
  </si>
  <si>
    <t>11 С ангара на базу\E33149364_4_20260203T120119Z.jpg</t>
  </si>
  <si>
    <t>вт 03.02.2026 — 12:01:19</t>
  </si>
  <si>
    <t>E33149364_4_20260203T120344Z.jpg</t>
  </si>
  <si>
    <t>11 С ангара на базу\E33149364_4_20260203T120344Z.jpg</t>
  </si>
  <si>
    <t>вт 03.02.2026 — 12:03:44</t>
  </si>
  <si>
    <t>E33149364_4_20260203T120622Z.jpg</t>
  </si>
  <si>
    <t>11 С ангара на базу\E33149364_4_20260203T120622Z.jpg</t>
  </si>
  <si>
    <t>вт 03.02.2026 — 12:06:22</t>
  </si>
  <si>
    <t>E33149364_4_20260203T121657Z.jpg</t>
  </si>
  <si>
    <t>11 С ангара на базу\E33149364_4_20260203T121657Z.jpg</t>
  </si>
  <si>
    <t>вт 03.02.2026 — 12:16:57</t>
  </si>
  <si>
    <t>E33149364_4_20260203T122129Z.jpg</t>
  </si>
  <si>
    <t>11 С ангара на базу\E33149364_4_20260203T122129Z.jpg</t>
  </si>
  <si>
    <t>вт 03.02.2026 — 12:21:29</t>
  </si>
  <si>
    <t>E33149364_4_20260203T122510Z.jpg</t>
  </si>
  <si>
    <t>11 С ангара на базу\E33149364_4_20260203T122510Z.jpg</t>
  </si>
  <si>
    <t>вт 03.02.2026 — 12:25:10</t>
  </si>
  <si>
    <t>E33149364_4_20260203T122753Z.jpg</t>
  </si>
  <si>
    <t>11 С ангара на базу\E33149364_4_20260203T122753Z.jpg</t>
  </si>
  <si>
    <t>вт 03.02.2026 — 12:27:53</t>
  </si>
  <si>
    <t>E33149364_4_20260203T123139Z.jpg</t>
  </si>
  <si>
    <t>11 С ангара на базу\E33149364_4_20260203T123139Z.jpg</t>
  </si>
  <si>
    <t>вт 03.02.2026 — 12:31:39</t>
  </si>
  <si>
    <t>E33149364_4_20260203T123245Z.jpg</t>
  </si>
  <si>
    <t>11 С ангара на базу\E33149364_4_20260203T123245Z.jpg</t>
  </si>
  <si>
    <t>вт 03.02.2026 — 12:32:45</t>
  </si>
  <si>
    <t>E33149364_4_20260203T123655Z.jpg</t>
  </si>
  <si>
    <t>11 С ангара на базу\E33149364_4_20260203T123655Z.jpg</t>
  </si>
  <si>
    <t>вт 03.02.2026 — 12:36:55</t>
  </si>
  <si>
    <t>E33149364_4_20260203T123800Z.jpg</t>
  </si>
  <si>
    <t>11 С ангара на базу\E33149364_4_20260203T123800Z.jpg</t>
  </si>
  <si>
    <t>вт 03.02.2026 — 12:38:00</t>
  </si>
  <si>
    <t>E33149364_4_20260203T124059Z.jpg</t>
  </si>
  <si>
    <t>11 С ангара на базу\E33149364_4_20260203T124059Z.jpg</t>
  </si>
  <si>
    <t>вт 03.02.2026 — 12:40:59</t>
  </si>
  <si>
    <t>E33149364_4_20260203T124859Z.jpg</t>
  </si>
  <si>
    <t>11 С ангара на базу\E33149364_4_20260203T124859Z.jpg</t>
  </si>
  <si>
    <t>вт 03.02.2026 — 12:48:59</t>
  </si>
  <si>
    <t>E33149364_4_20260203T125047Z.jpg</t>
  </si>
  <si>
    <t>11 С ангара на базу\E33149364_4_20260203T125047Z.jpg</t>
  </si>
  <si>
    <t>вт 03.02.2026 — 12:50:47</t>
  </si>
  <si>
    <t>E33149364_4_20260203T125349Z.jpg</t>
  </si>
  <si>
    <t>11 С ангара на базу\E33149364_4_20260203T125349Z.jpg</t>
  </si>
  <si>
    <t>вт 03.02.2026 — 12:53:49</t>
  </si>
  <si>
    <t>E33149364_4_20260203T131857Z.jpg</t>
  </si>
  <si>
    <t>11 С ангара на базу\E33149364_4_20260203T131857Z.jpg</t>
  </si>
  <si>
    <t>вт 03.02.2026 — 13:18:57</t>
  </si>
  <si>
    <t>E33149364_4_20260203T150435Z.jpg</t>
  </si>
  <si>
    <t>11 С ангара на базу\E33149364_4_20260203T150435Z.jpg</t>
  </si>
  <si>
    <t>вт 03.02.2026 — 15:04:35</t>
  </si>
  <si>
    <t>E33149364_4_20260203T151120Z.jpg</t>
  </si>
  <si>
    <t>11 С ангара на базу\E33149364_4_20260203T151120Z.jpg</t>
  </si>
  <si>
    <t>вт 03.02.2026 — 15:11:20</t>
  </si>
  <si>
    <t>E33149364_4_20260203T152811Z.jpg</t>
  </si>
  <si>
    <t>11 С ангара на базу\E33149364_4_20260203T152811Z.jpg</t>
  </si>
  <si>
    <t>вт 03.02.2026 — 15:28:11</t>
  </si>
  <si>
    <t>E33149364_4_20260203T153607Z.jpg</t>
  </si>
  <si>
    <t>11 С ангара на базу\E33149364_4_20260203T153607Z.jpg</t>
  </si>
  <si>
    <t>вт 03.02.2026 — 15:36:07</t>
  </si>
  <si>
    <t>E33149364_4_20260203T163620Z.jpg</t>
  </si>
  <si>
    <t>11 С ангара на базу\E33149364_4_20260203T163620Z.jpg</t>
  </si>
  <si>
    <t>вт 03.02.2026 — 16:36:20</t>
  </si>
  <si>
    <t>E33149364_4_20260203T170703Z.jpg</t>
  </si>
  <si>
    <t>11 С ангара на базу\E33149364_4_20260203T170703Z.jpg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</si>
  <si>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</si>
  <si>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</si>
  <si>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</si>
  <si>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</si>
  <si>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</si>
  <si>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</si>
  <si>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</si>
  <si>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</si>
  <si>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</si>
  <si>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</si>
  <si>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</si>
  <si>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</si>
  <si>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</si>
  <si>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</si>
  <si>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</si>
  <si>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</si>
  <si>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</si>
  <si>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</si>
  <si>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</si>
  <si>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</si>
  <si>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</si>
  <si>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</si>
  <si>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</si>
  <si>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</si>
  <si>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</si>
  <si>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</si>
  <si>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</si>
  <si>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</si>
  <si>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</si>
  <si>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</si>
  <si>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</si>
  <si>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</si>
  <si>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</si>
  <si>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</si>
  <si>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</si>
  <si>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</si>
  <si>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</si>
  <si>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</si>
  <si>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</si>
  <si>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</si>
  <si>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</si>
  <si>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</si>
  <si>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</si>
  <si>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</si>
  <si>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</si>
  <si>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</si>
  <si>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</si>
  <si>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</si>
  <si>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</si>
  <si>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</si>
  <si>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2 Пилорама поката\E33149364_7_20260204T143502Z.jpg</t>
  </si>
  <si>
    <t>ср 04.02.2026 — 14:35:02</t>
  </si>
  <si>
    <t>E33149364_7_20260205T171121Z.jpg</t>
  </si>
  <si>
    <t>2 Пилорама поката\E33149364_7_20260205T171121Z.jpg</t>
  </si>
  <si>
    <t>чт 05.02.2026 — 17:11:21</t>
  </si>
  <si>
    <t>E33149364_7_20260206T105634Z.jpg</t>
  </si>
  <si>
    <t>2 Пилорама поката\E33149364_7_20260206T105634Z.jpg</t>
  </si>
  <si>
    <t>пт 06.02.2026 — 10:56:34</t>
  </si>
  <si>
    <t>E33149364_7_20260206T122524Z.jpg</t>
  </si>
  <si>
    <t>2 Пилорама поката\E33149364_7_20260206T122524Z.jpg</t>
  </si>
  <si>
    <t>пт 06.02.2026 — 12:25:24</t>
  </si>
  <si>
    <t>E33149364_7_20260206T122607Z.jpg</t>
  </si>
  <si>
    <t>2 Пилорама поката\E33149364_7_20260206T122607Z.jpg</t>
  </si>
  <si>
    <t>пт 06.02.2026 — 12:26:07</t>
  </si>
  <si>
    <t>E33149364_7_20260206T122627Z.jpg</t>
  </si>
  <si>
    <t>2 Пилорама поката\E33149364_7_20260206T122627Z.jpg</t>
  </si>
  <si>
    <t>пт 06.02.2026 — 12:26:27</t>
  </si>
  <si>
    <t>E33149364_7_20260206T143529Z.jpg</t>
  </si>
  <si>
    <t>2 Пилорама поката\E33149364_7_20260206T143529Z.jpg</t>
  </si>
  <si>
    <t>пт 06.02.2026 — 14:35:29</t>
  </si>
  <si>
    <t>E33149364_6_20260204T170721Z.jpg</t>
  </si>
  <si>
    <t>1 Ангар Склад 2 въезд\E33149364_6_20260204T170721Z.jpg</t>
  </si>
  <si>
    <t>ср 04.02.2026 — 17:07:21</t>
  </si>
  <si>
    <t>E33149364_6_20260205T131105Z.jpg</t>
  </si>
  <si>
    <t>1 Ангар Склад 2 въезд\E33149364_6_20260205T131105Z.jpg</t>
  </si>
  <si>
    <t>чт 05.02.2026 — 13:11:05</t>
  </si>
  <si>
    <t>E33149364_6_20260205T131622Z.jpg</t>
  </si>
  <si>
    <t>1 Ангар Склад 2 въезд\E33149364_6_20260205T131622Z.jpg</t>
  </si>
  <si>
    <t>чт 05.02.2026 — 13:16:22</t>
  </si>
  <si>
    <t>E33149364_6_20260205T140252Z.jpg</t>
  </si>
  <si>
    <t>1 Ангар Склад 2 въезд\E33149364_6_20260205T140252Z.jpg</t>
  </si>
  <si>
    <t>чт 05.02.2026 — 14:02:52</t>
  </si>
  <si>
    <t>E33149364_6_20260205T142917Z.jpg</t>
  </si>
  <si>
    <t>1 Ангар Склад 2 въезд\E33149364_6_20260205T142917Z.jpg</t>
  </si>
  <si>
    <t>чт 05.02.2026 — 14:29:17</t>
  </si>
  <si>
    <t>E33149364_6_20260205T163851Z.jpg</t>
  </si>
  <si>
    <t>1 Ангар Склад 2 въезд\E33149364_6_20260205T163851Z.jpg</t>
  </si>
  <si>
    <t>чт 05.02.2026 — 16:38:51</t>
  </si>
  <si>
    <t>E33149364_6_20260205T164328Z.jpg</t>
  </si>
  <si>
    <t>1 Ангар Склад 2 въезд\E33149364_6_20260205T164328Z.jpg</t>
  </si>
  <si>
    <t>чт 05.02.2026 — 16:43:28</t>
  </si>
  <si>
    <t>E33149364_6_20260206T174723Z.jpg</t>
  </si>
  <si>
    <t>1 Ангар Склад 2 въезд\E33149364_6_20260206T174723Z.jpg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</si>
  <si>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</si>
  <si>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</si>
  <si>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</si>
  <si>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</si>
  <si>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</si>
  <si>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</si>
  <si>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</si>
  <si>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</si>
  <si>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</si>
  <si>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</si>
  <si>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</si>
  <si>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9 Ангар пилорама\E33149364_1_20260204T085730Z.jpg</t>
  </si>
  <si>
    <t>ср 04.02.2026 — 08:57:30</t>
  </si>
  <si>
    <t>E33149364_1_20260204T090531Z.jpg</t>
  </si>
  <si>
    <t>9 Ангар пилорама\E33149364_1_20260204T090531Z.jpg</t>
  </si>
  <si>
    <t>ср 04.02.2026 — 09:05:31</t>
  </si>
  <si>
    <t>E33149364_1_20260204T142237Z.jpg</t>
  </si>
  <si>
    <t>9 Ангар пилорама\E33149364_1_20260204T142237Z.jpg</t>
  </si>
  <si>
    <t>ср 04.02.2026 — 14:22:37</t>
  </si>
  <si>
    <t>E33149364_1_20260204T152757Z.jpg</t>
  </si>
  <si>
    <t>9 Ангар пилорама\E33149364_1_20260204T152757Z.jpg</t>
  </si>
  <si>
    <t>ср 04.02.2026 — 15:27:57</t>
  </si>
  <si>
    <t>E33149364_1_20260204T190443Z.jpg</t>
  </si>
  <si>
    <t>9 Ангар пилорама\E33149364_1_20260204T190443Z.jpg</t>
  </si>
  <si>
    <t>ср 04.02.2026 — 19:04:43</t>
  </si>
  <si>
    <t>E33149364_1_20260204T214515Z.jpg</t>
  </si>
  <si>
    <t>9 Ангар пилорама\E33149364_1_20260204T214515Z.jpg</t>
  </si>
  <si>
    <t>ср 04.02.2026 — 21:45:15</t>
  </si>
  <si>
    <t>E33149364_1_20260205T020119Z.jpg</t>
  </si>
  <si>
    <t>9 Ангар пилорама\E33149364_1_20260205T020119Z.jpg</t>
  </si>
  <si>
    <t>чт 05.02.2026 — 02:01:19</t>
  </si>
  <si>
    <t>E33149364_1_20260205T145711Z.jpg</t>
  </si>
  <si>
    <t>9 Ангар пилорама\E33149364_1_20260205T145711Z.jpg</t>
  </si>
  <si>
    <t>чт 05.02.2026 — 14:57:11</t>
  </si>
  <si>
    <t>E33149364_1_20260205T203505Z.jpg</t>
  </si>
  <si>
    <t>9 Ангар пилорама\E33149364_1_20260205T203505Z.jpg</t>
  </si>
  <si>
    <t>чт 05.02.2026 — 20:35:05</t>
  </si>
  <si>
    <t>E33149364_1_20260206T110000Z.jpg</t>
  </si>
  <si>
    <t>9 Ангар пилорама\E33149364_1_20260206T110000Z.jpg</t>
  </si>
  <si>
    <t>пт 06.02.2026 — 11:00:00</t>
  </si>
  <si>
    <t>E33149364_1_20260206T122547Z.jpg</t>
  </si>
  <si>
    <t>9 Ангар пилорама\E33149364_1_20260206T122547Z.jpg</t>
  </si>
  <si>
    <t>пт 06.02.2026 — 12:25:47</t>
  </si>
  <si>
    <t>E33149364_1_20260206T212836Z.jpg</t>
  </si>
  <si>
    <t>9 Ангар пилорама\E33149364_1_20260206T212836Z.jpg</t>
  </si>
  <si>
    <t>пт 06.02.2026 — 21:28:36</t>
  </si>
  <si>
    <t>E33149364_3_20260204T141624Z.jpg</t>
  </si>
  <si>
    <t>10 Сушилка навес\E33149364_3_20260204T141624Z.jpg</t>
  </si>
  <si>
    <t>ср 04.02.2026 — 14:16:24</t>
  </si>
  <si>
    <t>E33149364_3_20260204T151155Z.jpg</t>
  </si>
  <si>
    <t>10 Сушилка навес\E33149364_3_20260204T151155Z.jpg</t>
  </si>
  <si>
    <t>ср 04.02.2026 — 15:11:55</t>
  </si>
  <si>
    <t>E33149364_3_20260204T152143Z.jpg</t>
  </si>
  <si>
    <t>10 Сушилка навес\E33149364_3_20260204T152143Z.jpg</t>
  </si>
  <si>
    <t>ср 04.02.2026 — 15:21:43</t>
  </si>
  <si>
    <t>E33149364_3_20260204T152203Z.jpg</t>
  </si>
  <si>
    <t>10 Сушилка навес\E33149364_3_20260204T152203Z.jpg</t>
  </si>
  <si>
    <t>ср 04.02.2026 — 15:22:03</t>
  </si>
  <si>
    <t>E33149364_3_20260205T090926Z.jpg</t>
  </si>
  <si>
    <t>10 Сушилка навес\E33149364_3_20260205T090926Z.jpg</t>
  </si>
  <si>
    <t>чт 05.02.2026 — 09:09:26</t>
  </si>
  <si>
    <t>E33149364_3_20260205T155301Z.jpg</t>
  </si>
  <si>
    <t>10 Сушилка навес\E33149364_3_20260205T155301Z.jpg</t>
  </si>
  <si>
    <t>чт 05.02.2026 — 15:53:01</t>
  </si>
  <si>
    <t>E33149364_3_20260206T110420Z.jpg</t>
  </si>
  <si>
    <t>10 Сушилка навес\E33149364_3_20260206T110420Z.jpg</t>
  </si>
  <si>
    <t>пт 06.02.2026 — 11:04:20</t>
  </si>
  <si>
    <t>E33149364_4_20260204T151035Z.jpg</t>
  </si>
  <si>
    <t>11 С ангара на базу\E33149364_4_20260204T151035Z.jpg</t>
  </si>
  <si>
    <t>ср 04.02.2026 — 15:10:35</t>
  </si>
  <si>
    <t>E33149364_4_20260205T163853Z.jpg</t>
  </si>
  <si>
    <t>11 С ангара на базу\E33149364_4_20260205T163853Z.jpg</t>
  </si>
  <si>
    <t>чт 05.02.2026 — 16:38:53</t>
  </si>
  <si>
    <t>E33149364_4_20260206T165009Z.jpg</t>
  </si>
  <si>
    <t>11 С ангара на базу\E33149364_4_20260206T165009Z.jpg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</si>
  <si>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</si>
  <si>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</si>
  <si>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</si>
  <si>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</si>
  <si>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</si>
  <si>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</si>
  <si>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</si>
  <si>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</si>
  <si>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</si>
  <si>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</si>
  <si>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</si>
  <si>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</si>
  <si>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</si>
  <si>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</si>
  <si>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</si>
  <si>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</si>
  <si>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</si>
  <si>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</si>
  <si>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</si>
  <si>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</si>
  <si>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</si>
  <si>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</si>
  <si>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</si>
  <si>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</si>
  <si>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</si>
  <si>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</si>
  <si>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</si>
  <si>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</si>
  <si>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</si>
  <si>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3 Въезд на базу\E33149364_8_20260204T123750Z.jpg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</si>
  <si>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</si>
  <si>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</si>
  <si>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</si>
  <si>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</si>
  <si>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</si>
  <si>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3 Въезд на базу\E33149364_8_20260205T131616Z.jpg</t>
  </si>
  <si>
    <t>чт 05.02.2026 — 13:16:16</t>
  </si>
  <si>
    <t>E33149364_8_20260205T140303Z.jpg</t>
  </si>
  <si>
    <t>3 Въезд на базу\E33149364_8_20260205T140303Z.jpg</t>
  </si>
  <si>
    <t>чт 05.02.2026 — 14:03:03</t>
  </si>
  <si>
    <t>E33149364_8_20260205T140619Z.jpg</t>
  </si>
  <si>
    <t>3 Въезд на базу\E33149364_8_20260205T140619Z.jpg</t>
  </si>
  <si>
    <t>чт 05.02.2026 — 14:06:19</t>
  </si>
  <si>
    <t>E33149364_8_20260205T142910Z.jpg</t>
  </si>
  <si>
    <t>3 Въезд на базу\E33149364_8_20260205T142910Z.jpg</t>
  </si>
  <si>
    <t>чт 05.02.2026 — 14:29:10</t>
  </si>
  <si>
    <t>E33149364_8_20260205T164253Z.jpg</t>
  </si>
  <si>
    <t>3 Въезд на базу\E33149364_8_20260205T164253Z.jpg</t>
  </si>
  <si>
    <t>чт 05.02.2026 — 16:42:53</t>
  </si>
  <si>
    <t>E33149364_8_20260205T164311Z.jpg</t>
  </si>
  <si>
    <t>3 Въезд на базу\E33149364_8_20260205T164311Z.jpg</t>
  </si>
  <si>
    <t>чт 05.02.2026 — 16:43:11</t>
  </si>
  <si>
    <t>E33149364_8_20260205T164324Z.jpg</t>
  </si>
  <si>
    <t>3 Въезд на базу\E33149364_8_20260205T164324Z.jpg</t>
  </si>
  <si>
    <t>чт 05.02.2026 — 16:43:24</t>
  </si>
  <si>
    <t>E33149364_8_20260206T131917Z.jpg</t>
  </si>
  <si>
    <t>3 Въезд на базу\E33149364_8_20260206T131917Z.jpg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</si>
  <si>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</si>
  <si>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</si>
  <si>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</si>
  <si>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</si>
  <si>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</si>
  <si>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</si>
  <si>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</si>
  <si>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</si>
  <si>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</si>
  <si>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</si>
  <si>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</si>
  <si>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</si>
  <si>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</si>
  <si>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</si>
  <si>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</si>
  <si>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</si>
  <si>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</si>
  <si>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8 Рейсмус\E33149364_2_20260204T085710Z.jpg</t>
  </si>
  <si>
    <t>ср 04.02.2026 — 08:57:10</t>
  </si>
  <si>
    <t>E33149364_2_20260204T191316Z.jpg</t>
  </si>
  <si>
    <t>8 Рейсмус\E33149364_2_20260204T191316Z.jpg</t>
  </si>
  <si>
    <t>ср 04.02.2026 — 19:13:16</t>
  </si>
  <si>
    <t>E33149364_2_20260205T141207Z.jpg</t>
  </si>
  <si>
    <t>8 Рейсмус\E33149364_2_20260205T141207Z.jpg</t>
  </si>
  <si>
    <t>чт 05.02.2026 — 14:12:07</t>
  </si>
  <si>
    <t>E33149364_2_20260205T202223Z.jpg</t>
  </si>
  <si>
    <t>8 Рейсмус\E33149364_2_20260205T202223Z.jpg</t>
  </si>
  <si>
    <t>чт 05.02.2026 — 20:22:23</t>
  </si>
  <si>
    <t>E33149364_2_20260206T094851Z.jpg</t>
  </si>
  <si>
    <t>8 Рейсмус\E33149364_2_20260206T094851Z.jpg</t>
  </si>
  <si>
    <t>пт 06.02.2026 — 09:48:51</t>
  </si>
  <si>
    <t>E33149364_2_20260206T142500Z.jpg</t>
  </si>
  <si>
    <t>8 Рейсмус\E33149364_2_20260206T142500Z.jpg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</si>
  <si>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</si>
  <si>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</si>
  <si>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</si>
  <si>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</si>
  <si>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</si>
  <si>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</si>
  <si>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</si>
  <si>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</si>
  <si>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</si>
  <si>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</si>
  <si>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</si>
  <si>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</si>
  <si>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</si>
  <si>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</si>
  <si>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</si>
  <si>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</si>
  <si>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</si>
  <si>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</si>
  <si>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</si>
  <si>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</si>
  <si>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</si>
  <si>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</si>
  <si>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</si>
  <si>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</si>
  <si>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</si>
  <si>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</si>
  <si>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2 Пилорама поката\E33149364_7_20260207T083107Z.jpg</t>
  </si>
  <si>
    <t>сб 07.02.2026 — 08:31:07</t>
  </si>
  <si>
    <t>E33149364_8_20260207T160026Z.jpg</t>
  </si>
  <si>
    <t>3 Въезд на базу\E33149364_8_20260207T160026Z.jpg</t>
  </si>
  <si>
    <t>сб 07.02.2026 — 16:00:26</t>
  </si>
  <si>
    <t>E33149364_8_20260208T172419Z.jpg</t>
  </si>
  <si>
    <t>3 Въезд на базу\E33149364_8_20260208T172419Z.jpg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</si>
  <si>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</si>
  <si>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</si>
  <si>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</si>
  <si>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</si>
  <si>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</si>
  <si>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</si>
  <si>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</si>
  <si>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</si>
  <si>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</si>
  <si>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</si>
  <si>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</si>
  <si>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</si>
  <si>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</si>
  <si>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</si>
  <si>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1 Ангар Склад 2 въезд\E33149364_6_20260207T155743Z.jpg</t>
  </si>
  <si>
    <t>сб 07.02.2026 — 15:57:43</t>
  </si>
  <si>
    <t>E33149364_6_20260207T164623Z.jpg</t>
  </si>
  <si>
    <t>1 Ангар Склад 2 въезд\E33149364_6_20260207T164623Z.jpg</t>
  </si>
  <si>
    <t>сб 07.02.2026 — 16:46:23</t>
  </si>
  <si>
    <t>E33149364_6_20260208T181304Z.jpg</t>
  </si>
  <si>
    <t>1 Ангар Склад 2 въезд\E33149364_6_20260208T181304Z.jpg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</si>
  <si>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</si>
  <si>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</si>
  <si>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</si>
  <si>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</si>
  <si>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</si>
  <si>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</si>
  <si>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</si>
  <si>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</si>
  <si>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8 Рейсмус\E33149364_2_20260207T090957Z.jpg</t>
  </si>
  <si>
    <t>сб 07.02.2026 — 09:09:57</t>
  </si>
  <si>
    <t>E33149364_2_20260208T113020Z.jpg</t>
  </si>
  <si>
    <t>8 Рейсмус\E33149364_2_20260208T113020Z.jpg</t>
  </si>
  <si>
    <t>вс 08.02.2026 — 11:30:20</t>
  </si>
  <si>
    <t>E33149364_2_20260208T130744Z.jpg</t>
  </si>
  <si>
    <t>8 Рейсмус\E33149364_2_20260208T130744Z.jpg</t>
  </si>
  <si>
    <t>вс 08.02.2026 — 13:07:44</t>
  </si>
  <si>
    <t>E33149364_2_20260208T225257Z.jpg</t>
  </si>
  <si>
    <t>8 Рейсмус\E33149364_2_20260208T225257Z.jpg</t>
  </si>
  <si>
    <t>вс 08.02.2026 — 22:52:57</t>
  </si>
  <si>
    <t>E33149364_1_20260207T180132Z.jpg</t>
  </si>
  <si>
    <t>9 Ангар пилорама\E33149364_1_20260207T180132Z.jpg</t>
  </si>
  <si>
    <t>сб 07.02.2026 — 18:01:32</t>
  </si>
  <si>
    <t>E33149364_1_20260208T110558Z.jpg</t>
  </si>
  <si>
    <t>9 Ангар пилорама\E33149364_1_20260208T110558Z.jpg</t>
  </si>
  <si>
    <t>вс 08.02.2026 — 11:05:58</t>
  </si>
  <si>
    <t>E33149364_1_20260208T110947Z.jpg</t>
  </si>
  <si>
    <t>9 Ангар пилорама\E33149364_1_20260208T110947Z.jpg</t>
  </si>
  <si>
    <t>вс 08.02.2026 — 11:09:47</t>
  </si>
  <si>
    <t>E33149364_1_20260208T114033Z.jpg</t>
  </si>
  <si>
    <t>9 Ангар пилорама\E33149364_1_20260208T114033Z.jpg</t>
  </si>
  <si>
    <t>вс 08.02.2026 — 11:40:33</t>
  </si>
  <si>
    <t>E33149364_1_20260208T124046Z.jpg</t>
  </si>
  <si>
    <t>9 Ангар пилорама\E33149364_1_20260208T124046Z.jpg</t>
  </si>
  <si>
    <t>вс 08.02.2026 — 12:40:46</t>
  </si>
  <si>
    <t>E33149364_1_20260208T182024Z.jpg</t>
  </si>
  <si>
    <t>9 Ангар пилорама\E33149364_1_20260208T182024Z.jpg</t>
  </si>
  <si>
    <t>вс 08.02.2026 — 18:20:24</t>
  </si>
  <si>
    <t>E33149364_1_20260208T221726Z.jpg</t>
  </si>
  <si>
    <t>9 Ангар пилорама\E33149364_1_20260208T221726Z.jpg</t>
  </si>
  <si>
    <t>вс 08.02.2026 — 22:17:26</t>
  </si>
  <si>
    <t>E33149364_1_20260209T090524Z.jpg</t>
  </si>
  <si>
    <t>9 Ангар пилорама\E33149364_1_20260209T090524Z.jpg</t>
  </si>
  <si>
    <t>пн 09.02.2026 — 09:05:24</t>
  </si>
  <si>
    <t>E33149364_1_20260209T113149Z.jpg</t>
  </si>
  <si>
    <t>9 Ангар пилорама\E33149364_1_20260209T113149Z.jpg</t>
  </si>
  <si>
    <t>пн 09.02.2026 — 11:31:49</t>
  </si>
  <si>
    <t>E33149364_1_20260209T162733Z.jpg</t>
  </si>
  <si>
    <t>9 Ангар пилорама\E33149364_1_20260209T162733Z.jpg</t>
  </si>
  <si>
    <t>пн 09.02.2026 — 16:27:33</t>
  </si>
  <si>
    <t>E33149364_3_20260207T164800Z.jpg</t>
  </si>
  <si>
    <t>10 Сушилка навес\E33149364_3_20260207T164800Z.jpg</t>
  </si>
  <si>
    <t>сб 07.02.2026 — 16:48:00</t>
  </si>
  <si>
    <t>E33149364_3_20260208T114050Z.jpg</t>
  </si>
  <si>
    <t>10 Сушилка навес\E33149364_3_20260208T114050Z.jpg</t>
  </si>
  <si>
    <t>вс 08.02.2026 — 11:40:50</t>
  </si>
  <si>
    <t>E33149364_3_20260208T124245Z.jpg</t>
  </si>
  <si>
    <t>10 Сушилка навес\E33149364_3_20260208T124245Z.jpg</t>
  </si>
  <si>
    <t>вс 08.02.2026 — 12:42:45</t>
  </si>
  <si>
    <t>E33149364_4_20260207T154614Z.jpg</t>
  </si>
  <si>
    <t>11 С ангара на базу\E33149364_4_20260207T154614Z.jpg</t>
  </si>
  <si>
    <t>сб 07.02.2026 — 15:46:14</t>
  </si>
  <si>
    <t>E33149364_4_20260208T174951Z.jpg</t>
  </si>
  <si>
    <t>11 С ангара на базу\E33149364_4_20260208T174951Z.jpg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</si>
  <si>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</si>
  <si>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</si>
  <si>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</si>
  <si>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</si>
  <si>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</si>
  <si>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</si>
  <si>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</si>
  <si>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</si>
  <si>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</si>
  <si>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</si>
  <si>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</si>
  <si>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</si>
  <si>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</si>
  <si>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</si>
  <si>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</si>
  <si>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</si>
  <si>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</si>
  <si>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</si>
  <si>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</si>
  <si>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</si>
  <si>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</si>
  <si>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2 Пилорама поката\E33149364_7_20260208T165553Z.jpg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</si>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</sst>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842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51" tableType="queryTable" totalsRowShown="0">
  <autoFilter ref="A1:N251" xr:uid="{B468AF39-21AE-47BD-BA18-EADB2FC1D520}"/>
  <tableColumns count="14">
    <tableColumn id="11" xr3:uid="{6F8E650D-029B-40AD-86B4-92C160128A4F}" uniqueName="11" name="День нед" queryTableFieldId="39" dataDxfId="839"/>
    <tableColumn id="8" xr3:uid="{7C2AA400-8F21-45B7-B47D-9CF2CFB5DD00}" uniqueName="8" name="Дата" queryTableFieldId="19" dataDxfId="838"/>
    <tableColumn id="9" xr3:uid="{7CB7ABF0-C98D-49E4-A494-985A43D5F40F}" uniqueName="9" name="Время" queryTableFieldId="20" dataDxfId="837"/>
    <tableColumn id="5" xr3:uid="{613A944B-9245-4C6D-9CCE-5037AD552DED}" uniqueName="5" name="Событие" queryTableFieldId="27" dataDxfId="836"/>
    <tableColumn id="7" xr3:uid="{FFEA85A5-3527-4483-91CE-57F760AB9F33}" uniqueName="7" name="Объект" queryTableFieldId="29" dataDxfId="835"/>
    <tableColumn id="10" xr3:uid="{A2E2C27E-C1B2-4B74-A427-E1854B0E2C76}" uniqueName="10" name="Груз" queryTableFieldId="30" dataDxfId="834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833"/>
    <tableColumn id="4" xr3:uid="{B2B57637-8A7D-4C5F-A6F8-E38F3EA43620}" uniqueName="4" name="Name" queryTableFieldId="14" dataDxfId="832"/>
    <tableColumn id="1" xr3:uid="{79275791-6385-434B-9F1B-8BDC003824A7}" uniqueName="1" name="Folder Path" queryTableFieldId="11" dataDxfId="831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830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829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79" tableType="queryTable" totalsRowShown="0">
  <autoFilter ref="A1:M279" xr:uid="{B468AF39-21AE-47BD-BA18-EADB2FC1D520}"/>
  <tableColumns count="13">
    <tableColumn id="11" xr3:uid="{6804E693-7D64-41A5-9B58-B7D348C4DC92}" uniqueName="11" name="День нед" queryTableFieldId="39" dataDxfId="818"/>
    <tableColumn id="8" xr3:uid="{40827FD9-94EC-4CF6-B212-59CF3E913897}" uniqueName="8" name="Дата" queryTableFieldId="19" dataDxfId="817"/>
    <tableColumn id="9" xr3:uid="{1F8E8ADE-5BFB-4171-9A0A-859E22042D3B}" uniqueName="9" name="Время" queryTableFieldId="20" dataDxfId="816"/>
    <tableColumn id="5" xr3:uid="{9D19F2E1-3C70-4F2F-8ED7-6D41C17A9366}" uniqueName="5" name="Событие" queryTableFieldId="27" dataDxfId="815"/>
    <tableColumn id="7" xr3:uid="{8C8CC69A-BA0A-4417-AE7D-B89E26F69F9B}" uniqueName="7" name="Объект" queryTableFieldId="29" dataDxfId="814"/>
    <tableColumn id="10" xr3:uid="{375C36FB-077D-4AA3-B6F7-74ACE46C2638}" uniqueName="10" name="Груз" queryTableFieldId="30" dataDxfId="813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812"/>
    <tableColumn id="4" xr3:uid="{4A5BB282-D54C-4C68-A1D9-B3A819F9FCF6}" uniqueName="4" name="Name" queryTableFieldId="14" dataDxfId="811"/>
    <tableColumn id="1" xr3:uid="{7BD19058-41FF-4EFE-8283-68501A5B1623}" uniqueName="1" name="Folder Path" queryTableFieldId="11" dataDxfId="810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809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61" tableType="queryTable" totalsRowShown="0">
  <autoFilter ref="A1:M161" xr:uid="{B468AF39-21AE-47BD-BA18-EADB2FC1D520}"/>
  <tableColumns count="13">
    <tableColumn id="11" xr3:uid="{8C7989A8-AE95-4BFB-859E-9F3F94DCD873}" uniqueName="11" name="День нед" queryTableFieldId="39" dataDxfId="828"/>
    <tableColumn id="8" xr3:uid="{B651DAE5-1AB7-4761-9820-CB58DA0D9C46}" uniqueName="8" name="Дата" queryTableFieldId="19" dataDxfId="827"/>
    <tableColumn id="9" xr3:uid="{22B6AE73-6E8B-4F81-B85C-3D141AD4D773}" uniqueName="9" name="Время" queryTableFieldId="20" dataDxfId="826"/>
    <tableColumn id="5" xr3:uid="{CB5AF0FF-A861-4F29-BFD9-751A47066C68}" uniqueName="5" name="Событие" queryTableFieldId="27" dataDxfId="825"/>
    <tableColumn id="7" xr3:uid="{63916370-0910-4B95-ABB4-D88865AA9E43}" uniqueName="7" name="Объект" queryTableFieldId="29" dataDxfId="824"/>
    <tableColumn id="10" xr3:uid="{DDC7656E-7390-4778-A2CE-EEC7AC518263}" uniqueName="10" name="Груз" queryTableFieldId="30" dataDxfId="823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822"/>
    <tableColumn id="4" xr3:uid="{96665EED-E1B8-437C-869A-35CB5BA419D3}" uniqueName="4" name="Name" queryTableFieldId="14" dataDxfId="821"/>
    <tableColumn id="1" xr3:uid="{1F225BD8-B59D-4058-9D99-17124C1F38FB}" uniqueName="1" name="Folder Path" queryTableFieldId="11" dataDxfId="820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819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177" tableType="queryTable" totalsRowShown="0">
  <tableColumns count="13">
    <tableColumn id="11" xr3:uid="{F25D1388-C4DF-49FB-9BF5-0132CEDCCAEA}" uniqueName="11" name="День нед" queryTableFieldId="39" dataDxfId="39"/>
    <tableColumn id="8" xr3:uid="{9EDCCA26-9FD6-4F66-9134-186F89CA663B}" uniqueName="8" name="Дата" queryTableFieldId="19" dataDxfId="38"/>
    <tableColumn id="9" xr3:uid="{FB005DB9-8D3C-48A5-94F1-246606C665DD}" uniqueName="9" name="Время" queryTableFieldId="20" dataDxfId="37"/>
    <tableColumn id="5" xr3:uid="{6D19407C-64CF-4FC5-95E7-163AA12EB226}" uniqueName="5" name="Событие" queryTableFieldId="27" dataDxfId="36"/>
    <tableColumn id="7" xr3:uid="{007BF834-0BCB-4416-8941-11DA4EDFCE5B}" uniqueName="7" name="Объект" queryTableFieldId="29" dataDxfId="35"/>
    <tableColumn id="10" xr3:uid="{E896F002-4451-441D-B0CB-52AD69A6E5C3}" uniqueName="10" name="Груз" queryTableFieldId="30" dataDxfId="34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33"/>
    <tableColumn id="4" xr3:uid="{9F6560FA-27F8-4BE9-BA58-3B0E40F582E5}" uniqueName="4" name="Name" queryTableFieldId="14" dataDxfId="32"/>
    <tableColumn id="1" xr3:uid="{44892CD0-9118-4535-9434-E49462140346}" uniqueName="1" name="Folder Path" queryTableFieldId="11" dataDxfId="31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30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313" tableType="queryTable" totalsRowShown="0">
  <tableColumns count="13">
    <tableColumn id="11" xr3:uid="{390CB009-E9E0-4C0F-93C3-AF6B408B816B}" uniqueName="11" name="День нед" queryTableFieldId="39" dataDxfId="808"/>
    <tableColumn id="8" xr3:uid="{E0A1C296-A368-479C-9A74-85306B3C03D4}" uniqueName="8" name="Дата" queryTableFieldId="19" dataDxfId="807"/>
    <tableColumn id="9" xr3:uid="{86401298-83EB-49D3-ACBA-E743586F5CCB}" uniqueName="9" name="Время" queryTableFieldId="20" dataDxfId="806"/>
    <tableColumn id="5" xr3:uid="{FFB4F03A-A400-4544-A729-2375A1F7D5E8}" uniqueName="5" name="Событие" queryTableFieldId="27" dataDxfId="805"/>
    <tableColumn id="7" xr3:uid="{D96DCF3C-D325-4D0C-94A1-DBE97CC5C9DC}" uniqueName="7" name="Объект" queryTableFieldId="29" dataDxfId="804"/>
    <tableColumn id="10" xr3:uid="{76D99262-42F5-447E-95AC-9C2A84BF344C}" uniqueName="10" name="Груз" queryTableFieldId="30" dataDxfId="803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802"/>
    <tableColumn id="4" xr3:uid="{D16AEB37-7A8A-406F-8ED7-B8D53BAA9BD9}" uniqueName="4" name="Name" queryTableFieldId="14" dataDxfId="801"/>
    <tableColumn id="1" xr3:uid="{1746BE5F-089A-476F-AE8D-5F2B27E9AEEA}" uniqueName="1" name="Folder Path" queryTableFieldId="11" dataDxfId="800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799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133" tableType="queryTable" totalsRowShown="0">
  <tableColumns count="13">
    <tableColumn id="11" xr3:uid="{45D23538-AB74-404E-8577-E2B7A36436AF}" uniqueName="11" name="День нед" queryTableFieldId="39" dataDxfId="798"/>
    <tableColumn id="8" xr3:uid="{40B01B94-168F-4547-A2BC-AA7F91350AB3}" uniqueName="8" name="Дата" queryTableFieldId="19" dataDxfId="797"/>
    <tableColumn id="9" xr3:uid="{A2C94EFB-3081-4BA9-85C2-DFF0455AFA43}" uniqueName="9" name="Время" queryTableFieldId="20" dataDxfId="796"/>
    <tableColumn id="5" xr3:uid="{244D3D34-C9EC-4B9C-BE81-12A0C0BB4342}" uniqueName="5" name="Событие" queryTableFieldId="27" dataDxfId="795"/>
    <tableColumn id="7" xr3:uid="{C449A112-E8A8-4956-B85C-2BA12316F170}" uniqueName="7" name="Объект" queryTableFieldId="29" dataDxfId="794"/>
    <tableColumn id="10" xr3:uid="{C8411557-C312-4542-93DA-DF5949399E11}" uniqueName="10" name="Груз" queryTableFieldId="30" dataDxfId="793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792"/>
    <tableColumn id="4" xr3:uid="{6A396D44-0898-4737-A4C1-8D6D40981793}" uniqueName="4" name="Name" queryTableFieldId="14" dataDxfId="791"/>
    <tableColumn id="1" xr3:uid="{328F21C9-48B9-4081-9B8C-BBD168BD38D1}" uniqueName="1" name="Folder Path" queryTableFieldId="11" dataDxfId="790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789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67" tableType="queryTable" totalsRowShown="0">
  <tableColumns count="13">
    <tableColumn id="11" xr3:uid="{2311EAC9-4673-4BE2-ADB0-E8CEB0BD9945}" uniqueName="11" name="День нед" queryTableFieldId="39" dataDxfId="788"/>
    <tableColumn id="8" xr3:uid="{F1C9804A-F8E7-4755-B717-859265C587A2}" uniqueName="8" name="Дата" queryTableFieldId="19" dataDxfId="787"/>
    <tableColumn id="9" xr3:uid="{1C2BA522-8D4F-4713-849C-1F60357B476E}" uniqueName="9" name="Время" queryTableFieldId="20" dataDxfId="786"/>
    <tableColumn id="5" xr3:uid="{6E084A00-DC62-4E93-8ABC-4651FD4D2408}" uniqueName="5" name="Событие" queryTableFieldId="27" dataDxfId="785"/>
    <tableColumn id="7" xr3:uid="{C9F6EF14-DBE7-4655-9D20-5B253923C11E}" uniqueName="7" name="Объект" queryTableFieldId="29" dataDxfId="784"/>
    <tableColumn id="10" xr3:uid="{0ADEC0F9-9FE9-4E92-BD38-0B8CDDE1BDBD}" uniqueName="10" name="Груз" queryTableFieldId="30" dataDxfId="783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782"/>
    <tableColumn id="4" xr3:uid="{FE606B6B-0A78-44A2-B44F-54FBA553BAD6}" uniqueName="4" name="Name" queryTableFieldId="14" dataDxfId="781"/>
    <tableColumn id="1" xr3:uid="{34274AB2-665A-4EF1-8C79-4944C9C122A7}" uniqueName="1" name="Folder Path" queryTableFieldId="11" dataDxfId="780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779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290" tableType="queryTable" totalsRowShown="0">
  <tableColumns count="13">
    <tableColumn id="11" xr3:uid="{72CE202A-C56C-4D63-9F9F-0DFF72BB5190}" uniqueName="11" name="День нед" queryTableFieldId="39" dataDxfId="778"/>
    <tableColumn id="8" xr3:uid="{0D9F5C4C-70B0-46E2-9E29-649E206B6616}" uniqueName="8" name="Дата" queryTableFieldId="19" dataDxfId="777"/>
    <tableColumn id="9" xr3:uid="{7C8561D4-BD7D-493F-BC95-213F2D55F3FD}" uniqueName="9" name="Время" queryTableFieldId="20" dataDxfId="776"/>
    <tableColumn id="5" xr3:uid="{E48795B2-2732-4E4A-81E8-B1585581420B}" uniqueName="5" name="Событие" queryTableFieldId="27" dataDxfId="775"/>
    <tableColumn id="7" xr3:uid="{F684EE24-0636-4EC2-AB94-A65EA5355534}" uniqueName="7" name="Объект" queryTableFieldId="29" dataDxfId="774"/>
    <tableColumn id="10" xr3:uid="{0C1B5273-277F-4438-B52D-9F868AD13DEE}" uniqueName="10" name="Груз" queryTableFieldId="30" dataDxfId="773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772"/>
    <tableColumn id="4" xr3:uid="{729433F6-F4FD-435B-851D-D34CC9060068}" uniqueName="4" name="Name" queryTableFieldId="14" dataDxfId="771"/>
    <tableColumn id="1" xr3:uid="{7A9B9B80-B872-4A82-9D9D-98A75E20F89B}" uniqueName="1" name="Folder Path" queryTableFieldId="11" dataDxfId="770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769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603" tableType="queryTable" totalsRowShown="0">
  <tableColumns count="13">
    <tableColumn id="11" xr3:uid="{2CE691F0-1D02-41BD-8E81-7716875609CD}" uniqueName="11" name="День нед" queryTableFieldId="39" dataDxfId="69"/>
    <tableColumn id="8" xr3:uid="{1A2A3B97-F602-468E-8AD3-5DD492638A71}" uniqueName="8" name="Дата" queryTableFieldId="19" dataDxfId="68"/>
    <tableColumn id="9" xr3:uid="{E8725BDD-FF6C-47C3-9100-825160B93721}" uniqueName="9" name="Время" queryTableFieldId="20" dataDxfId="67"/>
    <tableColumn id="5" xr3:uid="{F68EB906-7F6F-4765-A5C8-9B40064179BE}" uniqueName="5" name="Событие" queryTableFieldId="27" dataDxfId="66"/>
    <tableColumn id="7" xr3:uid="{812FE0F9-0D7E-497C-893A-B104BA069155}" uniqueName="7" name="Объект" queryTableFieldId="29" dataDxfId="65"/>
    <tableColumn id="10" xr3:uid="{1679E688-A047-4936-9EBC-9BDCFEA4CD95}" uniqueName="10" name="Груз" queryTableFieldId="30" dataDxfId="64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63"/>
    <tableColumn id="4" xr3:uid="{F9F7F55E-2CCF-4A6B-892F-1C76C0668832}" uniqueName="4" name="Name" queryTableFieldId="14" dataDxfId="62"/>
    <tableColumn id="1" xr3:uid="{0AF9B05B-8D0E-4B8A-81D0-358A18429CE8}" uniqueName="1" name="Folder Path" queryTableFieldId="11" dataDxfId="61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60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622" tableType="queryTable" totalsRowShown="0">
  <tableColumns count="13">
    <tableColumn id="11" xr3:uid="{96A6BDDB-7ED5-4607-80F3-3FD842EAEE0A}" uniqueName="11" name="День нед" queryTableFieldId="39" dataDxfId="59"/>
    <tableColumn id="8" xr3:uid="{FBEC9ECA-BD5C-442E-BB86-7CCAEF9464D2}" uniqueName="8" name="Дата" queryTableFieldId="19" dataDxfId="58"/>
    <tableColumn id="9" xr3:uid="{68242AF7-BC60-4380-843B-35A6CC4A66E6}" uniqueName="9" name="Время" queryTableFieldId="20" dataDxfId="57"/>
    <tableColumn id="5" xr3:uid="{C98BCFD6-9DE9-4A28-B769-F5737933429D}" uniqueName="5" name="Событие" queryTableFieldId="27" dataDxfId="56"/>
    <tableColumn id="7" xr3:uid="{4D44F8D4-93A4-4851-894E-AC8CDD93BD71}" uniqueName="7" name="Объект" queryTableFieldId="29" dataDxfId="55"/>
    <tableColumn id="10" xr3:uid="{0A838B00-A88A-40EE-A542-7E8E08968D89}" uniqueName="10" name="Груз" queryTableFieldId="30" dataDxfId="54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53"/>
    <tableColumn id="4" xr3:uid="{4FA2E248-D5A3-4824-875F-C328FA9AC2F9}" uniqueName="4" name="Name" queryTableFieldId="14" dataDxfId="52"/>
    <tableColumn id="1" xr3:uid="{B01A6B83-82C4-4172-AD5B-D2AF410DBE1B}" uniqueName="1" name="Folder Path" queryTableFieldId="11" dataDxfId="51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50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03" tableType="queryTable" totalsRowShown="0">
  <tableColumns count="13">
    <tableColumn id="11" xr3:uid="{2AD64508-44AB-4871-8C82-4C5A1E5A5DD2}" uniqueName="11" name="День нед" queryTableFieldId="39" dataDxfId="49"/>
    <tableColumn id="8" xr3:uid="{C788117B-4896-492B-97B3-B2502F0537D8}" uniqueName="8" name="Дата" queryTableFieldId="19" dataDxfId="48"/>
    <tableColumn id="9" xr3:uid="{E3EF5757-6705-492A-BD76-A47D414757C0}" uniqueName="9" name="Время" queryTableFieldId="20" dataDxfId="47"/>
    <tableColumn id="5" xr3:uid="{EF049B28-F832-4F3D-AB4F-3C396920BF5B}" uniqueName="5" name="Событие" queryTableFieldId="27" dataDxfId="46"/>
    <tableColumn id="7" xr3:uid="{DDB63E42-2809-4377-A568-A326109989E9}" uniqueName="7" name="Объект" queryTableFieldId="29" dataDxfId="45"/>
    <tableColumn id="10" xr3:uid="{A4FCF3D3-582A-4DEF-8FB8-9D050C82517D}" uniqueName="10" name="Груз" queryTableFieldId="30" dataDxfId="44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43"/>
    <tableColumn id="4" xr3:uid="{DA63B8EC-3587-40B4-A86A-92B91C78723D}" uniqueName="4" name="Name" queryTableFieldId="14" dataDxfId="42"/>
    <tableColumn id="1" xr3:uid="{360C7476-DEC6-4377-8E95-D472C6673B12}" uniqueName="1" name="Folder Path" queryTableFieldId="11" dataDxfId="41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40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190" tableType="queryTable" totalsRowShown="0">
  <tableColumns count="13">
    <tableColumn id="11" xr3:uid="{C40005DE-8CA6-428A-9DF2-E715CC943F02}" uniqueName="11" name="День нед" queryTableFieldId="39" dataDxfId="29"/>
    <tableColumn id="8" xr3:uid="{55C75F47-F14F-483C-9C7A-95288D9463D6}" uniqueName="8" name="Дата" queryTableFieldId="19" dataDxfId="28"/>
    <tableColumn id="9" xr3:uid="{79D3981C-638A-4D64-BACB-D64D85DAC855}" uniqueName="9" name="Время" queryTableFieldId="20" dataDxfId="27"/>
    <tableColumn id="5" xr3:uid="{B0B848B5-29B2-4292-89A5-7DE5A2F72D15}" uniqueName="5" name="Событие" queryTableFieldId="27" dataDxfId="26"/>
    <tableColumn id="7" xr3:uid="{A9E0C8AC-2336-4969-BC3E-110E6C33529C}" uniqueName="7" name="Объект" queryTableFieldId="29" dataDxfId="25"/>
    <tableColumn id="10" xr3:uid="{F8691CA5-2689-452F-9550-C52E06B35BD6}" uniqueName="10" name="Груз" queryTableFieldId="30" dataDxfId="24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23"/>
    <tableColumn id="4" xr3:uid="{E9716AC2-8439-4E67-8698-BA6CD84F7B9C}" uniqueName="4" name="Name" queryTableFieldId="14" dataDxfId="22"/>
    <tableColumn id="1" xr3:uid="{9AB30DEC-91E3-4633-A156-B937B586CECB}" uniqueName="1" name="Folder Path" queryTableFieldId="11" dataDxfId="21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20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165" tableType="queryTable" totalsRowShown="0">
  <tableColumns count="13">
    <tableColumn id="11" xr3:uid="{B21CFC33-55C8-4073-BBD2-E0A5154A10D6}" uniqueName="11" name="День нед" queryTableFieldId="39" dataDxfId="19"/>
    <tableColumn id="8" xr3:uid="{004370C0-0D3C-4162-A392-32C741C3A58B}" uniqueName="8" name="Дата" queryTableFieldId="19" dataDxfId="18"/>
    <tableColumn id="9" xr3:uid="{6537DA5E-247D-44FB-ACE3-933B3C9B9408}" uniqueName="9" name="Время" queryTableFieldId="20" dataDxfId="17"/>
    <tableColumn id="5" xr3:uid="{4FA9309D-407E-48C1-B1F9-C33DEA7645B1}" uniqueName="5" name="Событие" queryTableFieldId="27" dataDxfId="16"/>
    <tableColumn id="7" xr3:uid="{76E54E9E-D730-4C99-9BF5-96E9384FF63C}" uniqueName="7" name="Объект" queryTableFieldId="29" dataDxfId="15"/>
    <tableColumn id="10" xr3:uid="{B9F78DE2-7938-486B-9BE2-F824D0E7A6C4}" uniqueName="10" name="Груз" queryTableFieldId="30" dataDxfId="14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3"/>
    <tableColumn id="4" xr3:uid="{921D28C1-5761-48A7-B447-6A4446F87545}" uniqueName="4" name="Name" queryTableFieldId="14" dataDxfId="12"/>
    <tableColumn id="1" xr3:uid="{F1A648C1-8DB5-4DEF-B011-BD85E17FCAA3}" uniqueName="1" name="Folder Path" queryTableFieldId="11" dataDxfId="11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0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3746" totalsRowShown="0">
  <autoFilter ref="A1:G3746" xr:uid="{803833C3-A4ED-4039-95A7-46694D1CE00F}">
    <filterColumn colId="6">
      <filters>
        <filter val="Склад хол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33" tableType="queryTable" totalsRowShown="0">
  <autoFilter ref="A1:M233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9"/>
    <tableColumn id="3" xr3:uid="{8C3702C1-E43C-496C-A204-7587B7ED5C05}" uniqueName="3" name="Время" queryTableFieldId="3" dataDxfId="8"/>
    <tableColumn id="4" xr3:uid="{C16264D0-558B-425C-8205-E671C6E3EB9E}" uniqueName="4" name="Событие" queryTableFieldId="4" dataDxfId="7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841"/>
    <tableColumn id="10" xr3:uid="{37082223-0A57-495F-97B8-0BCE1F173A2E}" uniqueName="10" name="Folder Path" queryTableFieldId="10" dataDxfId="840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42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51"/>
  <sheetViews>
    <sheetView tabSelected="1" zoomScale="90" zoomScaleNormal="90" workbookViewId="0">
      <pane ySplit="1" topLeftCell="A227" activePane="bottomLeft" state="frozen"/>
      <selection pane="bottomLeft" activeCell="I249" sqref="I249:I251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s="8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s="8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s="8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s="8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s="8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s="8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s="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s="8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s="8" t="s">
        <v>62</v>
      </c>
      <c r="E10" s="8" t="s">
        <v>67</v>
      </c>
      <c r="F10" s="8" t="s">
        <v>468</v>
      </c>
      <c r="H10" s="8"/>
      <c r="I10" s="8" t="s">
        <v>34</v>
      </c>
      <c r="J10" s="8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s="8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s="8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s="8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s="8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s="8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s="8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s="8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s="8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s="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s="8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s="8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s="8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s="8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s="8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s="8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s="8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s="8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s="8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s="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s="8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s="8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s="8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s="8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s="8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s="8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s="8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s="8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s="8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s="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s="8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s="8" t="s">
        <v>91</v>
      </c>
      <c r="E40" s="8" t="s">
        <v>56</v>
      </c>
      <c r="F40" s="8" t="s">
        <v>2000</v>
      </c>
      <c r="H40" s="8"/>
      <c r="I40" s="8" t="s">
        <v>1108</v>
      </c>
      <c r="J40" s="8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s="8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s="8" t="s">
        <v>62</v>
      </c>
      <c r="E41" s="8" t="s">
        <v>55</v>
      </c>
      <c r="F41" s="8" t="s">
        <v>2000</v>
      </c>
      <c r="H41" s="8"/>
      <c r="I41" s="8" t="s">
        <v>1109</v>
      </c>
      <c r="J41" s="8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s="8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s="8" t="s">
        <v>91</v>
      </c>
      <c r="E42" s="8" t="s">
        <v>2001</v>
      </c>
      <c r="F42" s="8"/>
      <c r="H42" s="8"/>
      <c r="I42" s="8" t="s">
        <v>1110</v>
      </c>
      <c r="J42" s="8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s="8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s="8" t="s">
        <v>62</v>
      </c>
      <c r="E43" s="8" t="s">
        <v>2001</v>
      </c>
      <c r="F43" s="8"/>
      <c r="H43" s="8"/>
      <c r="I43" s="8" t="s">
        <v>1111</v>
      </c>
      <c r="J43" s="8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s="8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s="8" t="s">
        <v>91</v>
      </c>
      <c r="E44" s="8" t="s">
        <v>2002</v>
      </c>
      <c r="F44" s="8"/>
      <c r="H44" s="8"/>
      <c r="I44" s="8" t="s">
        <v>1112</v>
      </c>
      <c r="J44" s="8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s="8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s="8" t="s">
        <v>91</v>
      </c>
      <c r="E45" s="8" t="s">
        <v>55</v>
      </c>
      <c r="F45" s="8" t="s">
        <v>2000</v>
      </c>
      <c r="H45" s="8"/>
      <c r="I45" s="8" t="s">
        <v>1113</v>
      </c>
      <c r="J45" s="8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s="8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s="8" t="s">
        <v>62</v>
      </c>
      <c r="E46" s="8" t="s">
        <v>2002</v>
      </c>
      <c r="F46" s="8"/>
      <c r="H46" s="8"/>
      <c r="I46" s="8" t="s">
        <v>1114</v>
      </c>
      <c r="J46" s="8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s="8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s="8" t="s">
        <v>62</v>
      </c>
      <c r="E47" s="8" t="s">
        <v>56</v>
      </c>
      <c r="F47" s="8" t="s">
        <v>200</v>
      </c>
      <c r="H47" s="8"/>
      <c r="I47" s="8" t="s">
        <v>2003</v>
      </c>
      <c r="J47" s="8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s="8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s="8" t="s">
        <v>2004</v>
      </c>
      <c r="E48" s="8"/>
      <c r="F48" s="8"/>
      <c r="H48" s="8"/>
      <c r="I48" s="8" t="s">
        <v>2049</v>
      </c>
      <c r="J48" s="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s="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2050</v>
      </c>
      <c r="J49" s="8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s="8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2051</v>
      </c>
      <c r="J50" s="8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s="8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s="8" t="s">
        <v>64</v>
      </c>
      <c r="E51" s="8" t="s">
        <v>2920</v>
      </c>
      <c r="F51" s="8" t="s">
        <v>2921</v>
      </c>
      <c r="H51" s="8"/>
      <c r="I51" s="8" t="s">
        <v>2052</v>
      </c>
      <c r="J51" s="8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s="8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s="8" t="s">
        <v>62</v>
      </c>
      <c r="E52" s="8" t="s">
        <v>2920</v>
      </c>
      <c r="F52" s="8" t="s">
        <v>2922</v>
      </c>
      <c r="H52" s="8"/>
      <c r="I52" s="8" t="s">
        <v>2053</v>
      </c>
      <c r="J52" s="8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s="8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s="8" t="s">
        <v>62</v>
      </c>
      <c r="E53" s="8" t="s">
        <v>2923</v>
      </c>
      <c r="F53" s="8" t="s">
        <v>58</v>
      </c>
      <c r="H53" s="8"/>
      <c r="I53" s="8" t="s">
        <v>2054</v>
      </c>
      <c r="J53" s="8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s="8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2055</v>
      </c>
      <c r="J54" s="8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s="8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2056</v>
      </c>
      <c r="J55" s="8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s="8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s="8" t="s">
        <v>91</v>
      </c>
      <c r="E56" s="8" t="s">
        <v>2002</v>
      </c>
      <c r="F56" s="8"/>
      <c r="H56" s="8"/>
      <c r="I56" s="8" t="s">
        <v>2057</v>
      </c>
      <c r="J56" s="8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s="8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s="8" t="s">
        <v>62</v>
      </c>
      <c r="E57" s="8" t="s">
        <v>2002</v>
      </c>
      <c r="F57" s="8"/>
      <c r="H57" s="8"/>
      <c r="I57" s="8" t="s">
        <v>2058</v>
      </c>
      <c r="J57" s="8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s="8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s="8" t="s">
        <v>2004</v>
      </c>
      <c r="E58" s="8"/>
      <c r="F58" s="8"/>
      <c r="H58" s="8"/>
      <c r="I58" s="8" t="s">
        <v>2059</v>
      </c>
      <c r="J58" s="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s="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s="8" t="s">
        <v>91</v>
      </c>
      <c r="E59" s="8" t="s">
        <v>70</v>
      </c>
      <c r="F59" s="8"/>
      <c r="H59" s="8"/>
      <c r="I59" s="8" t="s">
        <v>2060</v>
      </c>
      <c r="J59" s="8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s="8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s="8" t="s">
        <v>62</v>
      </c>
      <c r="E60" s="8" t="s">
        <v>70</v>
      </c>
      <c r="F60" s="8"/>
      <c r="H60" s="8" t="s">
        <v>2924</v>
      </c>
      <c r="I60" s="8" t="s">
        <v>2061</v>
      </c>
      <c r="J60" s="8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s="8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s="8" t="s">
        <v>2004</v>
      </c>
      <c r="E61" s="8"/>
      <c r="F61" s="8"/>
      <c r="H61" s="8"/>
      <c r="I61" s="8" t="s">
        <v>2062</v>
      </c>
      <c r="J61" s="8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s="8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s="8" t="s">
        <v>2004</v>
      </c>
      <c r="E62" s="8"/>
      <c r="F62" s="8"/>
      <c r="H62" s="8"/>
      <c r="I62" s="8" t="s">
        <v>2063</v>
      </c>
      <c r="J62" s="8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s="8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s="8" t="s">
        <v>91</v>
      </c>
      <c r="E63" s="8" t="s">
        <v>70</v>
      </c>
      <c r="F63" s="8"/>
      <c r="H63" s="8"/>
      <c r="I63" s="8" t="s">
        <v>2994</v>
      </c>
      <c r="J63" s="8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s="8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s="8" t="s">
        <v>62</v>
      </c>
      <c r="E64" s="8" t="s">
        <v>70</v>
      </c>
      <c r="F64" s="8"/>
      <c r="H64" s="8"/>
      <c r="I64" s="8" t="s">
        <v>2997</v>
      </c>
      <c r="J64" s="8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s="8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s="8" t="s">
        <v>3018</v>
      </c>
      <c r="E65" s="8" t="s">
        <v>1607</v>
      </c>
      <c r="F65" s="8" t="s">
        <v>2929</v>
      </c>
      <c r="H65" s="8"/>
      <c r="I65" s="8" t="s">
        <v>3000</v>
      </c>
      <c r="J65" s="8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s="8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3003</v>
      </c>
      <c r="J66" s="8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s="8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3006</v>
      </c>
      <c r="J67" s="8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s="8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3009</v>
      </c>
      <c r="J68" s="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s="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s="8" t="s">
        <v>3019</v>
      </c>
      <c r="E69" s="8" t="s">
        <v>70</v>
      </c>
      <c r="F69" s="8" t="s">
        <v>58</v>
      </c>
      <c r="H69" s="8"/>
      <c r="I69" s="8" t="s">
        <v>3012</v>
      </c>
      <c r="J69" s="8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s="8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s="8" t="s">
        <v>3019</v>
      </c>
      <c r="E70" s="8" t="s">
        <v>70</v>
      </c>
      <c r="F70" s="8" t="s">
        <v>58</v>
      </c>
      <c r="H70" s="8" t="s">
        <v>2936</v>
      </c>
      <c r="I70" s="8" t="s">
        <v>3015</v>
      </c>
      <c r="J70" s="8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s="8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s="8" t="s">
        <v>4190</v>
      </c>
      <c r="E71" s="8" t="s">
        <v>4192</v>
      </c>
      <c r="F71" s="8" t="s">
        <v>51</v>
      </c>
      <c r="H71" s="8"/>
      <c r="I71" s="8" t="s">
        <v>3225</v>
      </c>
      <c r="J71" s="8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s="8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s="8" t="s">
        <v>85</v>
      </c>
      <c r="E72" s="8" t="s">
        <v>4192</v>
      </c>
      <c r="F72" s="8" t="s">
        <v>58</v>
      </c>
      <c r="H72" s="8"/>
      <c r="I72" s="8" t="s">
        <v>3228</v>
      </c>
      <c r="J72" s="8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s="8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s="8" t="s">
        <v>91</v>
      </c>
      <c r="E73" s="8" t="s">
        <v>4192</v>
      </c>
      <c r="F73" s="8" t="s">
        <v>58</v>
      </c>
      <c r="H73" s="8"/>
      <c r="I73" s="8" t="s">
        <v>3231</v>
      </c>
      <c r="J73" s="8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s="8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s="8" t="s">
        <v>62</v>
      </c>
      <c r="E74" s="8" t="s">
        <v>4192</v>
      </c>
      <c r="F74" s="8" t="s">
        <v>58</v>
      </c>
      <c r="H74" s="8"/>
      <c r="I74" s="8" t="s">
        <v>3234</v>
      </c>
      <c r="J74" s="8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s="8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s="8" t="s">
        <v>4190</v>
      </c>
      <c r="E75" s="8" t="s">
        <v>4191</v>
      </c>
      <c r="F75" s="8"/>
      <c r="H75" s="8"/>
      <c r="I75" s="8" t="s">
        <v>3237</v>
      </c>
      <c r="J75" s="8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s="8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s="8" t="s">
        <v>85</v>
      </c>
      <c r="E76" s="8" t="s">
        <v>4191</v>
      </c>
      <c r="F76" s="8"/>
      <c r="H76" s="8"/>
      <c r="I76" s="8" t="s">
        <v>3240</v>
      </c>
      <c r="J76" s="8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s="8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s="8" t="s">
        <v>64</v>
      </c>
      <c r="E77" s="8" t="s">
        <v>4193</v>
      </c>
      <c r="F77" s="8"/>
      <c r="H77" s="8"/>
      <c r="I77" s="8" t="s">
        <v>3243</v>
      </c>
      <c r="J77" s="8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s="8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s="8" t="s">
        <v>85</v>
      </c>
      <c r="E78" s="8" t="s">
        <v>4193</v>
      </c>
      <c r="F78" s="8"/>
      <c r="H78" s="8"/>
      <c r="I78" s="8" t="s">
        <v>3246</v>
      </c>
      <c r="J78" s="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s="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s="8" t="s">
        <v>91</v>
      </c>
      <c r="E79" s="8" t="s">
        <v>4194</v>
      </c>
      <c r="F79" s="8" t="s">
        <v>51</v>
      </c>
      <c r="H79" s="8"/>
      <c r="I79" s="8" t="s">
        <v>3249</v>
      </c>
      <c r="J79" s="8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s="8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s="8" t="s">
        <v>91</v>
      </c>
      <c r="E80" s="8" t="s">
        <v>4195</v>
      </c>
      <c r="F80" s="8" t="s">
        <v>51</v>
      </c>
      <c r="H80" s="8"/>
      <c r="I80" s="8" t="s">
        <v>3252</v>
      </c>
      <c r="J80" s="8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s="8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s="8" t="s">
        <v>91</v>
      </c>
      <c r="E81" s="8" t="s">
        <v>4194</v>
      </c>
      <c r="F81" s="8" t="s">
        <v>4196</v>
      </c>
      <c r="H81" s="8" t="s">
        <v>4197</v>
      </c>
      <c r="I81" s="8" t="s">
        <v>3255</v>
      </c>
      <c r="J81" s="8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s="8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s="8" t="s">
        <v>62</v>
      </c>
      <c r="E82" s="8" t="s">
        <v>4194</v>
      </c>
      <c r="F82" s="8" t="s">
        <v>4196</v>
      </c>
      <c r="H82" s="8"/>
      <c r="I82" s="8" t="s">
        <v>3258</v>
      </c>
      <c r="J82" s="8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s="8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4252</v>
      </c>
      <c r="J83" s="8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s="8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4255</v>
      </c>
      <c r="J84" s="8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s="8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s="8" t="s">
        <v>91</v>
      </c>
      <c r="E85" s="8" t="s">
        <v>4194</v>
      </c>
      <c r="F85" s="8" t="s">
        <v>1609</v>
      </c>
      <c r="H85" s="8" t="s">
        <v>5074</v>
      </c>
      <c r="I85" s="8" t="s">
        <v>4402</v>
      </c>
      <c r="J85" s="8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s="8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s="8" t="s">
        <v>62</v>
      </c>
      <c r="E86" s="8" t="s">
        <v>4194</v>
      </c>
      <c r="F86" s="8" t="s">
        <v>51</v>
      </c>
      <c r="H86" s="8" t="s">
        <v>5075</v>
      </c>
      <c r="I86" s="8" t="s">
        <v>4405</v>
      </c>
      <c r="J86" s="8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s="8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s="8" t="s">
        <v>91</v>
      </c>
      <c r="E87" s="8" t="s">
        <v>70</v>
      </c>
      <c r="F87" s="8" t="s">
        <v>5076</v>
      </c>
      <c r="H87" s="8"/>
      <c r="I87" s="8" t="s">
        <v>4408</v>
      </c>
      <c r="J87" s="8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s="8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s="8" t="s">
        <v>62</v>
      </c>
      <c r="E88" s="8" t="s">
        <v>70</v>
      </c>
      <c r="F88" s="8" t="s">
        <v>5076</v>
      </c>
      <c r="H88" s="8"/>
      <c r="I88" s="8" t="s">
        <v>4411</v>
      </c>
      <c r="J88" s="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s="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s="8" t="s">
        <v>91</v>
      </c>
      <c r="E89" s="8" t="s">
        <v>70</v>
      </c>
      <c r="F89" s="8" t="s">
        <v>5076</v>
      </c>
      <c r="H89" s="8"/>
      <c r="I89" s="8" t="s">
        <v>4414</v>
      </c>
      <c r="J89" s="8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s="8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s="8" t="s">
        <v>62</v>
      </c>
      <c r="E90" s="8" t="s">
        <v>70</v>
      </c>
      <c r="F90" s="8" t="s">
        <v>5076</v>
      </c>
      <c r="H90" s="8"/>
      <c r="I90" s="8" t="s">
        <v>4417</v>
      </c>
      <c r="J90" s="8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s="8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s="8" t="s">
        <v>2004</v>
      </c>
      <c r="E91" s="8"/>
      <c r="F91" s="8"/>
      <c r="H91" s="8"/>
      <c r="I91" s="8" t="s">
        <v>4420</v>
      </c>
      <c r="J91" s="8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s="8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s="8" t="s">
        <v>91</v>
      </c>
      <c r="E92" s="8" t="s">
        <v>70</v>
      </c>
      <c r="F92" s="8" t="s">
        <v>5076</v>
      </c>
      <c r="H92" s="8"/>
      <c r="I92" s="8" t="s">
        <v>4423</v>
      </c>
      <c r="J92" s="8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s="8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s="8" t="s">
        <v>62</v>
      </c>
      <c r="E93" s="8" t="s">
        <v>70</v>
      </c>
      <c r="F93" s="8" t="s">
        <v>5076</v>
      </c>
      <c r="H93" s="8"/>
      <c r="I93" s="8" t="s">
        <v>4426</v>
      </c>
      <c r="J93" s="8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s="8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s="8" t="s">
        <v>91</v>
      </c>
      <c r="E94" s="8" t="s">
        <v>70</v>
      </c>
      <c r="F94" s="8" t="s">
        <v>5076</v>
      </c>
      <c r="H94" s="8"/>
      <c r="I94" s="8" t="s">
        <v>4429</v>
      </c>
      <c r="J94" s="8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s="8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s="8" t="s">
        <v>62</v>
      </c>
      <c r="E95" s="8" t="s">
        <v>70</v>
      </c>
      <c r="F95" s="8" t="s">
        <v>5076</v>
      </c>
      <c r="H95" s="8"/>
      <c r="I95" s="8" t="s">
        <v>4432</v>
      </c>
      <c r="J95" s="8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s="8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4435</v>
      </c>
      <c r="J96" s="8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s="8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s="8" t="s">
        <v>91</v>
      </c>
      <c r="E97" s="8" t="s">
        <v>55</v>
      </c>
      <c r="F97" s="8" t="s">
        <v>5077</v>
      </c>
      <c r="H97" s="8"/>
      <c r="I97" s="8" t="s">
        <v>4438</v>
      </c>
      <c r="J97" s="8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s="8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s="8" t="s">
        <v>91</v>
      </c>
      <c r="E98" s="8" t="s">
        <v>70</v>
      </c>
      <c r="F98" s="8" t="s">
        <v>5076</v>
      </c>
      <c r="H98" s="8"/>
      <c r="I98" s="8" t="s">
        <v>4441</v>
      </c>
      <c r="J98" s="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s="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s="8" t="s">
        <v>62</v>
      </c>
      <c r="E99" s="8" t="s">
        <v>70</v>
      </c>
      <c r="F99" s="8" t="s">
        <v>5076</v>
      </c>
      <c r="H99" s="8"/>
      <c r="I99" s="8" t="s">
        <v>4444</v>
      </c>
      <c r="J99" s="8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s="8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s="8" t="s">
        <v>2004</v>
      </c>
      <c r="E100" s="8"/>
      <c r="F100" s="8"/>
      <c r="H100" s="8"/>
      <c r="I100" s="8" t="s">
        <v>4447</v>
      </c>
      <c r="J100" s="8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s="8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s="8" t="s">
        <v>91</v>
      </c>
      <c r="E101" s="8" t="s">
        <v>5259</v>
      </c>
      <c r="F101" s="8" t="s">
        <v>51</v>
      </c>
      <c r="H101" s="8"/>
      <c r="I101" s="8" t="s">
        <v>5144</v>
      </c>
      <c r="J101" s="8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s="8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s="8" t="s">
        <v>62</v>
      </c>
      <c r="E102" s="8" t="s">
        <v>5259</v>
      </c>
      <c r="F102" s="8" t="s">
        <v>5260</v>
      </c>
      <c r="H102" s="8" t="s">
        <v>5261</v>
      </c>
      <c r="I102" s="8" t="s">
        <v>5146</v>
      </c>
      <c r="J102" s="8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s="8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s="8" t="s">
        <v>64</v>
      </c>
      <c r="E103" s="8" t="s">
        <v>4193</v>
      </c>
      <c r="F103" s="8" t="s">
        <v>5076</v>
      </c>
      <c r="H103" s="8"/>
      <c r="I103" s="8" t="s">
        <v>5272</v>
      </c>
      <c r="J103" s="8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s="8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s="8" t="s">
        <v>85</v>
      </c>
      <c r="E104" s="8" t="s">
        <v>4193</v>
      </c>
      <c r="F104" s="8" t="s">
        <v>5076</v>
      </c>
      <c r="H104" s="8"/>
      <c r="I104" s="8" t="s">
        <v>5274</v>
      </c>
      <c r="J104" s="8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s="8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s="8" t="s">
        <v>64</v>
      </c>
      <c r="E105" s="8" t="s">
        <v>4193</v>
      </c>
      <c r="F105" s="8" t="s">
        <v>5076</v>
      </c>
      <c r="H105" s="8"/>
      <c r="I105" s="8" t="s">
        <v>5481</v>
      </c>
      <c r="J105" s="8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s="8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s="8" t="s">
        <v>85</v>
      </c>
      <c r="E106" s="8" t="s">
        <v>4193</v>
      </c>
      <c r="F106" s="8" t="s">
        <v>5076</v>
      </c>
      <c r="H106" s="8"/>
      <c r="I106" s="8" t="s">
        <v>5484</v>
      </c>
      <c r="J106" s="8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s="8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s="8" t="s">
        <v>91</v>
      </c>
      <c r="E107" s="8" t="s">
        <v>5505</v>
      </c>
      <c r="F107" s="8" t="s">
        <v>51</v>
      </c>
      <c r="H107" s="8"/>
      <c r="I107" s="8" t="s">
        <v>5487</v>
      </c>
      <c r="J107" s="8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s="8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s="8" t="s">
        <v>3019</v>
      </c>
      <c r="E108" s="8" t="s">
        <v>5505</v>
      </c>
      <c r="F108" s="8" t="s">
        <v>51</v>
      </c>
      <c r="H108" s="8"/>
      <c r="I108" s="8" t="s">
        <v>5490</v>
      </c>
      <c r="J108" s="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s="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s="8" t="s">
        <v>64</v>
      </c>
      <c r="E109" s="8" t="s">
        <v>4193</v>
      </c>
      <c r="F109" s="8" t="s">
        <v>5076</v>
      </c>
      <c r="H109" s="8"/>
      <c r="I109" s="8" t="s">
        <v>5493</v>
      </c>
      <c r="J109" s="8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s="8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s="8" t="s">
        <v>85</v>
      </c>
      <c r="E110" s="8" t="s">
        <v>4193</v>
      </c>
      <c r="F110" s="8" t="s">
        <v>5076</v>
      </c>
      <c r="H110" s="8"/>
      <c r="I110" s="8" t="s">
        <v>5496</v>
      </c>
      <c r="J110" s="8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s="8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s="8" t="s">
        <v>64</v>
      </c>
      <c r="E111" s="8" t="s">
        <v>4193</v>
      </c>
      <c r="F111" s="8" t="s">
        <v>5076</v>
      </c>
      <c r="H111" s="8"/>
      <c r="I111" s="8" t="s">
        <v>5499</v>
      </c>
      <c r="J111" s="8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s="8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s="8" t="s">
        <v>85</v>
      </c>
      <c r="E112" s="8" t="s">
        <v>4193</v>
      </c>
      <c r="F112" s="8" t="s">
        <v>5076</v>
      </c>
      <c r="H112" s="8"/>
      <c r="I112" s="8" t="s">
        <v>5502</v>
      </c>
      <c r="J112" s="8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s="8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s="8" t="s">
        <v>2004</v>
      </c>
      <c r="E113" s="8" t="s">
        <v>8</v>
      </c>
      <c r="F113" s="8"/>
      <c r="H113" s="8"/>
      <c r="I113" s="8" t="s">
        <v>5840</v>
      </c>
      <c r="J113" s="8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s="8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s="8" t="s">
        <v>91</v>
      </c>
      <c r="E114" s="8" t="s">
        <v>55</v>
      </c>
      <c r="F114" s="8" t="s">
        <v>51</v>
      </c>
      <c r="H114" s="8"/>
      <c r="I114" s="8" t="s">
        <v>5843</v>
      </c>
      <c r="J114" s="8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s="8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s="8" t="s">
        <v>62</v>
      </c>
      <c r="E115" s="8" t="s">
        <v>6167</v>
      </c>
      <c r="F115" s="8" t="s">
        <v>58</v>
      </c>
      <c r="H115" s="8" t="s">
        <v>6164</v>
      </c>
      <c r="I115" s="8" t="s">
        <v>6023</v>
      </c>
      <c r="J115" s="8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s="8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s="8" t="s">
        <v>91</v>
      </c>
      <c r="E116" s="8" t="s">
        <v>6166</v>
      </c>
      <c r="F116" s="8" t="s">
        <v>51</v>
      </c>
      <c r="H116" s="8"/>
      <c r="I116" s="8" t="s">
        <v>6026</v>
      </c>
      <c r="J116" s="8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s="8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s="8" t="s">
        <v>91</v>
      </c>
      <c r="E117" s="8" t="s">
        <v>6165</v>
      </c>
      <c r="F117" s="8" t="s">
        <v>51</v>
      </c>
      <c r="H117" s="8"/>
      <c r="I117" s="8" t="s">
        <v>6029</v>
      </c>
      <c r="J117" s="8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s="8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s="8" t="s">
        <v>62</v>
      </c>
      <c r="E118" s="8" t="s">
        <v>6166</v>
      </c>
      <c r="F118" s="8" t="s">
        <v>51</v>
      </c>
      <c r="H118" s="8"/>
      <c r="I118" s="8" t="s">
        <v>6032</v>
      </c>
      <c r="J118" s="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s="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s="8" t="s">
        <v>3019</v>
      </c>
      <c r="E119" s="8" t="s">
        <v>6165</v>
      </c>
      <c r="F119" s="8" t="s">
        <v>51</v>
      </c>
      <c r="H119" s="8"/>
      <c r="I119" s="8" t="s">
        <v>6035</v>
      </c>
      <c r="J119" s="8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s="8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s="8" t="s">
        <v>91</v>
      </c>
      <c r="E120" s="8" t="s">
        <v>6167</v>
      </c>
      <c r="F120" s="8" t="s">
        <v>58</v>
      </c>
      <c r="H120" s="8"/>
      <c r="I120" s="8" t="s">
        <v>6038</v>
      </c>
      <c r="J120" s="8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s="8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s="8" t="s">
        <v>62</v>
      </c>
      <c r="E121" s="8" t="s">
        <v>6167</v>
      </c>
      <c r="F121" s="8" t="s">
        <v>6168</v>
      </c>
      <c r="H121" s="8" t="s">
        <v>6169</v>
      </c>
      <c r="I121" s="8" t="s">
        <v>6041</v>
      </c>
      <c r="J121" s="8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s="8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s="8" t="s">
        <v>2004</v>
      </c>
      <c r="E122" s="8" t="s">
        <v>6262</v>
      </c>
      <c r="F122" s="8"/>
      <c r="H122" s="8" t="s">
        <v>6261</v>
      </c>
      <c r="I122" s="8" t="s">
        <v>6198</v>
      </c>
      <c r="J122" s="8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s="8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s="8" t="s">
        <v>64</v>
      </c>
      <c r="E123" s="8" t="s">
        <v>4193</v>
      </c>
      <c r="F123" s="8" t="s">
        <v>5076</v>
      </c>
      <c r="H123" s="8"/>
      <c r="I123" s="8" t="s">
        <v>6263</v>
      </c>
      <c r="J123" s="8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s="8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s="8" t="s">
        <v>91</v>
      </c>
      <c r="E124" s="8" t="s">
        <v>6329</v>
      </c>
      <c r="F124" s="8" t="s">
        <v>51</v>
      </c>
      <c r="H124" s="8"/>
      <c r="I124" s="8" t="s">
        <v>6343</v>
      </c>
      <c r="J124" s="8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s="8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s="8" t="s">
        <v>85</v>
      </c>
      <c r="E125" s="8" t="s">
        <v>6329</v>
      </c>
      <c r="F125" s="8" t="s">
        <v>58</v>
      </c>
      <c r="H125" s="8" t="s">
        <v>1620</v>
      </c>
      <c r="I125" s="8" t="s">
        <v>6266</v>
      </c>
      <c r="J125" s="8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s="8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s="8" t="s">
        <v>85</v>
      </c>
      <c r="E126" s="8" t="s">
        <v>6329</v>
      </c>
      <c r="F126" s="8" t="s">
        <v>58</v>
      </c>
      <c r="H126" s="8" t="s">
        <v>2936</v>
      </c>
      <c r="I126" s="8" t="s">
        <v>6269</v>
      </c>
      <c r="J126" s="8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s="8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s="8" t="s">
        <v>62</v>
      </c>
      <c r="E127" s="8" t="s">
        <v>70</v>
      </c>
      <c r="F127" s="8"/>
      <c r="H127" s="8"/>
      <c r="I127" s="8" t="s">
        <v>6272</v>
      </c>
      <c r="J127" s="8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s="8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s="8" t="s">
        <v>91</v>
      </c>
      <c r="E128" s="8" t="s">
        <v>70</v>
      </c>
      <c r="F128" s="8"/>
      <c r="H128" s="8"/>
      <c r="I128" s="8" t="s">
        <v>6275</v>
      </c>
      <c r="J128" s="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s="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s="8" t="s">
        <v>85</v>
      </c>
      <c r="E129" s="8" t="s">
        <v>4193</v>
      </c>
      <c r="F129" s="8" t="s">
        <v>5076</v>
      </c>
      <c r="H129" s="8"/>
      <c r="I129" s="8" t="s">
        <v>6278</v>
      </c>
      <c r="J129" s="8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s="8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s="8" t="s">
        <v>91</v>
      </c>
      <c r="E130" s="8" t="s">
        <v>6656</v>
      </c>
      <c r="F130" s="8" t="s">
        <v>51</v>
      </c>
      <c r="H130" s="8"/>
      <c r="I130" s="8" t="s">
        <v>6533</v>
      </c>
      <c r="J130" s="8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s="8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s="8" t="s">
        <v>62</v>
      </c>
      <c r="E131" s="8" t="s">
        <v>6656</v>
      </c>
      <c r="F131" s="8" t="s">
        <v>6657</v>
      </c>
      <c r="H131" s="8"/>
      <c r="I131" s="8" t="s">
        <v>6536</v>
      </c>
      <c r="J131" s="8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s="8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s="8" t="s">
        <v>64</v>
      </c>
      <c r="E132" s="8" t="s">
        <v>4193</v>
      </c>
      <c r="F132" s="8" t="s">
        <v>5076</v>
      </c>
      <c r="H132" s="8"/>
      <c r="I132" s="8" t="s">
        <v>6539</v>
      </c>
      <c r="J132" s="8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s="8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s="8" t="s">
        <v>85</v>
      </c>
      <c r="E133" s="8" t="s">
        <v>4193</v>
      </c>
      <c r="F133" s="8" t="s">
        <v>5076</v>
      </c>
      <c r="H133" s="8"/>
      <c r="I133" s="8" t="s">
        <v>6542</v>
      </c>
      <c r="J133" s="8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s="8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s="8" t="s">
        <v>2004</v>
      </c>
      <c r="E134" s="8"/>
      <c r="F134" s="8"/>
      <c r="H134" s="8"/>
      <c r="I134" s="8" t="s">
        <v>6664</v>
      </c>
      <c r="J134" s="8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s="8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s="8" t="s">
        <v>64</v>
      </c>
      <c r="E135" s="8" t="s">
        <v>4193</v>
      </c>
      <c r="F135" s="8" t="s">
        <v>5076</v>
      </c>
      <c r="H135" s="8"/>
      <c r="I135" s="8" t="s">
        <v>6667</v>
      </c>
      <c r="J135" s="8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s="8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s="8" t="s">
        <v>6865</v>
      </c>
      <c r="E136" s="8"/>
      <c r="F136" s="8"/>
      <c r="H136" s="8"/>
      <c r="I136" s="8" t="s">
        <v>6670</v>
      </c>
      <c r="J136" s="8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s="8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s="8" t="s">
        <v>91</v>
      </c>
      <c r="E137" s="8" t="s">
        <v>6190</v>
      </c>
      <c r="F137" s="8"/>
      <c r="H137" s="8"/>
      <c r="I137" s="8" t="s">
        <v>6673</v>
      </c>
      <c r="J137" s="8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s="8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s="8" t="s">
        <v>6866</v>
      </c>
      <c r="E138" s="8" t="s">
        <v>86</v>
      </c>
      <c r="F138" s="8"/>
      <c r="H138" s="8"/>
      <c r="I138" s="8" t="s">
        <v>6676</v>
      </c>
      <c r="J138" s="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s="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s="8" t="s">
        <v>85</v>
      </c>
      <c r="E139" s="8" t="s">
        <v>4193</v>
      </c>
      <c r="F139" s="8" t="s">
        <v>5076</v>
      </c>
      <c r="H139" s="8"/>
      <c r="I139" s="8" t="s">
        <v>6679</v>
      </c>
      <c r="J139" s="8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s="8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s="8" t="s">
        <v>2004</v>
      </c>
      <c r="E140" s="8"/>
      <c r="F140" s="8"/>
      <c r="H140" s="8"/>
      <c r="I140" s="8" t="s">
        <v>6899</v>
      </c>
      <c r="J140" s="8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s="8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s="8" t="s">
        <v>2004</v>
      </c>
      <c r="E141" s="8"/>
      <c r="F141" s="8"/>
      <c r="H141" s="8"/>
      <c r="I141" s="8" t="s">
        <v>6902</v>
      </c>
      <c r="J141" s="8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s="8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s="8" t="s">
        <v>2004</v>
      </c>
      <c r="E142" s="8"/>
      <c r="F142" s="8"/>
      <c r="H142" s="8"/>
      <c r="I142" s="8" t="s">
        <v>7175</v>
      </c>
      <c r="J142" s="8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s="8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s="8" t="s">
        <v>64</v>
      </c>
      <c r="E143" s="8" t="s">
        <v>4193</v>
      </c>
      <c r="F143" s="8" t="s">
        <v>5076</v>
      </c>
      <c r="H143" s="8"/>
      <c r="I143" s="8" t="s">
        <v>7242</v>
      </c>
      <c r="J143" s="8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s="8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s="8" t="s">
        <v>85</v>
      </c>
      <c r="E144" s="8" t="s">
        <v>4193</v>
      </c>
      <c r="F144" s="8" t="s">
        <v>5076</v>
      </c>
      <c r="H144" s="8"/>
      <c r="I144" s="8" t="s">
        <v>7245</v>
      </c>
      <c r="J144" s="8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s="8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s="8" t="s">
        <v>91</v>
      </c>
      <c r="E145" s="8" t="s">
        <v>7410</v>
      </c>
      <c r="F145" s="8" t="s">
        <v>60</v>
      </c>
      <c r="H145" s="8"/>
      <c r="I145" s="8" t="s">
        <v>7248</v>
      </c>
      <c r="J145" s="8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s="8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s="8" t="s">
        <v>62</v>
      </c>
      <c r="E146" s="8" t="s">
        <v>7410</v>
      </c>
      <c r="F146" s="8" t="s">
        <v>51</v>
      </c>
      <c r="H146" s="8"/>
      <c r="I146" s="8" t="s">
        <v>7251</v>
      </c>
      <c r="J146" s="8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s="8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s="8" t="s">
        <v>2004</v>
      </c>
      <c r="E147" s="8"/>
      <c r="F147" s="8"/>
      <c r="H147" s="8"/>
      <c r="I147" s="8" t="s">
        <v>7418</v>
      </c>
      <c r="J147" s="8" t="s">
        <v>2981</v>
      </c>
      <c r="K147" t="s">
        <v>7419</v>
      </c>
      <c r="L147" t="s">
        <v>7420</v>
      </c>
      <c r="M147" s="3" t="str">
        <f>HYPERLINK(склад2въезд[[#This Row],[RelativePath]])</f>
        <v>1 Ангар Склад 2 въезд\E33149364_6_20251224T171054Z.jpg</v>
      </c>
      <c r="N147" s="8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s="8" t="s">
        <v>91</v>
      </c>
      <c r="E148" s="8" t="s">
        <v>7706</v>
      </c>
      <c r="F148" s="8" t="s">
        <v>60</v>
      </c>
      <c r="H148" s="8"/>
      <c r="I148" s="8" t="s">
        <v>7421</v>
      </c>
      <c r="J148" s="8" t="s">
        <v>2981</v>
      </c>
      <c r="K148" t="s">
        <v>7422</v>
      </c>
      <c r="L148" t="s">
        <v>7423</v>
      </c>
      <c r="M148" s="3" t="str">
        <f>HYPERLINK(склад2въезд[[#This Row],[RelativePath]])</f>
        <v>1 Ангар Склад 2 въезд\E33149364_6_20251224T211527Z.jpg</v>
      </c>
      <c r="N148" s="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s="8" t="s">
        <v>62</v>
      </c>
      <c r="E149" s="8" t="s">
        <v>7706</v>
      </c>
      <c r="F149" s="8" t="s">
        <v>51</v>
      </c>
      <c r="H149" s="8"/>
      <c r="I149" s="8" t="s">
        <v>7424</v>
      </c>
      <c r="J149" s="8" t="s">
        <v>2981</v>
      </c>
      <c r="K149" t="s">
        <v>7425</v>
      </c>
      <c r="L149" t="s">
        <v>7426</v>
      </c>
      <c r="M149" s="3" t="str">
        <f>HYPERLINK(склад2въезд[[#This Row],[RelativePath]])</f>
        <v>1 Ангар Склад 2 въезд\E33149364_6_20251225T114910Z.jpg</v>
      </c>
      <c r="N149" s="8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s="8" t="s">
        <v>91</v>
      </c>
      <c r="E150" s="8" t="s">
        <v>70</v>
      </c>
      <c r="F150" s="8" t="s">
        <v>51</v>
      </c>
      <c r="H150" s="8"/>
      <c r="I150" s="8" t="s">
        <v>7427</v>
      </c>
      <c r="J150" s="8" t="s">
        <v>2981</v>
      </c>
      <c r="K150" t="s">
        <v>7428</v>
      </c>
      <c r="L150" t="s">
        <v>7429</v>
      </c>
      <c r="M150" s="3" t="str">
        <f>HYPERLINK(склад2въезд[[#This Row],[RelativePath]])</f>
        <v>1 Ангар Склад 2 въезд\E33149364_6_20251225T115604Z.jpg</v>
      </c>
      <c r="N150" s="8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s="8" t="s">
        <v>91</v>
      </c>
      <c r="E151" s="8" t="s">
        <v>4193</v>
      </c>
      <c r="F151" s="8" t="s">
        <v>51</v>
      </c>
      <c r="H151" s="8"/>
      <c r="I151" s="8" t="s">
        <v>7430</v>
      </c>
      <c r="J151" s="8" t="s">
        <v>2981</v>
      </c>
      <c r="K151" t="s">
        <v>7431</v>
      </c>
      <c r="L151" t="s">
        <v>7432</v>
      </c>
      <c r="M151" s="3" t="str">
        <f>HYPERLINK(склад2въезд[[#This Row],[RelativePath]])</f>
        <v>1 Ангар Склад 2 въезд\E33149364_6_20251225T121541Z.jpg</v>
      </c>
      <c r="N151" s="8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s="8" t="s">
        <v>62</v>
      </c>
      <c r="E152" s="8" t="s">
        <v>70</v>
      </c>
      <c r="F152" s="8" t="s">
        <v>58</v>
      </c>
      <c r="H152" s="8"/>
      <c r="I152" s="8" t="s">
        <v>7433</v>
      </c>
      <c r="J152" s="8" t="s">
        <v>2981</v>
      </c>
      <c r="K152" t="s">
        <v>7434</v>
      </c>
      <c r="L152" t="s">
        <v>7435</v>
      </c>
      <c r="M152" s="3" t="str">
        <f>HYPERLINK(склад2въезд[[#This Row],[RelativePath]])</f>
        <v>1 Ангар Склад 2 въезд\E33149364_6_20251225T121604Z.jpg</v>
      </c>
      <c r="N152" s="8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s="8" t="s">
        <v>62</v>
      </c>
      <c r="E153" s="8" t="s">
        <v>4193</v>
      </c>
      <c r="F153" s="8" t="s">
        <v>4240</v>
      </c>
      <c r="H153" s="8"/>
      <c r="I153" s="8" t="s">
        <v>7436</v>
      </c>
      <c r="J153" s="8" t="s">
        <v>2981</v>
      </c>
      <c r="K153" t="s">
        <v>7437</v>
      </c>
      <c r="L153" t="s">
        <v>7438</v>
      </c>
      <c r="M153" s="3" t="str">
        <f>HYPERLINK(склад2въезд[[#This Row],[RelativePath]])</f>
        <v>1 Ангар Склад 2 въезд\E33149364_6_20251225T145721Z.jpg</v>
      </c>
      <c r="N153" s="8" t="str">
        <f>VLOOKUP(склад2въезд[[#This Row],[Name]], СпрСобытий!$F:$G, 2, FALSE)</f>
        <v>Ангар Склад 2 въезд</v>
      </c>
    </row>
    <row r="154" spans="1:14" x14ac:dyDescent="0.25">
      <c r="A154" s="2" t="s">
        <v>17</v>
      </c>
      <c r="B154" s="4">
        <v>46017</v>
      </c>
      <c r="C154" s="5">
        <v>0.41902777777777778</v>
      </c>
      <c r="D154" s="8" t="s">
        <v>91</v>
      </c>
      <c r="E154" s="8" t="s">
        <v>4193</v>
      </c>
      <c r="F154" s="8" t="s">
        <v>5076</v>
      </c>
      <c r="H154" s="8"/>
      <c r="I154" s="8" t="s">
        <v>7723</v>
      </c>
      <c r="J154" s="8" t="s">
        <v>2981</v>
      </c>
      <c r="K154" t="s">
        <v>7724</v>
      </c>
      <c r="L154" t="s">
        <v>7725</v>
      </c>
      <c r="M154" s="3" t="str">
        <f>HYPERLINK(склад2въезд[[#This Row],[RelativePath]])</f>
        <v>1 Ангар Склад 2 въезд\E33149364_6_20251226T100324Z.jpg</v>
      </c>
      <c r="N154" s="8" t="str">
        <f>VLOOKUP(склад2въезд[[#This Row],[Name]], СпрСобытий!$F:$G, 2, FALSE)</f>
        <v>Ангар Склад 2 въезд</v>
      </c>
    </row>
    <row r="155" spans="1:14" x14ac:dyDescent="0.25">
      <c r="A155" s="2" t="s">
        <v>17</v>
      </c>
      <c r="B155" s="4">
        <v>46017</v>
      </c>
      <c r="C155" s="5">
        <v>0.49219907407407409</v>
      </c>
      <c r="D155" s="8" t="s">
        <v>62</v>
      </c>
      <c r="E155" s="8" t="s">
        <v>4193</v>
      </c>
      <c r="F155" s="8" t="s">
        <v>5076</v>
      </c>
      <c r="H155" s="8"/>
      <c r="I155" s="8" t="s">
        <v>7726</v>
      </c>
      <c r="J155" s="8" t="s">
        <v>2981</v>
      </c>
      <c r="K155" t="s">
        <v>7727</v>
      </c>
      <c r="L155" t="s">
        <v>7728</v>
      </c>
      <c r="M155" s="3" t="str">
        <f>HYPERLINK(склад2въезд[[#This Row],[RelativePath]])</f>
        <v>1 Ангар Склад 2 въезд\E33149364_6_20251226T114846Z.jpg</v>
      </c>
      <c r="N155" s="8" t="str">
        <f>VLOOKUP(склад2въезд[[#This Row],[Name]], СпрСобытий!$F:$G, 2, FALSE)</f>
        <v>Ангар Склад 2 въезд</v>
      </c>
    </row>
    <row r="156" spans="1:14" x14ac:dyDescent="0.25">
      <c r="A156" s="2" t="s">
        <v>18</v>
      </c>
      <c r="B156" s="4">
        <v>46018</v>
      </c>
      <c r="C156" s="5">
        <v>0.43266203703703704</v>
      </c>
      <c r="D156" s="8" t="s">
        <v>64</v>
      </c>
      <c r="E156" s="8" t="s">
        <v>4193</v>
      </c>
      <c r="F156" s="8" t="s">
        <v>5076</v>
      </c>
      <c r="H156" s="8"/>
      <c r="I156" s="8" t="s">
        <v>7890</v>
      </c>
      <c r="J156" s="8" t="s">
        <v>2981</v>
      </c>
      <c r="K156" t="s">
        <v>7891</v>
      </c>
      <c r="L156" t="s">
        <v>7892</v>
      </c>
      <c r="M156" s="3" t="str">
        <f>HYPERLINK(склад2въезд[[#This Row],[RelativePath]])</f>
        <v>1 Ангар Склад 2 въезд\E33149364_6_20251227T102302Z.jpg</v>
      </c>
      <c r="N156" s="8" t="str">
        <f>VLOOKUP(склад2въезд[[#This Row],[Name]], СпрСобытий!$F:$G, 2, FALSE)</f>
        <v>Ангар Склад 2 въезд</v>
      </c>
    </row>
    <row r="157" spans="1:14" x14ac:dyDescent="0.25">
      <c r="A157" s="2" t="s">
        <v>18</v>
      </c>
      <c r="B157" s="4">
        <v>46018</v>
      </c>
      <c r="C157" s="5">
        <v>0.58099537037037041</v>
      </c>
      <c r="D157" s="8" t="s">
        <v>85</v>
      </c>
      <c r="E157" s="8" t="s">
        <v>4193</v>
      </c>
      <c r="F157" s="8" t="s">
        <v>5076</v>
      </c>
      <c r="H157" s="8"/>
      <c r="I157" s="8" t="s">
        <v>7893</v>
      </c>
      <c r="J157" s="8" t="s">
        <v>2981</v>
      </c>
      <c r="K157" t="s">
        <v>7894</v>
      </c>
      <c r="L157" t="s">
        <v>7895</v>
      </c>
      <c r="M157" s="3" t="str">
        <f>HYPERLINK(склад2въезд[[#This Row],[RelativePath]])</f>
        <v>1 Ангар Склад 2 въезд\E33149364_6_20251227T135638Z.jpg</v>
      </c>
      <c r="N157" s="8" t="str">
        <f>VLOOKUP(склад2въезд[[#This Row],[Name]], СпрСобытий!$F:$G, 2, FALSE)</f>
        <v>Ангар Склад 2 въезд</v>
      </c>
    </row>
    <row r="158" spans="1:14" x14ac:dyDescent="0.25">
      <c r="A158" s="2" t="s">
        <v>18</v>
      </c>
      <c r="B158" s="4">
        <v>46018</v>
      </c>
      <c r="C158" s="5">
        <v>0.59091435185185182</v>
      </c>
      <c r="D158" s="8" t="s">
        <v>91</v>
      </c>
      <c r="E158" s="8" t="s">
        <v>6329</v>
      </c>
      <c r="F158" s="8" t="s">
        <v>5076</v>
      </c>
      <c r="H158" s="8"/>
      <c r="I158" s="8" t="s">
        <v>7896</v>
      </c>
      <c r="J158" s="8" t="s">
        <v>2981</v>
      </c>
      <c r="K158" t="s">
        <v>7897</v>
      </c>
      <c r="L158" t="s">
        <v>7898</v>
      </c>
      <c r="M158" s="3" t="str">
        <f>HYPERLINK(склад2въезд[[#This Row],[RelativePath]])</f>
        <v>1 Ангар Склад 2 въезд\E33149364_6_20251227T141055Z.jpg</v>
      </c>
      <c r="N158" s="8" t="str">
        <f>VLOOKUP(склад2въезд[[#This Row],[Name]], СпрСобытий!$F:$G, 2, FALSE)</f>
        <v>Ангар Склад 2 въезд</v>
      </c>
    </row>
    <row r="159" spans="1:14" x14ac:dyDescent="0.25">
      <c r="A159" s="2" t="s">
        <v>18</v>
      </c>
      <c r="B159" s="4">
        <v>46018</v>
      </c>
      <c r="C159" s="5">
        <v>0.61064814814814816</v>
      </c>
      <c r="D159" s="8" t="s">
        <v>62</v>
      </c>
      <c r="E159" s="8" t="s">
        <v>6329</v>
      </c>
      <c r="F159" s="8" t="s">
        <v>5076</v>
      </c>
      <c r="H159" s="8"/>
      <c r="I159" s="8" t="s">
        <v>7899</v>
      </c>
      <c r="J159" s="8" t="s">
        <v>2981</v>
      </c>
      <c r="K159" t="s">
        <v>7900</v>
      </c>
      <c r="L159" t="s">
        <v>7901</v>
      </c>
      <c r="M159" s="3" t="str">
        <f>HYPERLINK(склад2въезд[[#This Row],[RelativePath]])</f>
        <v>1 Ангар Склад 2 въезд\E33149364_6_20251227T143920Z.jpg</v>
      </c>
      <c r="N159" s="8" t="str">
        <f>VLOOKUP(склад2въезд[[#This Row],[Name]], СпрСобытий!$F:$G, 2, FALSE)</f>
        <v>Ангар Склад 2 въезд</v>
      </c>
    </row>
    <row r="160" spans="1:14" x14ac:dyDescent="0.25">
      <c r="A160" s="2" t="s">
        <v>22</v>
      </c>
      <c r="B160" s="4">
        <v>46019</v>
      </c>
      <c r="C160" s="5">
        <v>0.50267361111111108</v>
      </c>
      <c r="D160" s="8" t="s">
        <v>91</v>
      </c>
      <c r="E160" s="8" t="s">
        <v>4193</v>
      </c>
      <c r="F160" s="8" t="s">
        <v>5076</v>
      </c>
      <c r="H160" s="8"/>
      <c r="I160" s="8" t="s">
        <v>7902</v>
      </c>
      <c r="J160" s="8" t="s">
        <v>2981</v>
      </c>
      <c r="K160" t="s">
        <v>7903</v>
      </c>
      <c r="L160" t="s">
        <v>7904</v>
      </c>
      <c r="M160" s="3" t="str">
        <f>HYPERLINK(склад2въезд[[#This Row],[RelativePath]])</f>
        <v>1 Ангар Склад 2 въезд\E33149364_6_20251228T120351Z.jpg</v>
      </c>
      <c r="N160" s="8" t="str">
        <f>VLOOKUP(склад2въезд[[#This Row],[Name]], СпрСобытий!$F:$G, 2, FALSE)</f>
        <v>Ангар Склад 2 въезд</v>
      </c>
    </row>
    <row r="161" spans="1:14" x14ac:dyDescent="0.25">
      <c r="A161" s="2" t="s">
        <v>22</v>
      </c>
      <c r="B161" s="4">
        <v>46019</v>
      </c>
      <c r="C161" s="5">
        <v>0.50665509259259256</v>
      </c>
      <c r="D161" s="8" t="s">
        <v>62</v>
      </c>
      <c r="E161" s="8" t="s">
        <v>4193</v>
      </c>
      <c r="F161" s="8" t="s">
        <v>5076</v>
      </c>
      <c r="H161" s="8"/>
      <c r="I161" s="8" t="s">
        <v>7905</v>
      </c>
      <c r="J161" s="8" t="s">
        <v>2981</v>
      </c>
      <c r="K161" t="s">
        <v>7906</v>
      </c>
      <c r="L161" t="s">
        <v>7907</v>
      </c>
      <c r="M161" s="3" t="str">
        <f>HYPERLINK(склад2въезд[[#This Row],[RelativePath]])</f>
        <v>1 Ангар Склад 2 въезд\E33149364_6_20251228T120935Z.jpg</v>
      </c>
      <c r="N161" s="8" t="str">
        <f>VLOOKUP(склад2въезд[[#This Row],[Name]], СпрСобытий!$F:$G, 2, FALSE)</f>
        <v>Ангар Склад 2 въезд</v>
      </c>
    </row>
    <row r="162" spans="1:14" x14ac:dyDescent="0.25">
      <c r="A162" s="2" t="s">
        <v>22</v>
      </c>
      <c r="B162" s="4">
        <v>46019</v>
      </c>
      <c r="C162" s="5">
        <v>0.50677083333333328</v>
      </c>
      <c r="D162" s="8" t="s">
        <v>8040</v>
      </c>
      <c r="E162" s="8" t="s">
        <v>4193</v>
      </c>
      <c r="F162" s="8" t="s">
        <v>5076</v>
      </c>
      <c r="H162" s="8"/>
      <c r="I162" s="8" t="s">
        <v>7908</v>
      </c>
      <c r="J162" s="8" t="s">
        <v>2981</v>
      </c>
      <c r="K162" t="s">
        <v>7909</v>
      </c>
      <c r="L162" t="s">
        <v>7910</v>
      </c>
      <c r="M162" s="3" t="str">
        <f>HYPERLINK(склад2въезд[[#This Row],[RelativePath]])</f>
        <v>1 Ангар Склад 2 въезд\E33149364_6_20251228T120945Z.jpg</v>
      </c>
      <c r="N162" s="8" t="str">
        <f>VLOOKUP(склад2въезд[[#This Row],[Name]], СпрСобытий!$F:$G, 2, FALSE)</f>
        <v>Ангар Склад 2 въезд</v>
      </c>
    </row>
    <row r="163" spans="1:14" x14ac:dyDescent="0.25">
      <c r="A163" s="2" t="s">
        <v>22</v>
      </c>
      <c r="B163" s="4">
        <v>46019</v>
      </c>
      <c r="C163" s="5">
        <v>0.50702546296296291</v>
      </c>
      <c r="D163" s="8" t="s">
        <v>64</v>
      </c>
      <c r="E163" s="8" t="s">
        <v>4193</v>
      </c>
      <c r="F163" s="8" t="s">
        <v>5076</v>
      </c>
      <c r="H163" s="8"/>
      <c r="I163" s="8" t="s">
        <v>7911</v>
      </c>
      <c r="J163" s="8" t="s">
        <v>2981</v>
      </c>
      <c r="K163" t="s">
        <v>7912</v>
      </c>
      <c r="L163" t="s">
        <v>7913</v>
      </c>
      <c r="M163" s="3" t="str">
        <f>HYPERLINK(склад2въезд[[#This Row],[RelativePath]])</f>
        <v>1 Ангар Склад 2 въезд\E33149364_6_20251228T121007Z.jpg</v>
      </c>
      <c r="N163" s="8" t="str">
        <f>VLOOKUP(склад2въезд[[#This Row],[Name]], СпрСобытий!$F:$G, 2, FALSE)</f>
        <v>Ангар Склад 2 въезд</v>
      </c>
    </row>
    <row r="164" spans="1:14" x14ac:dyDescent="0.25">
      <c r="A164" s="2" t="s">
        <v>22</v>
      </c>
      <c r="B164" s="4">
        <v>46019</v>
      </c>
      <c r="C164" s="5">
        <v>0.55590277777777775</v>
      </c>
      <c r="D164" s="8" t="s">
        <v>62</v>
      </c>
      <c r="E164" s="8" t="s">
        <v>6190</v>
      </c>
      <c r="F164" s="8" t="s">
        <v>51</v>
      </c>
      <c r="H164" s="8"/>
      <c r="I164" s="8" t="s">
        <v>7914</v>
      </c>
      <c r="J164" s="8" t="s">
        <v>2981</v>
      </c>
      <c r="K164" t="s">
        <v>7915</v>
      </c>
      <c r="L164" t="s">
        <v>7916</v>
      </c>
      <c r="M164" s="3" t="str">
        <f>HYPERLINK(склад2въезд[[#This Row],[RelativePath]])</f>
        <v>1 Ангар Склад 2 въезд\E33149364_6_20251228T132030Z.jpg</v>
      </c>
      <c r="N164" s="8" t="str">
        <f>VLOOKUP(склад2въезд[[#This Row],[Name]], СпрСобытий!$F:$G, 2, FALSE)</f>
        <v>Ангар Склад 2 въезд</v>
      </c>
    </row>
    <row r="165" spans="1:14" x14ac:dyDescent="0.25">
      <c r="A165" s="2" t="s">
        <v>22</v>
      </c>
      <c r="B165" s="4">
        <v>46019</v>
      </c>
      <c r="C165" s="5">
        <v>0.64039351851851856</v>
      </c>
      <c r="D165" s="8" t="s">
        <v>85</v>
      </c>
      <c r="E165" s="8" t="s">
        <v>4193</v>
      </c>
      <c r="F165" s="8" t="s">
        <v>5076</v>
      </c>
      <c r="H165" s="8"/>
      <c r="I165" s="8" t="s">
        <v>7917</v>
      </c>
      <c r="J165" s="8" t="s">
        <v>2981</v>
      </c>
      <c r="K165" t="s">
        <v>7918</v>
      </c>
      <c r="L165" t="s">
        <v>7919</v>
      </c>
      <c r="M165" s="3" t="str">
        <f>HYPERLINK(склад2въезд[[#This Row],[RelativePath]])</f>
        <v>1 Ангар Склад 2 въезд\E33149364_6_20251228T152210Z.jpg</v>
      </c>
      <c r="N165" s="8" t="str">
        <f>VLOOKUP(склад2въезд[[#This Row],[Name]], СпрСобытий!$F:$G, 2, FALSE)</f>
        <v>Ангар Склад 2 въезд</v>
      </c>
    </row>
    <row r="166" spans="1:14" x14ac:dyDescent="0.25">
      <c r="A166" s="2" t="s">
        <v>22</v>
      </c>
      <c r="B166" s="4">
        <v>46019</v>
      </c>
      <c r="C166" s="5">
        <v>0.66840277777777779</v>
      </c>
      <c r="D166" s="8" t="s">
        <v>91</v>
      </c>
      <c r="E166" s="8" t="s">
        <v>8041</v>
      </c>
      <c r="F166" s="8"/>
      <c r="H166" s="8"/>
      <c r="I166" s="8" t="s">
        <v>7920</v>
      </c>
      <c r="J166" s="8" t="s">
        <v>2981</v>
      </c>
      <c r="K166" t="s">
        <v>7921</v>
      </c>
      <c r="L166" t="s">
        <v>7922</v>
      </c>
      <c r="M166" s="3" t="str">
        <f>HYPERLINK(склад2въезд[[#This Row],[RelativePath]])</f>
        <v>1 Ангар Склад 2 въезд\E33149364_6_20251228T160230Z.jpg</v>
      </c>
      <c r="N166" s="8" t="str">
        <f>VLOOKUP(склад2въезд[[#This Row],[Name]], СпрСобытий!$F:$G, 2, FALSE)</f>
        <v>Ангар Склад 2 въезд</v>
      </c>
    </row>
    <row r="167" spans="1:14" x14ac:dyDescent="0.25">
      <c r="A167" s="2" t="s">
        <v>22</v>
      </c>
      <c r="B167" s="4">
        <v>46019</v>
      </c>
      <c r="C167" s="5">
        <v>0.66979166666666667</v>
      </c>
      <c r="D167" s="8" t="s">
        <v>62</v>
      </c>
      <c r="E167" s="8" t="s">
        <v>8041</v>
      </c>
      <c r="F167" s="8"/>
      <c r="H167" s="8"/>
      <c r="I167" s="8" t="s">
        <v>7923</v>
      </c>
      <c r="J167" s="8" t="s">
        <v>2981</v>
      </c>
      <c r="K167" t="s">
        <v>7924</v>
      </c>
      <c r="L167" t="s">
        <v>7925</v>
      </c>
      <c r="M167" s="3" t="str">
        <f>HYPERLINK(склад2въезд[[#This Row],[RelativePath]])</f>
        <v>1 Ангар Склад 2 въезд\E33149364_6_20251228T160430Z.jpg</v>
      </c>
      <c r="N167" s="8" t="str">
        <f>VLOOKUP(склад2въезд[[#This Row],[Name]], СпрСобытий!$F:$G, 2, FALSE)</f>
        <v>Ангар Склад 2 въезд</v>
      </c>
    </row>
    <row r="168" spans="1:14" x14ac:dyDescent="0.25">
      <c r="A168" s="2" t="s">
        <v>22</v>
      </c>
      <c r="B168" s="4">
        <v>46019</v>
      </c>
      <c r="C168" s="5">
        <v>0.88868055555555558</v>
      </c>
      <c r="D168" s="8" t="s">
        <v>91</v>
      </c>
      <c r="E168" s="8" t="s">
        <v>6190</v>
      </c>
      <c r="F168" s="8" t="s">
        <v>51</v>
      </c>
      <c r="H168" s="8"/>
      <c r="I168" s="8" t="s">
        <v>7926</v>
      </c>
      <c r="J168" s="8" t="s">
        <v>2981</v>
      </c>
      <c r="K168" t="s">
        <v>7927</v>
      </c>
      <c r="L168" t="s">
        <v>7928</v>
      </c>
      <c r="M168" s="3" t="str">
        <f>HYPERLINK(склад2въезд[[#This Row],[RelativePath]])</f>
        <v>1 Ангар Склад 2 въезд\E33149364_6_20251228T211942Z.jpg</v>
      </c>
      <c r="N168" s="8" t="str">
        <f>VLOOKUP(склад2въезд[[#This Row],[Name]], СпрСобытий!$F:$G, 2, FALSE)</f>
        <v>Ангар Склад 2 въезд</v>
      </c>
    </row>
    <row r="169" spans="1:14" x14ac:dyDescent="0.25">
      <c r="A169" s="2" t="s">
        <v>13</v>
      </c>
      <c r="B169" s="4">
        <v>46020</v>
      </c>
      <c r="C169" s="5">
        <v>0.50027777777777782</v>
      </c>
      <c r="D169" s="8" t="s">
        <v>91</v>
      </c>
      <c r="E169" s="8" t="s">
        <v>70</v>
      </c>
      <c r="F169" s="8" t="s">
        <v>58</v>
      </c>
      <c r="H169" s="8"/>
      <c r="I169" s="8" t="s">
        <v>8054</v>
      </c>
      <c r="J169" s="8" t="s">
        <v>2981</v>
      </c>
      <c r="K169" t="s">
        <v>8055</v>
      </c>
      <c r="L169" t="s">
        <v>8056</v>
      </c>
      <c r="M169" s="3" t="str">
        <f>HYPERLINK(склад2въезд[[#This Row],[RelativePath]])</f>
        <v>1 Ангар Склад 2 въезд\E33149364_6_20251229T120024Z.jpg</v>
      </c>
      <c r="N169" s="8" t="str">
        <f>VLOOKUP(склад2въезд[[#This Row],[Name]], СпрСобытий!$F:$G, 2, FALSE)</f>
        <v>Ангар Склад 2 въезд</v>
      </c>
    </row>
    <row r="170" spans="1:14" x14ac:dyDescent="0.25">
      <c r="A170" s="2" t="s">
        <v>13</v>
      </c>
      <c r="B170" s="4">
        <v>46020</v>
      </c>
      <c r="C170" s="5">
        <v>0.51784722222222224</v>
      </c>
      <c r="D170" s="8" t="s">
        <v>62</v>
      </c>
      <c r="E170" s="8" t="s">
        <v>70</v>
      </c>
      <c r="F170" s="8" t="s">
        <v>51</v>
      </c>
      <c r="H170" s="8"/>
      <c r="I170" s="8" t="s">
        <v>8057</v>
      </c>
      <c r="J170" s="8" t="s">
        <v>2981</v>
      </c>
      <c r="K170" t="s">
        <v>8058</v>
      </c>
      <c r="L170" t="s">
        <v>8059</v>
      </c>
      <c r="M170" s="3" t="str">
        <f>HYPERLINK(склад2въезд[[#This Row],[RelativePath]])</f>
        <v>1 Ангар Склад 2 въезд\E33149364_6_20251229T122542Z.jpg</v>
      </c>
      <c r="N170" s="8" t="str">
        <f>VLOOKUP(склад2въезд[[#This Row],[Name]], СпрСобытий!$F:$G, 2, FALSE)</f>
        <v>Ангар Склад 2 въезд</v>
      </c>
    </row>
    <row r="171" spans="1:14" x14ac:dyDescent="0.25">
      <c r="A171" s="2" t="s">
        <v>13</v>
      </c>
      <c r="B171" s="4">
        <v>46020</v>
      </c>
      <c r="C171" s="5">
        <v>0.64018518518518519</v>
      </c>
      <c r="D171" s="8" t="s">
        <v>91</v>
      </c>
      <c r="E171" s="8" t="s">
        <v>70</v>
      </c>
      <c r="F171" s="8" t="s">
        <v>5076</v>
      </c>
      <c r="H171" s="8"/>
      <c r="I171" s="8" t="s">
        <v>8060</v>
      </c>
      <c r="J171" s="8" t="s">
        <v>2981</v>
      </c>
      <c r="K171" t="s">
        <v>8061</v>
      </c>
      <c r="L171" t="s">
        <v>8062</v>
      </c>
      <c r="M171" s="3" t="str">
        <f>HYPERLINK(склад2въезд[[#This Row],[RelativePath]])</f>
        <v>1 Ангар Склад 2 въезд\E33149364_6_20251229T152152Z.jpg</v>
      </c>
      <c r="N171" s="8" t="str">
        <f>VLOOKUP(склад2въезд[[#This Row],[Name]], СпрСобытий!$F:$G, 2, FALSE)</f>
        <v>Ангар Склад 2 въезд</v>
      </c>
    </row>
    <row r="172" spans="1:14" x14ac:dyDescent="0.25">
      <c r="A172" s="2" t="s">
        <v>14</v>
      </c>
      <c r="B172" s="4">
        <v>46021</v>
      </c>
      <c r="C172" s="5">
        <v>0.58412037037037035</v>
      </c>
      <c r="D172" s="8" t="s">
        <v>62</v>
      </c>
      <c r="E172" s="8" t="s">
        <v>70</v>
      </c>
      <c r="F172" s="8" t="s">
        <v>5076</v>
      </c>
      <c r="H172" s="8"/>
      <c r="I172" s="8" t="s">
        <v>8063</v>
      </c>
      <c r="J172" s="8" t="s">
        <v>2981</v>
      </c>
      <c r="K172" t="s">
        <v>8064</v>
      </c>
      <c r="L172" t="s">
        <v>8065</v>
      </c>
      <c r="M172" s="3" t="str">
        <f>HYPERLINK(склад2въезд[[#This Row],[RelativePath]])</f>
        <v>1 Ангар Склад 2 въезд\E33149364_6_20251230T140108Z.jpg</v>
      </c>
      <c r="N172" s="8" t="str">
        <f>VLOOKUP(склад2въезд[[#This Row],[Name]], СпрСобытий!$F:$G, 2, FALSE)</f>
        <v>Ангар Склад 2 въезд</v>
      </c>
    </row>
    <row r="173" spans="1:14" x14ac:dyDescent="0.25">
      <c r="A173" s="2" t="s">
        <v>14</v>
      </c>
      <c r="B173" s="4">
        <v>46021</v>
      </c>
      <c r="C173" s="5">
        <v>0.71136574074074077</v>
      </c>
      <c r="D173" s="8" t="s">
        <v>62</v>
      </c>
      <c r="E173" s="8" t="s">
        <v>6190</v>
      </c>
      <c r="F173" s="8" t="s">
        <v>51</v>
      </c>
      <c r="H173" s="8"/>
      <c r="I173" s="8" t="s">
        <v>8066</v>
      </c>
      <c r="J173" s="8" t="s">
        <v>2981</v>
      </c>
      <c r="K173" t="s">
        <v>8067</v>
      </c>
      <c r="L173" t="s">
        <v>8068</v>
      </c>
      <c r="M173" s="3" t="str">
        <f>HYPERLINK(склад2въезд[[#This Row],[RelativePath]])</f>
        <v>1 Ангар Склад 2 въезд\E33149364_6_20251230T170422Z.jpg</v>
      </c>
      <c r="N173" s="8" t="str">
        <f>VLOOKUP(склад2въезд[[#This Row],[Name]], СпрСобытий!$F:$G, 2, FALSE)</f>
        <v>Ангар Склад 2 въезд</v>
      </c>
    </row>
    <row r="174" spans="1:14" x14ac:dyDescent="0.25">
      <c r="A174" s="2" t="s">
        <v>14</v>
      </c>
      <c r="B174" s="4">
        <v>46021</v>
      </c>
      <c r="C174" s="5">
        <v>0.81103009259259262</v>
      </c>
      <c r="D174" s="8" t="s">
        <v>91</v>
      </c>
      <c r="E174" s="8" t="s">
        <v>6190</v>
      </c>
      <c r="F174" s="8" t="s">
        <v>51</v>
      </c>
      <c r="H174" s="8"/>
      <c r="I174" s="8" t="s">
        <v>8069</v>
      </c>
      <c r="J174" s="8" t="s">
        <v>2981</v>
      </c>
      <c r="K174" t="s">
        <v>8070</v>
      </c>
      <c r="L174" t="s">
        <v>8071</v>
      </c>
      <c r="M174" s="3" t="str">
        <f>HYPERLINK(склад2въезд[[#This Row],[RelativePath]])</f>
        <v>1 Ангар Склад 2 въезд\E33149364_6_20251230T192753Z.jpg</v>
      </c>
      <c r="N174" s="8" t="str">
        <f>VLOOKUP(склад2въезд[[#This Row],[Name]], СпрСобытий!$F:$G, 2, FALSE)</f>
        <v>Ангар Склад 2 въезд</v>
      </c>
    </row>
    <row r="175" spans="1:14" x14ac:dyDescent="0.25">
      <c r="A175" s="2" t="s">
        <v>15</v>
      </c>
      <c r="B175" s="4">
        <v>46022</v>
      </c>
      <c r="C175" s="5">
        <v>0.68437499999999996</v>
      </c>
      <c r="D175" s="8" t="s">
        <v>2004</v>
      </c>
      <c r="E175" s="8"/>
      <c r="F175" s="8"/>
      <c r="H175" s="8"/>
      <c r="I175" s="8" t="s">
        <v>8072</v>
      </c>
      <c r="J175" s="8" t="s">
        <v>2981</v>
      </c>
      <c r="K175" t="s">
        <v>8073</v>
      </c>
      <c r="L175" t="s">
        <v>8074</v>
      </c>
      <c r="M175" s="3" t="str">
        <f>HYPERLINK(склад2въезд[[#This Row],[RelativePath]])</f>
        <v>1 Ангар Склад 2 въезд\E33149364_6_20251231T162530Z.jpg</v>
      </c>
      <c r="N175" s="8" t="str">
        <f>VLOOKUP(склад2въезд[[#This Row],[Name]], СпрСобытий!$F:$G, 2, FALSE)</f>
        <v>Ангар Склад 2 въезд</v>
      </c>
    </row>
    <row r="176" spans="1:14" x14ac:dyDescent="0.25">
      <c r="A176" s="2" t="s">
        <v>16</v>
      </c>
      <c r="B176" s="4">
        <v>46023</v>
      </c>
      <c r="C176" s="5">
        <v>0.61648148148148152</v>
      </c>
      <c r="D176" s="8" t="s">
        <v>2004</v>
      </c>
      <c r="E176" s="8"/>
      <c r="F176" s="8"/>
      <c r="H176" s="8"/>
      <c r="I176" s="8" t="s">
        <v>8075</v>
      </c>
      <c r="J176" s="8" t="s">
        <v>2981</v>
      </c>
      <c r="K176" t="s">
        <v>8076</v>
      </c>
      <c r="L176" t="s">
        <v>8077</v>
      </c>
      <c r="M176" s="3" t="str">
        <f>HYPERLINK(склад2въезд[[#This Row],[RelativePath]])</f>
        <v>1 Ангар Склад 2 въезд\E33149364_6_20260101T144744Z.jpg</v>
      </c>
      <c r="N176" s="8" t="str">
        <f>VLOOKUP(склад2въезд[[#This Row],[Name]], СпрСобытий!$F:$G, 2, FALSE)</f>
        <v>Ангар Склад 2 въезд</v>
      </c>
    </row>
    <row r="177" spans="1:14" x14ac:dyDescent="0.25">
      <c r="A177" s="2" t="s">
        <v>17</v>
      </c>
      <c r="B177" s="4">
        <v>46024</v>
      </c>
      <c r="C177" s="5">
        <v>0.69949074074074069</v>
      </c>
      <c r="D177" s="8" t="s">
        <v>2004</v>
      </c>
      <c r="E177" s="8"/>
      <c r="F177" s="8"/>
      <c r="H177" s="8"/>
      <c r="I177" s="8" t="s">
        <v>8372</v>
      </c>
      <c r="J177" s="8" t="s">
        <v>2981</v>
      </c>
      <c r="K177" t="s">
        <v>8373</v>
      </c>
      <c r="L177" t="s">
        <v>8374</v>
      </c>
      <c r="M177" s="3" t="str">
        <f>HYPERLINK(склад2въезд[[#This Row],[RelativePath]])</f>
        <v>1 Ангар Склад 2 въезд\E33149364_6_20260102T164716Z.jpg</v>
      </c>
      <c r="N177" s="8" t="str">
        <f>VLOOKUP(склад2въезд[[#This Row],[Name]], СпрСобытий!$F:$G, 2, FALSE)</f>
        <v>Ангар Склад 2 въезд</v>
      </c>
    </row>
    <row r="178" spans="1:14" x14ac:dyDescent="0.25">
      <c r="A178" s="2" t="s">
        <v>18</v>
      </c>
      <c r="B178" s="4">
        <v>46025</v>
      </c>
      <c r="C178" s="5">
        <v>0.6738425925925926</v>
      </c>
      <c r="D178" s="8" t="s">
        <v>91</v>
      </c>
      <c r="E178" s="8" t="s">
        <v>8483</v>
      </c>
      <c r="F178" s="8"/>
      <c r="H178" s="8"/>
      <c r="I178" s="8" t="s">
        <v>8375</v>
      </c>
      <c r="J178" s="8" t="s">
        <v>2981</v>
      </c>
      <c r="K178" t="s">
        <v>8376</v>
      </c>
      <c r="L178" t="s">
        <v>8377</v>
      </c>
      <c r="M178" s="3" t="str">
        <f>HYPERLINK(склад2въезд[[#This Row],[RelativePath]])</f>
        <v>1 Ангар Склад 2 въезд\E33149364_6_20260103T161020Z.jpg</v>
      </c>
      <c r="N178" s="8" t="str">
        <f>VLOOKUP(склад2въезд[[#This Row],[Name]], СпрСобытий!$F:$G, 2, FALSE)</f>
        <v>Ангар Склад 2 въезд</v>
      </c>
    </row>
    <row r="179" spans="1:14" x14ac:dyDescent="0.25">
      <c r="A179" s="2" t="s">
        <v>18</v>
      </c>
      <c r="B179" s="4">
        <v>46025</v>
      </c>
      <c r="C179" s="5">
        <v>0.68744212962962958</v>
      </c>
      <c r="D179" s="8" t="s">
        <v>62</v>
      </c>
      <c r="E179" s="8" t="s">
        <v>8483</v>
      </c>
      <c r="F179" s="8"/>
      <c r="H179" s="8"/>
      <c r="I179" s="8" t="s">
        <v>8378</v>
      </c>
      <c r="J179" s="8" t="s">
        <v>2981</v>
      </c>
      <c r="K179" t="s">
        <v>8379</v>
      </c>
      <c r="L179" t="s">
        <v>8380</v>
      </c>
      <c r="M179" s="3" t="str">
        <f>HYPERLINK(склад2въезд[[#This Row],[RelativePath]])</f>
        <v>1 Ангар Склад 2 въезд\E33149364_6_20260103T162955Z.jpg</v>
      </c>
      <c r="N179" s="8" t="str">
        <f>VLOOKUP(склад2въезд[[#This Row],[Name]], СпрСобытий!$F:$G, 2, FALSE)</f>
        <v>Ангар Склад 2 въезд</v>
      </c>
    </row>
    <row r="180" spans="1:14" x14ac:dyDescent="0.25">
      <c r="A180" s="2" t="s">
        <v>22</v>
      </c>
      <c r="B180" s="4">
        <v>46026</v>
      </c>
      <c r="C180" s="5">
        <v>0.67313657407407412</v>
      </c>
      <c r="D180" s="8" t="s">
        <v>2004</v>
      </c>
      <c r="E180" s="8"/>
      <c r="F180" s="8"/>
      <c r="H180" s="8"/>
      <c r="I180" s="8" t="s">
        <v>8381</v>
      </c>
      <c r="J180" s="8" t="s">
        <v>2981</v>
      </c>
      <c r="K180" t="s">
        <v>8382</v>
      </c>
      <c r="L180" t="s">
        <v>8383</v>
      </c>
      <c r="M180" s="3" t="str">
        <f>HYPERLINK(склад2въезд[[#This Row],[RelativePath]])</f>
        <v>1 Ангар Склад 2 въезд\E33149364_6_20260104T160919Z.jpg</v>
      </c>
      <c r="N180" s="8" t="str">
        <f>VLOOKUP(склад2въезд[[#This Row],[Name]], СпрСобытий!$F:$G, 2, FALSE)</f>
        <v>Ангар Склад 2 въезд</v>
      </c>
    </row>
    <row r="181" spans="1:14" x14ac:dyDescent="0.25">
      <c r="A181" s="2" t="s">
        <v>13</v>
      </c>
      <c r="B181" s="4">
        <v>46027</v>
      </c>
      <c r="C181" s="5">
        <v>0.71673611111111113</v>
      </c>
      <c r="D181" s="8" t="s">
        <v>2004</v>
      </c>
      <c r="E181" s="8"/>
      <c r="F181" s="8"/>
      <c r="H181" s="8"/>
      <c r="I181" s="8" t="s">
        <v>8505</v>
      </c>
      <c r="J181" s="8" t="s">
        <v>2981</v>
      </c>
      <c r="K181" t="s">
        <v>8506</v>
      </c>
      <c r="L181" t="s">
        <v>8507</v>
      </c>
      <c r="M181" s="3" t="str">
        <f>HYPERLINK(склад2въезд[[#This Row],[RelativePath]])</f>
        <v>1 Ангар Склад 2 въезд\E33149364_6_20260105T171206Z.jpg</v>
      </c>
      <c r="N181" s="8" t="str">
        <f>VLOOKUP(склад2въезд[[#This Row],[Name]], СпрСобытий!$F:$G, 2, FALSE)</f>
        <v>Ангар Склад 2 въезд</v>
      </c>
    </row>
    <row r="182" spans="1:14" x14ac:dyDescent="0.25">
      <c r="A182" s="2" t="s">
        <v>14</v>
      </c>
      <c r="B182" s="4">
        <v>46028</v>
      </c>
      <c r="C182" s="5">
        <v>0.58434027777777775</v>
      </c>
      <c r="D182" s="8" t="s">
        <v>91</v>
      </c>
      <c r="E182" s="8" t="s">
        <v>8799</v>
      </c>
      <c r="F182" s="8"/>
      <c r="H182" s="8"/>
      <c r="I182" s="8" t="s">
        <v>8508</v>
      </c>
      <c r="J182" s="8" t="s">
        <v>2981</v>
      </c>
      <c r="K182" t="s">
        <v>8509</v>
      </c>
      <c r="L182" t="s">
        <v>8510</v>
      </c>
      <c r="M182" s="3" t="str">
        <f>HYPERLINK(склад2въезд[[#This Row],[RelativePath]])</f>
        <v>1 Ангар Склад 2 въезд\E33149364_6_20260106T140127Z.jpg</v>
      </c>
      <c r="N182" s="8" t="str">
        <f>VLOOKUP(склад2въезд[[#This Row],[Name]], СпрСобытий!$F:$G, 2, FALSE)</f>
        <v>Ангар Склад 2 въезд</v>
      </c>
    </row>
    <row r="183" spans="1:14" x14ac:dyDescent="0.25">
      <c r="A183" s="2" t="s">
        <v>14</v>
      </c>
      <c r="B183" s="4">
        <v>46028</v>
      </c>
      <c r="C183" s="5">
        <v>0.5905555555555555</v>
      </c>
      <c r="D183" s="8" t="s">
        <v>62</v>
      </c>
      <c r="E183" s="8" t="s">
        <v>8799</v>
      </c>
      <c r="F183" s="8"/>
      <c r="H183" s="8"/>
      <c r="I183" s="8" t="s">
        <v>8511</v>
      </c>
      <c r="J183" s="8" t="s">
        <v>2981</v>
      </c>
      <c r="K183" t="s">
        <v>8512</v>
      </c>
      <c r="L183" t="s">
        <v>8513</v>
      </c>
      <c r="M183" s="3" t="str">
        <f>HYPERLINK(склад2въезд[[#This Row],[RelativePath]])</f>
        <v>1 Ангар Склад 2 въезд\E33149364_6_20260106T141024Z.jpg</v>
      </c>
      <c r="N183" s="8" t="str">
        <f>VLOOKUP(склад2въезд[[#This Row],[Name]], СпрСобытий!$F:$G, 2, FALSE)</f>
        <v>Ангар Склад 2 въезд</v>
      </c>
    </row>
    <row r="184" spans="1:14" x14ac:dyDescent="0.25">
      <c r="A184" s="2" t="s">
        <v>15</v>
      </c>
      <c r="B184" s="4">
        <v>46029</v>
      </c>
      <c r="C184" s="5">
        <v>0.68150462962962965</v>
      </c>
      <c r="D184" s="8" t="s">
        <v>2004</v>
      </c>
      <c r="E184" s="8"/>
      <c r="F184" s="8"/>
      <c r="H184" s="8"/>
      <c r="I184" s="8" t="s">
        <v>8514</v>
      </c>
      <c r="J184" s="8" t="s">
        <v>2981</v>
      </c>
      <c r="K184" t="s">
        <v>8515</v>
      </c>
      <c r="L184" t="s">
        <v>8516</v>
      </c>
      <c r="M184" s="3" t="str">
        <f>HYPERLINK(склад2въезд[[#This Row],[RelativePath]])</f>
        <v>1 Ангар Склад 2 въезд\E33149364_6_20260107T162122Z.jpg</v>
      </c>
      <c r="N184" s="8" t="str">
        <f>VLOOKUP(склад2въезд[[#This Row],[Name]], СпрСобытий!$F:$G, 2, FALSE)</f>
        <v>Ангар Склад 2 въезд</v>
      </c>
    </row>
    <row r="185" spans="1:14" x14ac:dyDescent="0.25">
      <c r="A185" s="2" t="s">
        <v>16</v>
      </c>
      <c r="B185" s="4">
        <v>46030</v>
      </c>
      <c r="C185" s="5">
        <v>0.74810185185185185</v>
      </c>
      <c r="D185" s="8" t="s">
        <v>91</v>
      </c>
      <c r="E185" s="8" t="s">
        <v>8352</v>
      </c>
      <c r="F185" s="8"/>
      <c r="H185" s="8"/>
      <c r="I185" s="8" t="s">
        <v>8517</v>
      </c>
      <c r="J185" s="8" t="s">
        <v>2981</v>
      </c>
      <c r="K185" t="s">
        <v>8518</v>
      </c>
      <c r="L185" t="s">
        <v>8519</v>
      </c>
      <c r="M185" s="3" t="str">
        <f>HYPERLINK(склад2въезд[[#This Row],[RelativePath]])</f>
        <v>1 Ангар Склад 2 въезд\E33149364_6_20260108T175716Z.jpg</v>
      </c>
      <c r="N185" s="8" t="str">
        <f>VLOOKUP(склад2въезд[[#This Row],[Name]], СпрСобытий!$F:$G, 2, FALSE)</f>
        <v>Ангар Склад 2 въезд</v>
      </c>
    </row>
    <row r="186" spans="1:14" x14ac:dyDescent="0.25">
      <c r="A186" s="2" t="s">
        <v>16</v>
      </c>
      <c r="B186" s="4">
        <v>46030</v>
      </c>
      <c r="C186" s="5">
        <v>0.74912037037037038</v>
      </c>
      <c r="D186" s="8" t="s">
        <v>62</v>
      </c>
      <c r="E186" s="8" t="s">
        <v>8352</v>
      </c>
      <c r="F186" s="8"/>
      <c r="H186" s="8"/>
      <c r="I186" s="8" t="s">
        <v>8520</v>
      </c>
      <c r="J186" s="8" t="s">
        <v>2981</v>
      </c>
      <c r="K186" t="s">
        <v>8521</v>
      </c>
      <c r="L186" t="s">
        <v>8522</v>
      </c>
      <c r="M186" s="3" t="str">
        <f>HYPERLINK(склад2въезд[[#This Row],[RelativePath]])</f>
        <v>1 Ангар Склад 2 въезд\E33149364_6_20260108T175844Z.jpg</v>
      </c>
      <c r="N186" s="8" t="str">
        <f>VLOOKUP(склад2въезд[[#This Row],[Name]], СпрСобытий!$F:$G, 2, FALSE)</f>
        <v>Ангар Склад 2 въезд</v>
      </c>
    </row>
    <row r="187" spans="1:14" x14ac:dyDescent="0.25">
      <c r="A187" s="2" t="s">
        <v>17</v>
      </c>
      <c r="B187" s="4">
        <v>46031</v>
      </c>
      <c r="C187" s="5">
        <v>0.66922453703703699</v>
      </c>
      <c r="D187" s="8" t="s">
        <v>91</v>
      </c>
      <c r="E187" s="8" t="s">
        <v>8800</v>
      </c>
      <c r="F187" s="8"/>
      <c r="H187" s="8"/>
      <c r="I187" s="8" t="s">
        <v>8523</v>
      </c>
      <c r="J187" s="8" t="s">
        <v>2981</v>
      </c>
      <c r="K187" t="s">
        <v>8524</v>
      </c>
      <c r="L187" t="s">
        <v>8525</v>
      </c>
      <c r="M187" s="3" t="str">
        <f>HYPERLINK(склад2въезд[[#This Row],[RelativePath]])</f>
        <v>1 Ангар Склад 2 въезд\E33149364_6_20260109T160341Z.jpg</v>
      </c>
      <c r="N187" s="8" t="str">
        <f>VLOOKUP(склад2въезд[[#This Row],[Name]], СпрСобытий!$F:$G, 2, FALSE)</f>
        <v>Ангар Склад 2 въезд</v>
      </c>
    </row>
    <row r="188" spans="1:14" x14ac:dyDescent="0.25">
      <c r="A188" s="2" t="s">
        <v>17</v>
      </c>
      <c r="B188" s="4">
        <v>46031</v>
      </c>
      <c r="C188" s="5">
        <v>0.67459490740740746</v>
      </c>
      <c r="D188" s="8" t="s">
        <v>62</v>
      </c>
      <c r="E188" s="8" t="s">
        <v>8800</v>
      </c>
      <c r="F188" s="8"/>
      <c r="H188" s="8"/>
      <c r="I188" s="8" t="s">
        <v>8526</v>
      </c>
      <c r="J188" s="8" t="s">
        <v>2981</v>
      </c>
      <c r="K188" t="s">
        <v>8527</v>
      </c>
      <c r="L188" t="s">
        <v>8528</v>
      </c>
      <c r="M188" s="3" t="str">
        <f>HYPERLINK(склад2въезд[[#This Row],[RelativePath]])</f>
        <v>1 Ангар Склад 2 въезд\E33149364_6_20260109T161125Z.jpg</v>
      </c>
      <c r="N188" s="8" t="str">
        <f>VLOOKUP(склад2въезд[[#This Row],[Name]], СпрСобытий!$F:$G, 2, FALSE)</f>
        <v>Ангар Склад 2 въезд</v>
      </c>
    </row>
    <row r="189" spans="1:14" x14ac:dyDescent="0.25">
      <c r="A189" s="2" t="s">
        <v>18</v>
      </c>
      <c r="B189" s="4">
        <v>46032</v>
      </c>
      <c r="C189" s="5">
        <v>0.52962962962962967</v>
      </c>
      <c r="D189" s="8" t="s">
        <v>91</v>
      </c>
      <c r="E189" s="8" t="s">
        <v>8801</v>
      </c>
      <c r="F189" s="8"/>
      <c r="H189" s="8"/>
      <c r="I189" s="8" t="s">
        <v>8529</v>
      </c>
      <c r="J189" s="8" t="s">
        <v>2981</v>
      </c>
      <c r="K189" t="s">
        <v>8530</v>
      </c>
      <c r="L189" t="s">
        <v>8531</v>
      </c>
      <c r="M189" s="3" t="str">
        <f>HYPERLINK(склад2въезд[[#This Row],[RelativePath]])</f>
        <v>1 Ангар Склад 2 въезд\E33149364_6_20260110T124240Z.jpg</v>
      </c>
      <c r="N189" s="8" t="str">
        <f>VLOOKUP(склад2въезд[[#This Row],[Name]], СпрСобытий!$F:$G, 2, FALSE)</f>
        <v>Ангар Склад 2 въезд</v>
      </c>
    </row>
    <row r="190" spans="1:14" x14ac:dyDescent="0.25">
      <c r="A190" s="2" t="s">
        <v>18</v>
      </c>
      <c r="B190" s="4">
        <v>46032</v>
      </c>
      <c r="C190" s="5">
        <v>0.54556712962962961</v>
      </c>
      <c r="D190" s="8" t="s">
        <v>62</v>
      </c>
      <c r="E190" s="8" t="s">
        <v>8801</v>
      </c>
      <c r="F190" s="8"/>
      <c r="H190" s="8"/>
      <c r="I190" s="8" t="s">
        <v>8532</v>
      </c>
      <c r="J190" s="8" t="s">
        <v>2981</v>
      </c>
      <c r="K190" t="s">
        <v>8533</v>
      </c>
      <c r="L190" t="s">
        <v>8534</v>
      </c>
      <c r="M190" s="3" t="str">
        <f>HYPERLINK(склад2въезд[[#This Row],[RelativePath]])</f>
        <v>1 Ангар Склад 2 въезд\E33149364_6_20260110T130537Z.jpg</v>
      </c>
      <c r="N190" s="8" t="str">
        <f>VLOOKUP(склад2въезд[[#This Row],[Name]], СпрСобытий!$F:$G, 2, FALSE)</f>
        <v>Ангар Склад 2 въезд</v>
      </c>
    </row>
    <row r="191" spans="1:14" x14ac:dyDescent="0.25">
      <c r="A191" s="2" t="s">
        <v>18</v>
      </c>
      <c r="B191" s="4">
        <v>46032</v>
      </c>
      <c r="C191" s="5">
        <v>0.54728009259259258</v>
      </c>
      <c r="D191" s="8" t="s">
        <v>91</v>
      </c>
      <c r="E191" s="8" t="s">
        <v>8801</v>
      </c>
      <c r="F191" s="8"/>
      <c r="H191" s="8"/>
      <c r="I191" s="8" t="s">
        <v>8535</v>
      </c>
      <c r="J191" s="8" t="s">
        <v>2981</v>
      </c>
      <c r="K191" t="s">
        <v>8536</v>
      </c>
      <c r="L191" t="s">
        <v>8537</v>
      </c>
      <c r="M191" s="3" t="str">
        <f>HYPERLINK(склад2въезд[[#This Row],[RelativePath]])</f>
        <v>1 Ангар Склад 2 въезд\E33149364_6_20260110T130805Z.jpg</v>
      </c>
      <c r="N191" s="8" t="str">
        <f>VLOOKUP(склад2въезд[[#This Row],[Name]], СпрСобытий!$F:$G, 2, FALSE)</f>
        <v>Ангар Склад 2 въезд</v>
      </c>
    </row>
    <row r="192" spans="1:14" x14ac:dyDescent="0.25">
      <c r="A192" s="2" t="s">
        <v>18</v>
      </c>
      <c r="B192" s="4">
        <v>46032</v>
      </c>
      <c r="C192" s="5">
        <v>0.54745370370370372</v>
      </c>
      <c r="D192" s="8" t="s">
        <v>91</v>
      </c>
      <c r="E192" s="8" t="s">
        <v>8802</v>
      </c>
      <c r="F192" s="8"/>
      <c r="H192" s="8"/>
      <c r="I192" s="8" t="s">
        <v>8538</v>
      </c>
      <c r="J192" s="8" t="s">
        <v>2981</v>
      </c>
      <c r="K192" t="s">
        <v>8539</v>
      </c>
      <c r="L192" t="s">
        <v>8540</v>
      </c>
      <c r="M192" s="3" t="str">
        <f>HYPERLINK(склад2въезд[[#This Row],[RelativePath]])</f>
        <v>1 Ангар Склад 2 въезд\E33149364_6_20260110T130820Z.jpg</v>
      </c>
      <c r="N192" s="8" t="str">
        <f>VLOOKUP(склад2въезд[[#This Row],[Name]], СпрСобытий!$F:$G, 2, FALSE)</f>
        <v>Ангар Склад 2 въезд</v>
      </c>
    </row>
    <row r="193" spans="1:14" x14ac:dyDescent="0.25">
      <c r="A193" s="2" t="s">
        <v>18</v>
      </c>
      <c r="B193" s="4">
        <v>46032</v>
      </c>
      <c r="C193" s="5">
        <v>0.69012731481481482</v>
      </c>
      <c r="D193" s="8" t="s">
        <v>62</v>
      </c>
      <c r="E193" s="8" t="s">
        <v>8802</v>
      </c>
      <c r="F193" s="8"/>
      <c r="H193" s="8"/>
      <c r="I193" s="8" t="s">
        <v>8541</v>
      </c>
      <c r="J193" s="8" t="s">
        <v>2981</v>
      </c>
      <c r="K193" t="s">
        <v>8542</v>
      </c>
      <c r="L193" t="s">
        <v>8543</v>
      </c>
      <c r="M193" s="3" t="str">
        <f>HYPERLINK(склад2въезд[[#This Row],[RelativePath]])</f>
        <v>1 Ангар Склад 2 въезд\E33149364_6_20260110T163347Z.jpg</v>
      </c>
      <c r="N193" s="8" t="str">
        <f>VLOOKUP(склад2въезд[[#This Row],[Name]], СпрСобытий!$F:$G, 2, FALSE)</f>
        <v>Ангар Склад 2 въезд</v>
      </c>
    </row>
    <row r="194" spans="1:14" x14ac:dyDescent="0.25">
      <c r="A194" s="2" t="s">
        <v>18</v>
      </c>
      <c r="B194" s="4">
        <v>46032</v>
      </c>
      <c r="C194" s="5">
        <v>0.71297453703703706</v>
      </c>
      <c r="D194" s="8" t="s">
        <v>62</v>
      </c>
      <c r="E194" s="8" t="s">
        <v>8801</v>
      </c>
      <c r="F194" s="8"/>
      <c r="H194" s="8"/>
      <c r="I194" s="8" t="s">
        <v>8544</v>
      </c>
      <c r="J194" s="8" t="s">
        <v>2981</v>
      </c>
      <c r="K194" t="s">
        <v>8545</v>
      </c>
      <c r="L194" t="s">
        <v>8546</v>
      </c>
      <c r="M194" s="3" t="str">
        <f>HYPERLINK(склад2въезд[[#This Row],[RelativePath]])</f>
        <v>1 Ангар Склад 2 въезд\E33149364_6_20260110T170641Z.jpg</v>
      </c>
      <c r="N194" s="8" t="str">
        <f>VLOOKUP(склад2въезд[[#This Row],[Name]], СпрСобытий!$F:$G, 2, FALSE)</f>
        <v>Ангар Склад 2 въезд</v>
      </c>
    </row>
    <row r="195" spans="1:14" x14ac:dyDescent="0.25">
      <c r="A195" s="2" t="s">
        <v>22</v>
      </c>
      <c r="B195" s="4">
        <v>46033</v>
      </c>
      <c r="C195" s="5">
        <v>0.66902777777777778</v>
      </c>
      <c r="D195" s="8" t="s">
        <v>2004</v>
      </c>
      <c r="E195" s="8"/>
      <c r="F195" s="8"/>
      <c r="H195" s="8"/>
      <c r="I195" s="8" t="s">
        <v>8547</v>
      </c>
      <c r="J195" s="8" t="s">
        <v>2981</v>
      </c>
      <c r="K195" t="s">
        <v>8548</v>
      </c>
      <c r="L195" t="s">
        <v>8549</v>
      </c>
      <c r="M195" s="3" t="str">
        <f>HYPERLINK(склад2въезд[[#This Row],[RelativePath]])</f>
        <v>1 Ангар Склад 2 въезд\E33149364_6_20260111T160324Z.jpg</v>
      </c>
      <c r="N195" s="8" t="str">
        <f>VLOOKUP(склад2въезд[[#This Row],[Name]], СпрСобытий!$F:$G, 2, FALSE)</f>
        <v>Ангар Склад 2 въезд</v>
      </c>
    </row>
    <row r="196" spans="1:14" x14ac:dyDescent="0.25">
      <c r="A196" s="2" t="s">
        <v>22</v>
      </c>
      <c r="B196" s="4">
        <v>46033</v>
      </c>
      <c r="C196" s="5">
        <v>0.78604166666666664</v>
      </c>
      <c r="D196" s="8" t="s">
        <v>91</v>
      </c>
      <c r="E196" s="8" t="s">
        <v>8800</v>
      </c>
      <c r="F196" s="8"/>
      <c r="H196" s="8"/>
      <c r="I196" s="8" t="s">
        <v>8550</v>
      </c>
      <c r="J196" s="8" t="s">
        <v>2981</v>
      </c>
      <c r="K196" t="s">
        <v>8551</v>
      </c>
      <c r="L196" t="s">
        <v>8552</v>
      </c>
      <c r="M196" s="3" t="str">
        <f>HYPERLINK(склад2въезд[[#This Row],[RelativePath]])</f>
        <v>1 Ангар Склад 2 въезд\E33149364_6_20260111T185154Z.jpg</v>
      </c>
      <c r="N196" s="8" t="str">
        <f>VLOOKUP(склад2въезд[[#This Row],[Name]], СпрСобытий!$F:$G, 2, FALSE)</f>
        <v>Ангар Склад 2 въезд</v>
      </c>
    </row>
    <row r="197" spans="1:14" x14ac:dyDescent="0.25">
      <c r="A197" s="2" t="s">
        <v>22</v>
      </c>
      <c r="B197" s="4">
        <v>46033</v>
      </c>
      <c r="C197" s="5">
        <v>0.78712962962962962</v>
      </c>
      <c r="D197" s="8" t="s">
        <v>62</v>
      </c>
      <c r="E197" s="8" t="s">
        <v>8800</v>
      </c>
      <c r="F197" s="8"/>
      <c r="H197" s="8"/>
      <c r="I197" s="8" t="s">
        <v>8553</v>
      </c>
      <c r="J197" s="8" t="s">
        <v>2981</v>
      </c>
      <c r="K197" t="s">
        <v>8554</v>
      </c>
      <c r="L197" t="s">
        <v>8555</v>
      </c>
      <c r="M197" s="3" t="str">
        <f>HYPERLINK(склад2въезд[[#This Row],[RelativePath]])</f>
        <v>1 Ангар Склад 2 въезд\E33149364_6_20260111T185328Z.jpg</v>
      </c>
      <c r="N197" s="8" t="str">
        <f>VLOOKUP(склад2въезд[[#This Row],[Name]], СпрСобытий!$F:$G, 2, FALSE)</f>
        <v>Ангар Склад 2 въезд</v>
      </c>
    </row>
    <row r="198" spans="1:14" x14ac:dyDescent="0.25">
      <c r="A198" s="2" t="s">
        <v>13</v>
      </c>
      <c r="B198" s="4">
        <v>46034</v>
      </c>
      <c r="C198" s="5">
        <v>0.67710648148148145</v>
      </c>
      <c r="D198" s="8" t="s">
        <v>2004</v>
      </c>
      <c r="E198" s="8"/>
      <c r="F198" s="8"/>
      <c r="H198" s="8" t="s">
        <v>9186</v>
      </c>
      <c r="I198" s="8" t="s">
        <v>8852</v>
      </c>
      <c r="J198" s="8" t="s">
        <v>2981</v>
      </c>
      <c r="K198" t="s">
        <v>8853</v>
      </c>
      <c r="L198" t="s">
        <v>8854</v>
      </c>
      <c r="M198" s="3" t="str">
        <f>HYPERLINK(склад2въезд[[#This Row],[RelativePath]])</f>
        <v>1 Ангар Склад 2 въезд\E33149364_6_20260112T161502Z.jpg</v>
      </c>
      <c r="N198" s="8" t="str">
        <f>VLOOKUP(склад2въезд[[#This Row],[Name]], СпрСобытий!$F:$G, 2, FALSE)</f>
        <v>Ангар Склад 2 въезд</v>
      </c>
    </row>
    <row r="199" spans="1:14" x14ac:dyDescent="0.25">
      <c r="A199" s="2" t="s">
        <v>14</v>
      </c>
      <c r="B199" s="4">
        <v>46035</v>
      </c>
      <c r="C199" s="5">
        <v>0.41101851851851851</v>
      </c>
      <c r="D199" s="8" t="s">
        <v>91</v>
      </c>
      <c r="E199" s="8" t="s">
        <v>9187</v>
      </c>
      <c r="F199" s="8" t="s">
        <v>51</v>
      </c>
      <c r="H199" s="8"/>
      <c r="I199" s="8" t="s">
        <v>8855</v>
      </c>
      <c r="J199" s="8" t="s">
        <v>2981</v>
      </c>
      <c r="K199" t="s">
        <v>8856</v>
      </c>
      <c r="L199" t="s">
        <v>8857</v>
      </c>
      <c r="M199" s="3" t="str">
        <f>HYPERLINK(склад2въезд[[#This Row],[RelativePath]])</f>
        <v>1 Ангар Склад 2 въезд\E33149364_6_20260113T095152Z.jpg</v>
      </c>
      <c r="N199" s="8" t="str">
        <f>VLOOKUP(склад2въезд[[#This Row],[Name]], СпрСобытий!$F:$G, 2, FALSE)</f>
        <v>Ангар Склад 2 въезд</v>
      </c>
    </row>
    <row r="200" spans="1:14" x14ac:dyDescent="0.25">
      <c r="A200" s="2" t="s">
        <v>14</v>
      </c>
      <c r="B200" s="4">
        <v>46035</v>
      </c>
      <c r="C200" s="5">
        <v>0.41261574074074076</v>
      </c>
      <c r="D200" s="8" t="s">
        <v>62</v>
      </c>
      <c r="E200" s="8" t="s">
        <v>9187</v>
      </c>
      <c r="F200" s="8" t="s">
        <v>9188</v>
      </c>
      <c r="H200" s="8"/>
      <c r="I200" s="8" t="s">
        <v>8858</v>
      </c>
      <c r="J200" s="8" t="s">
        <v>2981</v>
      </c>
      <c r="K200" t="s">
        <v>8859</v>
      </c>
      <c r="L200" t="s">
        <v>8860</v>
      </c>
      <c r="M200" s="3" t="str">
        <f>HYPERLINK(склад2въезд[[#This Row],[RelativePath]])</f>
        <v>1 Ангар Склад 2 въезд\E33149364_6_20260113T095410Z.jpg</v>
      </c>
      <c r="N200" s="8" t="str">
        <f>VLOOKUP(склад2въезд[[#This Row],[Name]], СпрСобытий!$F:$G, 2, FALSE)</f>
        <v>Ангар Склад 2 въезд</v>
      </c>
    </row>
    <row r="201" spans="1:14" x14ac:dyDescent="0.25">
      <c r="A201" s="2" t="s">
        <v>15</v>
      </c>
      <c r="B201" s="4">
        <v>46036</v>
      </c>
      <c r="C201" s="5">
        <v>0.4987152777777778</v>
      </c>
      <c r="D201" s="8" t="s">
        <v>91</v>
      </c>
      <c r="E201" s="8" t="s">
        <v>4193</v>
      </c>
      <c r="F201" s="8" t="s">
        <v>5076</v>
      </c>
      <c r="H201" s="8"/>
      <c r="I201" s="8" t="s">
        <v>9243</v>
      </c>
      <c r="J201" s="8" t="s">
        <v>2981</v>
      </c>
      <c r="K201" t="s">
        <v>9244</v>
      </c>
      <c r="L201" t="s">
        <v>9245</v>
      </c>
      <c r="M201" s="3" t="str">
        <f>HYPERLINK(склад2въезд[[#This Row],[RelativePath]])</f>
        <v>1 Ангар Склад 2 въезд\E33149364_6_20260114T115809Z.jpg</v>
      </c>
      <c r="N201" s="8" t="str">
        <f>VLOOKUP(склад2въезд[[#This Row],[Name]], СпрСобытий!$F:$G, 2, FALSE)</f>
        <v>Ангар Склад 2 въезд</v>
      </c>
    </row>
    <row r="202" spans="1:14" x14ac:dyDescent="0.25">
      <c r="A202" s="2" t="s">
        <v>15</v>
      </c>
      <c r="B202" s="4">
        <v>46036</v>
      </c>
      <c r="C202" s="5">
        <v>0.70822916666666669</v>
      </c>
      <c r="D202" s="8" t="s">
        <v>62</v>
      </c>
      <c r="E202" s="8" t="s">
        <v>4193</v>
      </c>
      <c r="F202" s="8" t="s">
        <v>5076</v>
      </c>
      <c r="H202" s="8"/>
      <c r="I202" s="8" t="s">
        <v>9246</v>
      </c>
      <c r="J202" s="8" t="s">
        <v>2981</v>
      </c>
      <c r="K202" t="s">
        <v>9247</v>
      </c>
      <c r="L202" t="s">
        <v>9248</v>
      </c>
      <c r="M202" s="3" t="str">
        <f>HYPERLINK(склад2въезд[[#This Row],[RelativePath]])</f>
        <v>1 Ангар Склад 2 въезд\E33149364_6_20260114T165951Z.jpg</v>
      </c>
      <c r="N202" s="8" t="str">
        <f>VLOOKUP(склад2въезд[[#This Row],[Name]], СпрСобытий!$F:$G, 2, FALSE)</f>
        <v>Ангар Склад 2 въезд</v>
      </c>
    </row>
    <row r="203" spans="1:14" x14ac:dyDescent="0.25">
      <c r="A203" s="2" t="s">
        <v>16</v>
      </c>
      <c r="B203" s="4">
        <v>46037</v>
      </c>
      <c r="C203" s="5">
        <v>0.66037037037037039</v>
      </c>
      <c r="D203" s="8" t="s">
        <v>2004</v>
      </c>
      <c r="E203" s="8"/>
      <c r="F203" s="8"/>
      <c r="H203" s="8"/>
      <c r="I203" s="8" t="s">
        <v>9249</v>
      </c>
      <c r="J203" s="8" t="s">
        <v>2981</v>
      </c>
      <c r="K203" t="s">
        <v>9250</v>
      </c>
      <c r="L203" t="s">
        <v>9251</v>
      </c>
      <c r="M203" s="3" t="str">
        <f>HYPERLINK(склад2въезд[[#This Row],[RelativePath]])</f>
        <v>1 Ангар Склад 2 въезд\E33149364_6_20260115T155056Z.jpg</v>
      </c>
      <c r="N203" s="8" t="str">
        <f>VLOOKUP(склад2въезд[[#This Row],[Name]], СпрСобытий!$F:$G, 2, FALSE)</f>
        <v>Ангар Склад 2 въезд</v>
      </c>
    </row>
    <row r="204" spans="1:14" x14ac:dyDescent="0.25">
      <c r="A204" s="2" t="s">
        <v>17</v>
      </c>
      <c r="B204" s="4">
        <v>46038</v>
      </c>
      <c r="C204" s="5">
        <v>0.41836805555555556</v>
      </c>
      <c r="D204" s="8" t="s">
        <v>62</v>
      </c>
      <c r="E204" s="8" t="s">
        <v>8352</v>
      </c>
      <c r="F204" s="8" t="s">
        <v>2944</v>
      </c>
      <c r="H204" s="8" t="s">
        <v>9336</v>
      </c>
      <c r="I204" s="8" t="s">
        <v>9252</v>
      </c>
      <c r="J204" s="8" t="s">
        <v>2981</v>
      </c>
      <c r="K204" t="s">
        <v>9253</v>
      </c>
      <c r="L204" t="s">
        <v>9254</v>
      </c>
      <c r="M204" s="3" t="str">
        <f>HYPERLINK(склад2въезд[[#This Row],[RelativePath]])</f>
        <v>1 Ангар Склад 2 въезд\E33149364_6_20260116T100227Z.jpg</v>
      </c>
      <c r="N204" s="8" t="str">
        <f>VLOOKUP(склад2въезд[[#This Row],[Name]], СпрСобытий!$F:$G, 2, FALSE)</f>
        <v>Ангар Склад 2 въезд</v>
      </c>
    </row>
    <row r="205" spans="1:14" x14ac:dyDescent="0.25">
      <c r="A205" s="2" t="s">
        <v>18</v>
      </c>
      <c r="B205" s="4">
        <v>46039</v>
      </c>
      <c r="C205" s="5">
        <v>0.59502314814814816</v>
      </c>
      <c r="D205" s="8" t="s">
        <v>91</v>
      </c>
      <c r="E205" s="8" t="s">
        <v>6656</v>
      </c>
      <c r="F205" s="8" t="s">
        <v>51</v>
      </c>
      <c r="H205" s="8"/>
      <c r="I205" s="8" t="s">
        <v>9591</v>
      </c>
      <c r="J205" s="8" t="s">
        <v>2981</v>
      </c>
      <c r="K205" t="s">
        <v>9592</v>
      </c>
      <c r="L205" t="s">
        <v>9593</v>
      </c>
      <c r="M205" s="3" t="str">
        <f>HYPERLINK(склад2въезд[[#This Row],[RelativePath]])</f>
        <v>1 Ангар Склад 2 въезд\E33149364_6_20260117T141650Z.jpg</v>
      </c>
      <c r="N205" s="8" t="str">
        <f>VLOOKUP(склад2въезд[[#This Row],[Name]], СпрСобытий!$F:$G, 2, FALSE)</f>
        <v>Ангар Склад 2 въезд</v>
      </c>
    </row>
    <row r="206" spans="1:14" x14ac:dyDescent="0.25">
      <c r="A206" s="2" t="s">
        <v>18</v>
      </c>
      <c r="B206" s="4">
        <v>46039</v>
      </c>
      <c r="C206" s="5">
        <v>0.61209490740740746</v>
      </c>
      <c r="D206" s="8" t="s">
        <v>62</v>
      </c>
      <c r="E206" s="8" t="s">
        <v>6656</v>
      </c>
      <c r="F206" s="8" t="s">
        <v>4240</v>
      </c>
      <c r="H206" s="8"/>
      <c r="I206" s="8" t="s">
        <v>9594</v>
      </c>
      <c r="J206" s="8" t="s">
        <v>2981</v>
      </c>
      <c r="K206" t="s">
        <v>9595</v>
      </c>
      <c r="L206" t="s">
        <v>9596</v>
      </c>
      <c r="M206" s="3" t="str">
        <f>HYPERLINK(склад2въезд[[#This Row],[RelativePath]])</f>
        <v>1 Ангар Склад 2 въезд\E33149364_6_20260117T144125Z.jpg</v>
      </c>
      <c r="N206" s="8" t="str">
        <f>VLOOKUP(склад2въезд[[#This Row],[Name]], СпрСобытий!$F:$G, 2, FALSE)</f>
        <v>Ангар Склад 2 въезд</v>
      </c>
    </row>
    <row r="207" spans="1:14" x14ac:dyDescent="0.25">
      <c r="A207" s="2" t="s">
        <v>18</v>
      </c>
      <c r="B207" s="4">
        <v>46039</v>
      </c>
      <c r="C207" s="5">
        <v>0.61331018518518521</v>
      </c>
      <c r="D207" s="8" t="s">
        <v>91</v>
      </c>
      <c r="E207" s="8" t="s">
        <v>9683</v>
      </c>
      <c r="F207" s="8"/>
      <c r="H207" s="8"/>
      <c r="I207" s="8" t="s">
        <v>9597</v>
      </c>
      <c r="J207" s="8" t="s">
        <v>2981</v>
      </c>
      <c r="K207" t="s">
        <v>9598</v>
      </c>
      <c r="L207" t="s">
        <v>9599</v>
      </c>
      <c r="M207" s="3" t="str">
        <f>HYPERLINK(склад2въезд[[#This Row],[RelativePath]])</f>
        <v>1 Ангар Склад 2 въезд\E33149364_6_20260117T144310Z.jpg</v>
      </c>
      <c r="N207" s="8" t="str">
        <f>VLOOKUP(склад2въезд[[#This Row],[Name]], СпрСобытий!$F:$G, 2, FALSE)</f>
        <v>Ангар Склад 2 въезд</v>
      </c>
    </row>
    <row r="208" spans="1:14" x14ac:dyDescent="0.25">
      <c r="A208" s="2" t="s">
        <v>18</v>
      </c>
      <c r="B208" s="4">
        <v>46039</v>
      </c>
      <c r="C208" s="5">
        <v>0.63754629629629633</v>
      </c>
      <c r="D208" s="8" t="s">
        <v>91</v>
      </c>
      <c r="E208" s="8" t="s">
        <v>6656</v>
      </c>
      <c r="F208" s="8" t="s">
        <v>51</v>
      </c>
      <c r="H208" s="8"/>
      <c r="I208" s="8" t="s">
        <v>9600</v>
      </c>
      <c r="J208" s="8" t="s">
        <v>2981</v>
      </c>
      <c r="K208" t="s">
        <v>9601</v>
      </c>
      <c r="L208" t="s">
        <v>9602</v>
      </c>
      <c r="M208" s="3" t="str">
        <f>HYPERLINK(склад2въезд[[#This Row],[RelativePath]])</f>
        <v>1 Ангар Склад 2 въезд\E33149364_6_20260117T151804Z.jpg</v>
      </c>
      <c r="N208" s="8" t="str">
        <f>VLOOKUP(склад2въезд[[#This Row],[Name]], СпрСобытий!$F:$G, 2, FALSE)</f>
        <v>Ангар Склад 2 въезд</v>
      </c>
    </row>
    <row r="209" spans="1:14" x14ac:dyDescent="0.25">
      <c r="A209" s="2" t="s">
        <v>18</v>
      </c>
      <c r="B209" s="4">
        <v>46039</v>
      </c>
      <c r="C209" s="5">
        <v>0.6466319444444445</v>
      </c>
      <c r="D209" s="8" t="s">
        <v>62</v>
      </c>
      <c r="E209" s="8" t="s">
        <v>9683</v>
      </c>
      <c r="F209" s="8"/>
      <c r="H209" s="8"/>
      <c r="I209" s="8" t="s">
        <v>9603</v>
      </c>
      <c r="J209" s="8" t="s">
        <v>2981</v>
      </c>
      <c r="K209" t="s">
        <v>9604</v>
      </c>
      <c r="L209" t="s">
        <v>9605</v>
      </c>
      <c r="M209" s="3" t="str">
        <f>HYPERLINK(склад2въезд[[#This Row],[RelativePath]])</f>
        <v>1 Ангар Склад 2 въезд\E33149364_6_20260117T153109Z.jpg</v>
      </c>
      <c r="N209" s="8" t="str">
        <f>VLOOKUP(склад2въезд[[#This Row],[Name]], СпрСобытий!$F:$G, 2, FALSE)</f>
        <v>Ангар Склад 2 въезд</v>
      </c>
    </row>
    <row r="210" spans="1:14" x14ac:dyDescent="0.25">
      <c r="A210" s="2" t="s">
        <v>18</v>
      </c>
      <c r="B210" s="4">
        <v>46039</v>
      </c>
      <c r="C210" s="5">
        <v>0.65831018518518514</v>
      </c>
      <c r="D210" s="8" t="s">
        <v>62</v>
      </c>
      <c r="E210" s="8" t="s">
        <v>6656</v>
      </c>
      <c r="F210" s="8" t="s">
        <v>9684</v>
      </c>
      <c r="H210" s="8"/>
      <c r="I210" s="8" t="s">
        <v>9606</v>
      </c>
      <c r="J210" s="8" t="s">
        <v>2981</v>
      </c>
      <c r="K210" t="s">
        <v>9607</v>
      </c>
      <c r="L210" t="s">
        <v>9608</v>
      </c>
      <c r="M210" s="3" t="str">
        <f>HYPERLINK(склад2въезд[[#This Row],[RelativePath]])</f>
        <v>1 Ангар Склад 2 въезд\E33149364_6_20260117T154758Z.jpg</v>
      </c>
      <c r="N210" s="8" t="str">
        <f>VLOOKUP(склад2въезд[[#This Row],[Name]], СпрСобытий!$F:$G, 2, FALSE)</f>
        <v>Ангар Склад 2 въезд</v>
      </c>
    </row>
    <row r="211" spans="1:14" x14ac:dyDescent="0.25">
      <c r="A211" s="2" t="s">
        <v>22</v>
      </c>
      <c r="B211" s="4">
        <v>46040</v>
      </c>
      <c r="C211" s="5">
        <v>0.74221064814814819</v>
      </c>
      <c r="D211" s="8" t="s">
        <v>2004</v>
      </c>
      <c r="E211" s="8"/>
      <c r="F211" s="8"/>
      <c r="H211" s="8"/>
      <c r="I211" s="8" t="s">
        <v>9609</v>
      </c>
      <c r="J211" s="8" t="s">
        <v>2981</v>
      </c>
      <c r="K211" t="s">
        <v>9610</v>
      </c>
      <c r="L211" t="s">
        <v>9611</v>
      </c>
      <c r="M211" s="3" t="str">
        <f>HYPERLINK(склад2въезд[[#This Row],[RelativePath]])</f>
        <v>1 Ангар Склад 2 въезд\E33149364_6_20260118T174847Z.jpg</v>
      </c>
      <c r="N211" s="8" t="str">
        <f>VLOOKUP(склад2въезд[[#This Row],[Name]], СпрСобытий!$F:$G, 2, FALSE)</f>
        <v>Ангар Склад 2 въезд</v>
      </c>
    </row>
    <row r="212" spans="1:14" x14ac:dyDescent="0.25">
      <c r="A212" s="2" t="s">
        <v>13</v>
      </c>
      <c r="B212" s="4">
        <v>46041</v>
      </c>
      <c r="C212" s="5">
        <v>0.6675578703703704</v>
      </c>
      <c r="D212" s="8" t="s">
        <v>2004</v>
      </c>
      <c r="E212" s="8"/>
      <c r="F212" s="8"/>
      <c r="H212" s="8"/>
      <c r="I212" s="8" t="s">
        <v>9708</v>
      </c>
      <c r="J212" s="8" t="s">
        <v>2981</v>
      </c>
      <c r="K212" t="s">
        <v>9709</v>
      </c>
      <c r="L212" t="s">
        <v>9710</v>
      </c>
      <c r="M212" s="3" t="str">
        <f>HYPERLINK(склад2въезд[[#This Row],[RelativePath]])</f>
        <v>1 Ангар Склад 2 въезд\E33149364_6_20260119T160117Z.jpg</v>
      </c>
      <c r="N212" s="8" t="str">
        <f>VLOOKUP(склад2въезд[[#This Row],[Name]], СпрСобытий!$F:$G, 2, FALSE)</f>
        <v>Ангар Склад 2 въезд</v>
      </c>
    </row>
    <row r="213" spans="1:14" x14ac:dyDescent="0.25">
      <c r="A213" s="2" t="s">
        <v>14</v>
      </c>
      <c r="B213" s="4">
        <v>46042</v>
      </c>
      <c r="C213" s="5">
        <v>0.70180555555555557</v>
      </c>
      <c r="D213" s="8" t="s">
        <v>2004</v>
      </c>
      <c r="E213" s="8"/>
      <c r="F213" s="8"/>
      <c r="H213" s="8"/>
      <c r="I213" s="8" t="s">
        <v>9711</v>
      </c>
      <c r="J213" s="8" t="s">
        <v>2981</v>
      </c>
      <c r="K213" t="s">
        <v>9712</v>
      </c>
      <c r="L213" t="s">
        <v>9713</v>
      </c>
      <c r="M213" s="3" t="str">
        <f>HYPERLINK(склад2въезд[[#This Row],[RelativePath]])</f>
        <v>1 Ангар Склад 2 въезд\E33149364_6_20260120T165036Z.jpg</v>
      </c>
      <c r="N213" s="8" t="str">
        <f>VLOOKUP(склад2въезд[[#This Row],[Name]], СпрСобытий!$F:$G, 2, FALSE)</f>
        <v>Ангар Склад 2 въезд</v>
      </c>
    </row>
    <row r="214" spans="1:14" x14ac:dyDescent="0.25">
      <c r="A214" s="2" t="s">
        <v>15</v>
      </c>
      <c r="B214" s="4">
        <v>46043</v>
      </c>
      <c r="C214" s="5">
        <v>0.70232638888888888</v>
      </c>
      <c r="D214" s="8" t="s">
        <v>2004</v>
      </c>
      <c r="E214" s="8"/>
      <c r="F214" s="8"/>
      <c r="H214" s="8"/>
      <c r="I214" s="8" t="s">
        <v>9927</v>
      </c>
      <c r="J214" s="8" t="s">
        <v>2981</v>
      </c>
      <c r="K214" t="s">
        <v>9928</v>
      </c>
      <c r="L214" t="s">
        <v>9929</v>
      </c>
      <c r="M214" s="3" t="str">
        <f>HYPERLINK(склад2въезд[[#This Row],[RelativePath]])</f>
        <v>1 Ангар Склад 2 въезд\E33149364_6_20260121T165121Z.jpg</v>
      </c>
      <c r="N214" s="8" t="str">
        <f>VLOOKUP(склад2въезд[[#This Row],[Name]], СпрСобытий!$F:$G, 2, FALSE)</f>
        <v>Ангар Склад 2 въезд</v>
      </c>
    </row>
    <row r="215" spans="1:14" x14ac:dyDescent="0.25">
      <c r="A215" s="2" t="s">
        <v>16</v>
      </c>
      <c r="B215" s="4">
        <v>46044</v>
      </c>
      <c r="C215" s="5">
        <v>0.50423611111111111</v>
      </c>
      <c r="D215" s="8" t="s">
        <v>91</v>
      </c>
      <c r="E215" s="8" t="s">
        <v>4193</v>
      </c>
      <c r="F215" s="8" t="s">
        <v>5076</v>
      </c>
      <c r="H215" s="8"/>
      <c r="I215" s="8" t="s">
        <v>9930</v>
      </c>
      <c r="J215" s="8" t="s">
        <v>2981</v>
      </c>
      <c r="K215" t="s">
        <v>9931</v>
      </c>
      <c r="L215" t="s">
        <v>9932</v>
      </c>
      <c r="M215" s="3" t="str">
        <f>HYPERLINK(склад2въезд[[#This Row],[RelativePath]])</f>
        <v>1 Ангар Склад 2 въезд\E33149364_6_20260122T120606Z.jpg</v>
      </c>
      <c r="N215" s="8" t="str">
        <f>VLOOKUP(склад2въезд[[#This Row],[Name]], СпрСобытий!$F:$G, 2, FALSE)</f>
        <v>Ангар Склад 2 въезд</v>
      </c>
    </row>
    <row r="216" spans="1:14" x14ac:dyDescent="0.25">
      <c r="A216" s="2" t="s">
        <v>16</v>
      </c>
      <c r="B216" s="4">
        <v>46044</v>
      </c>
      <c r="C216" s="5">
        <v>0.6736805555555555</v>
      </c>
      <c r="D216" s="8" t="s">
        <v>62</v>
      </c>
      <c r="E216" s="8" t="s">
        <v>4193</v>
      </c>
      <c r="F216" s="8" t="s">
        <v>5076</v>
      </c>
      <c r="H216" s="8"/>
      <c r="I216" s="8" t="s">
        <v>9933</v>
      </c>
      <c r="J216" s="8" t="s">
        <v>2981</v>
      </c>
      <c r="K216" t="s">
        <v>9934</v>
      </c>
      <c r="L216" t="s">
        <v>9935</v>
      </c>
      <c r="M216" s="3" t="str">
        <f>HYPERLINK(склад2въезд[[#This Row],[RelativePath]])</f>
        <v>1 Ангар Склад 2 въезд\E33149364_6_20260122T161006Z.jpg</v>
      </c>
      <c r="N216" s="8" t="str">
        <f>VLOOKUP(склад2въезд[[#This Row],[Name]], СпрСобытий!$F:$G, 2, FALSE)</f>
        <v>Ангар Склад 2 въезд</v>
      </c>
    </row>
    <row r="217" spans="1:14" x14ac:dyDescent="0.25">
      <c r="A217" s="2" t="s">
        <v>16</v>
      </c>
      <c r="B217" s="4">
        <v>46044</v>
      </c>
      <c r="C217" s="5">
        <v>0.93010416666666662</v>
      </c>
      <c r="D217" s="8" t="s">
        <v>91</v>
      </c>
      <c r="E217" s="8" t="s">
        <v>10164</v>
      </c>
      <c r="F217" s="8" t="s">
        <v>60</v>
      </c>
      <c r="H217" s="8"/>
      <c r="I217" s="8" t="s">
        <v>10158</v>
      </c>
      <c r="J217" s="8" t="s">
        <v>2981</v>
      </c>
      <c r="K217" t="s">
        <v>10159</v>
      </c>
      <c r="L217" t="s">
        <v>10160</v>
      </c>
      <c r="M217" s="3" t="str">
        <f>HYPERLINK(склад2въезд[[#This Row],[RelativePath]])</f>
        <v>1 Ангар Склад 2 въезд\E33149364_6_20260122T221921Z.jpg</v>
      </c>
      <c r="N217" s="8" t="str">
        <f>VLOOKUP(склад2въезд[[#This Row],[Name]], СпрСобытий!$F:$G, 2, FALSE)</f>
        <v>Ангар Склад 2 въезд</v>
      </c>
    </row>
    <row r="218" spans="1:14" x14ac:dyDescent="0.25">
      <c r="A218" s="2" t="s">
        <v>17</v>
      </c>
      <c r="B218" s="4">
        <v>46045</v>
      </c>
      <c r="C218" s="5">
        <v>1.7141203703703704E-2</v>
      </c>
      <c r="D218" s="8" t="s">
        <v>62</v>
      </c>
      <c r="E218" s="8" t="s">
        <v>10164</v>
      </c>
      <c r="F218" s="8" t="s">
        <v>51</v>
      </c>
      <c r="H218" s="8"/>
      <c r="I218" s="8" t="s">
        <v>10161</v>
      </c>
      <c r="J218" s="8" t="s">
        <v>2981</v>
      </c>
      <c r="K218" t="s">
        <v>10162</v>
      </c>
      <c r="L218" t="s">
        <v>10163</v>
      </c>
      <c r="M218" s="3" t="str">
        <f>HYPERLINK(склад2въезд[[#This Row],[RelativePath]])</f>
        <v>1 Ангар Склад 2 въезд\E33149364_6_20260123T002441Z.jpg</v>
      </c>
      <c r="N218" s="8" t="str">
        <f>VLOOKUP(склад2въезд[[#This Row],[Name]], СпрСобытий!$F:$G, 2, FALSE)</f>
        <v>Ангар Склад 2 въезд</v>
      </c>
    </row>
    <row r="219" spans="1:14" x14ac:dyDescent="0.25">
      <c r="A219" s="2" t="s">
        <v>17</v>
      </c>
      <c r="B219" s="4">
        <v>46045</v>
      </c>
      <c r="C219" s="5">
        <v>4.701388888888889E-2</v>
      </c>
      <c r="D219" s="8" t="s">
        <v>91</v>
      </c>
      <c r="E219" s="8" t="s">
        <v>10165</v>
      </c>
      <c r="F219" s="8" t="s">
        <v>60</v>
      </c>
      <c r="H219" s="8"/>
      <c r="I219" s="8" t="s">
        <v>10143</v>
      </c>
      <c r="J219" s="8" t="s">
        <v>2981</v>
      </c>
      <c r="K219" t="s">
        <v>10144</v>
      </c>
      <c r="L219" t="s">
        <v>10145</v>
      </c>
      <c r="M219" s="3" t="str">
        <f>HYPERLINK(склад2въезд[[#This Row],[RelativePath]])</f>
        <v>1 Ангар Склад 2 въезд\E33149364_6_20260123T010742Z.jpg</v>
      </c>
      <c r="N219" s="8" t="str">
        <f>VLOOKUP(склад2въезд[[#This Row],[Name]], СпрСобытий!$F:$G, 2, FALSE)</f>
        <v>Ангар Склад 2 въезд</v>
      </c>
    </row>
    <row r="220" spans="1:14" x14ac:dyDescent="0.25">
      <c r="A220" s="2" t="s">
        <v>17</v>
      </c>
      <c r="B220" s="4">
        <v>46045</v>
      </c>
      <c r="C220" s="5">
        <v>0.44885416666666667</v>
      </c>
      <c r="D220" s="8" t="s">
        <v>91</v>
      </c>
      <c r="E220" s="8" t="s">
        <v>10166</v>
      </c>
      <c r="F220" s="8"/>
      <c r="H220" s="8"/>
      <c r="I220" s="8" t="s">
        <v>10146</v>
      </c>
      <c r="J220" s="8" t="s">
        <v>2981</v>
      </c>
      <c r="K220" t="s">
        <v>10147</v>
      </c>
      <c r="L220" t="s">
        <v>10148</v>
      </c>
      <c r="M220" s="3" t="str">
        <f>HYPERLINK(склад2въезд[[#This Row],[RelativePath]])</f>
        <v>1 Ангар Склад 2 въезд\E33149364_6_20260123T104621Z.jpg</v>
      </c>
      <c r="N220" s="8" t="str">
        <f>VLOOKUP(склад2въезд[[#This Row],[Name]], СпрСобытий!$F:$G, 2, FALSE)</f>
        <v>Ангар Склад 2 въезд</v>
      </c>
    </row>
    <row r="221" spans="1:14" x14ac:dyDescent="0.25">
      <c r="A221" s="2" t="s">
        <v>17</v>
      </c>
      <c r="B221" s="4">
        <v>46045</v>
      </c>
      <c r="C221" s="5">
        <v>0.45699074074074075</v>
      </c>
      <c r="D221" s="8" t="s">
        <v>62</v>
      </c>
      <c r="E221" s="8" t="s">
        <v>10165</v>
      </c>
      <c r="F221" s="8" t="s">
        <v>10167</v>
      </c>
      <c r="G221">
        <v>1</v>
      </c>
      <c r="H221" s="8"/>
      <c r="I221" s="8" t="s">
        <v>10149</v>
      </c>
      <c r="J221" s="8" t="s">
        <v>2981</v>
      </c>
      <c r="K221" t="s">
        <v>10150</v>
      </c>
      <c r="L221" t="s">
        <v>10151</v>
      </c>
      <c r="M221" s="3" t="str">
        <f>HYPERLINK(склад2въезд[[#This Row],[RelativePath]])</f>
        <v>1 Ангар Склад 2 въезд\E33149364_6_20260123T105804Z.jpg</v>
      </c>
      <c r="N221" s="8" t="str">
        <f>VLOOKUP(склад2въезд[[#This Row],[Name]], СпрСобытий!$F:$G, 2, FALSE)</f>
        <v>Ангар Склад 2 въезд</v>
      </c>
    </row>
    <row r="222" spans="1:14" x14ac:dyDescent="0.25">
      <c r="A222" s="2" t="s">
        <v>17</v>
      </c>
      <c r="B222" s="4">
        <v>46045</v>
      </c>
      <c r="C222" s="5">
        <v>0.51879629629629631</v>
      </c>
      <c r="D222" s="8" t="s">
        <v>62</v>
      </c>
      <c r="E222" s="8" t="s">
        <v>10166</v>
      </c>
      <c r="F222" s="8"/>
      <c r="H222" s="8"/>
      <c r="I222" s="8" t="s">
        <v>10152</v>
      </c>
      <c r="J222" s="8" t="s">
        <v>2981</v>
      </c>
      <c r="K222" t="s">
        <v>10153</v>
      </c>
      <c r="L222" t="s">
        <v>10154</v>
      </c>
      <c r="M222" s="3" t="str">
        <f>HYPERLINK(склад2въезд[[#This Row],[RelativePath]])</f>
        <v>1 Ангар Склад 2 въезд\E33149364_6_20260123T122704Z.jpg</v>
      </c>
      <c r="N222" s="8" t="str">
        <f>VLOOKUP(склад2въезд[[#This Row],[Name]], СпрСобытий!$F:$G, 2, FALSE)</f>
        <v>Ангар Склад 2 въезд</v>
      </c>
    </row>
    <row r="223" spans="1:14" x14ac:dyDescent="0.25">
      <c r="A223" s="2" t="s">
        <v>17</v>
      </c>
      <c r="B223" s="4">
        <v>46045</v>
      </c>
      <c r="C223" s="5">
        <v>0.59809027777777779</v>
      </c>
      <c r="D223" s="8" t="s">
        <v>62</v>
      </c>
      <c r="E223" s="8" t="s">
        <v>9520</v>
      </c>
      <c r="F223" s="8" t="s">
        <v>58</v>
      </c>
      <c r="H223" s="9" t="s">
        <v>9336</v>
      </c>
      <c r="I223" s="8" t="s">
        <v>10155</v>
      </c>
      <c r="J223" s="8" t="s">
        <v>2981</v>
      </c>
      <c r="K223" t="s">
        <v>10156</v>
      </c>
      <c r="L223" t="s">
        <v>10157</v>
      </c>
      <c r="M223" s="3" t="str">
        <f>HYPERLINK(склад2въезд[[#This Row],[RelativePath]])</f>
        <v>1 Ангар Склад 2 въезд\E33149364_6_20260123T142115Z.jpg</v>
      </c>
      <c r="N223" s="8" t="str">
        <f>VLOOKUP(склад2въезд[[#This Row],[Name]], СпрСобытий!$F:$G, 2, FALSE)</f>
        <v>Ангар Склад 2 въезд</v>
      </c>
    </row>
    <row r="224" spans="1:14" x14ac:dyDescent="0.25">
      <c r="A224" s="2" t="s">
        <v>18</v>
      </c>
      <c r="B224" s="4">
        <v>46046</v>
      </c>
      <c r="C224" s="5">
        <v>0.68843750000000004</v>
      </c>
      <c r="D224" s="8" t="s">
        <v>2004</v>
      </c>
      <c r="E224" s="8"/>
      <c r="F224" s="8"/>
      <c r="H224" s="8"/>
      <c r="I224" s="8" t="s">
        <v>10452</v>
      </c>
      <c r="J224" s="8" t="s">
        <v>2981</v>
      </c>
      <c r="K224" t="s">
        <v>10453</v>
      </c>
      <c r="L224" t="s">
        <v>10454</v>
      </c>
      <c r="M224" s="3" t="str">
        <f>HYPERLINK(склад2въезд[[#This Row],[RelativePath]])</f>
        <v>1 Ангар Склад 2 въезд\E33149364_6_20260124T163121Z.jpg</v>
      </c>
      <c r="N224" s="8" t="str">
        <f>VLOOKUP(склад2въезд[[#This Row],[Name]], СпрСобытий!$F:$G, 2, FALSE)</f>
        <v>Ангар Склад 2 въезд</v>
      </c>
    </row>
    <row r="225" spans="1:14" x14ac:dyDescent="0.25">
      <c r="A225" s="2" t="s">
        <v>22</v>
      </c>
      <c r="B225" s="4">
        <v>46047</v>
      </c>
      <c r="C225" s="5">
        <v>0.68413194444444447</v>
      </c>
      <c r="D225" s="8" t="s">
        <v>2004</v>
      </c>
      <c r="E225" s="8"/>
      <c r="F225" s="8"/>
      <c r="H225" s="8"/>
      <c r="I225" s="8" t="s">
        <v>10455</v>
      </c>
      <c r="J225" s="8" t="s">
        <v>2981</v>
      </c>
      <c r="K225" t="s">
        <v>10456</v>
      </c>
      <c r="L225" t="s">
        <v>10457</v>
      </c>
      <c r="M225" s="3" t="str">
        <f>HYPERLINK(склад2въезд[[#This Row],[RelativePath]])</f>
        <v>1 Ангар Склад 2 въезд\E33149364_6_20260125T162509Z.jpg</v>
      </c>
      <c r="N225" s="8" t="str">
        <f>VLOOKUP(склад2въезд[[#This Row],[Name]], СпрСобытий!$F:$G, 2, FALSE)</f>
        <v>Ангар Склад 2 въезд</v>
      </c>
    </row>
    <row r="226" spans="1:14" x14ac:dyDescent="0.25">
      <c r="A226" s="2" t="s">
        <v>13</v>
      </c>
      <c r="B226" s="4">
        <v>46048</v>
      </c>
      <c r="C226" s="5">
        <v>0.69730324074074079</v>
      </c>
      <c r="D226" s="8" t="s">
        <v>2004</v>
      </c>
      <c r="E226" s="8"/>
      <c r="F226" s="8"/>
      <c r="H226" s="8"/>
      <c r="I226" s="8" t="s">
        <v>10534</v>
      </c>
      <c r="J226" s="8" t="s">
        <v>2981</v>
      </c>
      <c r="K226" t="s">
        <v>10535</v>
      </c>
      <c r="L226" t="s">
        <v>10536</v>
      </c>
      <c r="M226" s="3" t="str">
        <f>HYPERLINK(склад2въезд[[#This Row],[RelativePath]])</f>
        <v>1 Ангар Склад 2 въезд\E33149364_6_20260126T164407Z.jpg</v>
      </c>
      <c r="N226" s="8" t="str">
        <f>VLOOKUP(склад2въезд[[#This Row],[Name]], СпрСобытий!$F:$G, 2, FALSE)</f>
        <v>Ангар Склад 2 въезд</v>
      </c>
    </row>
    <row r="227" spans="1:14" x14ac:dyDescent="0.25">
      <c r="A227" s="2" t="s">
        <v>14</v>
      </c>
      <c r="B227" s="4">
        <v>46049</v>
      </c>
      <c r="C227" s="5">
        <v>0.72952546296296295</v>
      </c>
      <c r="D227" s="8" t="s">
        <v>2004</v>
      </c>
      <c r="E227" s="8"/>
      <c r="F227" s="8"/>
      <c r="H227" s="8"/>
      <c r="I227" s="8" t="s">
        <v>10537</v>
      </c>
      <c r="J227" s="8" t="s">
        <v>2981</v>
      </c>
      <c r="K227" t="s">
        <v>10538</v>
      </c>
      <c r="L227" t="s">
        <v>10539</v>
      </c>
      <c r="M227" s="3" t="str">
        <f>HYPERLINK(склад2въезд[[#This Row],[RelativePath]])</f>
        <v>1 Ангар Склад 2 въезд\E33149364_6_20260127T173031Z.jpg</v>
      </c>
      <c r="N227" s="8" t="str">
        <f>VLOOKUP(склад2въезд[[#This Row],[Name]], СпрСобытий!$F:$G, 2, FALSE)</f>
        <v>Ангар Склад 2 въезд</v>
      </c>
    </row>
    <row r="228" spans="1:14" x14ac:dyDescent="0.25">
      <c r="A228" s="2" t="s">
        <v>15</v>
      </c>
      <c r="B228" s="4">
        <v>46050</v>
      </c>
      <c r="C228" s="5">
        <v>0.71953703703703709</v>
      </c>
      <c r="D228" s="8" t="s">
        <v>2004</v>
      </c>
      <c r="E228" s="8"/>
      <c r="F228" s="8"/>
      <c r="H228" s="8"/>
      <c r="I228" s="8" t="s">
        <v>10716</v>
      </c>
      <c r="J228" s="8" t="s">
        <v>2981</v>
      </c>
      <c r="K228" t="s">
        <v>10717</v>
      </c>
      <c r="L228" t="s">
        <v>10718</v>
      </c>
      <c r="M228" s="3" t="str">
        <f>HYPERLINK(склад2въезд[[#This Row],[RelativePath]])</f>
        <v>1 Ангар Склад 2 въезд\E33149364_6_20260128T171608Z.jpg</v>
      </c>
      <c r="N228" s="8" t="str">
        <f>VLOOKUP(склад2въезд[[#This Row],[Name]], СпрСобытий!$F:$G, 2, FALSE)</f>
        <v>Ангар Склад 2 въезд</v>
      </c>
    </row>
    <row r="229" spans="1:14" x14ac:dyDescent="0.25">
      <c r="A229" s="2" t="s">
        <v>16</v>
      </c>
      <c r="B229" s="4">
        <v>46051</v>
      </c>
      <c r="C229" s="5">
        <v>0.4944560185185185</v>
      </c>
      <c r="D229" s="8" t="s">
        <v>62</v>
      </c>
      <c r="E229" s="8" t="s">
        <v>10884</v>
      </c>
      <c r="F229" s="8" t="s">
        <v>58</v>
      </c>
      <c r="G229">
        <v>4</v>
      </c>
      <c r="H229" s="8" t="s">
        <v>9336</v>
      </c>
      <c r="I229" s="8" t="s">
        <v>10719</v>
      </c>
      <c r="J229" s="8" t="s">
        <v>2981</v>
      </c>
      <c r="K229" t="s">
        <v>10720</v>
      </c>
      <c r="L229" t="s">
        <v>10721</v>
      </c>
      <c r="M229" s="3" t="str">
        <f>HYPERLINK(склад2въезд[[#This Row],[RelativePath]])</f>
        <v>1 Ангар Склад 2 въезд\E33149364_6_20260129T115201Z.jpg</v>
      </c>
      <c r="N229" s="8" t="str">
        <f>VLOOKUP(склад2въезд[[#This Row],[Name]], СпрСобытий!$F:$G, 2, FALSE)</f>
        <v>Ангар Склад 2 въезд</v>
      </c>
    </row>
    <row r="230" spans="1:14" x14ac:dyDescent="0.25">
      <c r="A230" s="2" t="s">
        <v>17</v>
      </c>
      <c r="B230" s="4">
        <v>46052</v>
      </c>
      <c r="C230" s="5">
        <v>0.36493055555555554</v>
      </c>
      <c r="D230" s="8" t="s">
        <v>91</v>
      </c>
      <c r="E230" s="8" t="s">
        <v>70</v>
      </c>
      <c r="F230" s="8" t="s">
        <v>5076</v>
      </c>
      <c r="H230" s="8"/>
      <c r="I230" s="8" t="s">
        <v>10902</v>
      </c>
      <c r="J230" s="8" t="s">
        <v>2981</v>
      </c>
      <c r="K230" t="s">
        <v>10903</v>
      </c>
      <c r="L230" t="s">
        <v>10904</v>
      </c>
      <c r="M230" s="3" t="str">
        <f>HYPERLINK(склад2въезд[[#This Row],[RelativePath]])</f>
        <v>1 Ангар Склад 2 въезд\E33149364_6_20260130T084530Z.jpg</v>
      </c>
      <c r="N230" s="8" t="str">
        <f>VLOOKUP(склад2въезд[[#This Row],[Name]], СпрСобытий!$F:$G, 2, FALSE)</f>
        <v>Ангар Склад 2 въезд</v>
      </c>
    </row>
    <row r="231" spans="1:14" x14ac:dyDescent="0.25">
      <c r="A231" s="2" t="s">
        <v>17</v>
      </c>
      <c r="B231" s="4">
        <v>46052</v>
      </c>
      <c r="C231" s="5">
        <v>0.38869212962962962</v>
      </c>
      <c r="D231" s="8" t="s">
        <v>62</v>
      </c>
      <c r="E231" s="8" t="s">
        <v>70</v>
      </c>
      <c r="F231" s="8" t="s">
        <v>5093</v>
      </c>
      <c r="H231" s="8"/>
      <c r="I231" s="8" t="s">
        <v>10905</v>
      </c>
      <c r="J231" s="8" t="s">
        <v>2981</v>
      </c>
      <c r="K231" t="s">
        <v>10906</v>
      </c>
      <c r="L231" t="s">
        <v>10907</v>
      </c>
      <c r="M231" s="3" t="str">
        <f>HYPERLINK(склад2въезд[[#This Row],[RelativePath]])</f>
        <v>1 Ангар Склад 2 въезд\E33149364_6_20260130T091943Z.jpg</v>
      </c>
      <c r="N231" s="8" t="str">
        <f>VLOOKUP(склад2въезд[[#This Row],[Name]], СпрСобытий!$F:$G, 2, FALSE)</f>
        <v>Ангар Склад 2 въезд</v>
      </c>
    </row>
    <row r="232" spans="1:14" x14ac:dyDescent="0.25">
      <c r="A232" s="2" t="s">
        <v>18</v>
      </c>
      <c r="B232" s="4">
        <v>46053</v>
      </c>
      <c r="C232" s="5">
        <v>0.48749999999999999</v>
      </c>
      <c r="D232" s="8" t="s">
        <v>91</v>
      </c>
      <c r="E232" s="8" t="s">
        <v>11124</v>
      </c>
      <c r="F232" s="8"/>
      <c r="H232" s="8"/>
      <c r="I232" s="8" t="s">
        <v>11010</v>
      </c>
      <c r="J232" s="8" t="s">
        <v>2981</v>
      </c>
      <c r="K232" t="s">
        <v>11011</v>
      </c>
      <c r="L232" t="s">
        <v>11012</v>
      </c>
      <c r="M232" s="3" t="str">
        <f>HYPERLINK(склад2въезд[[#This Row],[RelativePath]])</f>
        <v>1 Ангар Склад 2 въезд\E33149364_6_20260131T114200Z.jpg</v>
      </c>
      <c r="N232" s="8" t="str">
        <f>VLOOKUP(склад2въезд[[#This Row],[Name]], СпрСобытий!$F:$G, 2, FALSE)</f>
        <v>Ангар Склад 2 въезд</v>
      </c>
    </row>
    <row r="233" spans="1:14" x14ac:dyDescent="0.25">
      <c r="A233" s="2" t="s">
        <v>18</v>
      </c>
      <c r="B233" s="4">
        <v>46053</v>
      </c>
      <c r="C233" s="5">
        <v>0.5067476851851852</v>
      </c>
      <c r="D233" s="8" t="s">
        <v>62</v>
      </c>
      <c r="E233" s="8" t="s">
        <v>11124</v>
      </c>
      <c r="F233" s="8" t="s">
        <v>53</v>
      </c>
      <c r="G233">
        <v>11</v>
      </c>
      <c r="H233" s="8"/>
      <c r="I233" s="8" t="s">
        <v>11013</v>
      </c>
      <c r="J233" s="8" t="s">
        <v>2981</v>
      </c>
      <c r="K233" t="s">
        <v>11014</v>
      </c>
      <c r="L233" t="s">
        <v>11015</v>
      </c>
      <c r="M233" s="3" t="str">
        <f>HYPERLINK(склад2въезд[[#This Row],[RelativePath]])</f>
        <v>1 Ангар Склад 2 въезд\E33149364_6_20260131T120943Z.jpg</v>
      </c>
      <c r="N233" s="8" t="str">
        <f>VLOOKUP(склад2въезд[[#This Row],[Name]], СпрСобытий!$F:$G, 2, FALSE)</f>
        <v>Ангар Склад 2 въезд</v>
      </c>
    </row>
    <row r="234" spans="1:14" x14ac:dyDescent="0.25">
      <c r="A234" s="2" t="s">
        <v>18</v>
      </c>
      <c r="B234" s="4">
        <v>46053</v>
      </c>
      <c r="C234" s="5">
        <v>0.7240509259259259</v>
      </c>
      <c r="D234" s="8" t="s">
        <v>91</v>
      </c>
      <c r="E234" s="8" t="s">
        <v>11125</v>
      </c>
      <c r="F234" s="8"/>
      <c r="H234" s="8"/>
      <c r="I234" s="8" t="s">
        <v>11016</v>
      </c>
      <c r="J234" s="8" t="s">
        <v>2981</v>
      </c>
      <c r="K234" t="s">
        <v>11017</v>
      </c>
      <c r="L234" t="s">
        <v>11018</v>
      </c>
      <c r="M234" s="3" t="str">
        <f>HYPERLINK(склад2въезд[[#This Row],[RelativePath]])</f>
        <v>1 Ангар Склад 2 въезд\E33149364_6_20260131T172238Z.jpg</v>
      </c>
      <c r="N234" s="8" t="str">
        <f>VLOOKUP(склад2въезд[[#This Row],[Name]], СпрСобытий!$F:$G, 2, FALSE)</f>
        <v>Ангар Склад 2 въезд</v>
      </c>
    </row>
    <row r="235" spans="1:14" x14ac:dyDescent="0.25">
      <c r="A235" s="2" t="s">
        <v>22</v>
      </c>
      <c r="B235" s="4">
        <v>46054</v>
      </c>
      <c r="C235" s="5">
        <v>0.66899305555555555</v>
      </c>
      <c r="D235" s="8" t="s">
        <v>2004</v>
      </c>
      <c r="E235" s="8"/>
      <c r="F235" s="8"/>
      <c r="H235" s="8"/>
      <c r="I235" s="8" t="s">
        <v>11019</v>
      </c>
      <c r="J235" s="8" t="s">
        <v>2981</v>
      </c>
      <c r="K235" t="s">
        <v>11020</v>
      </c>
      <c r="L235" t="s">
        <v>11021</v>
      </c>
      <c r="M235" s="3" t="str">
        <f>HYPERLINK(склад2въезд[[#This Row],[RelativePath]])</f>
        <v>1 Ангар Склад 2 въезд\E33149364_6_20260201T160321Z.jpg</v>
      </c>
      <c r="N235" s="8" t="str">
        <f>VLOOKUP(склад2въезд[[#This Row],[Name]], СпрСобытий!$F:$G, 2, FALSE)</f>
        <v>Ангар Склад 2 въезд</v>
      </c>
    </row>
    <row r="236" spans="1:14" x14ac:dyDescent="0.25">
      <c r="A236" s="2" t="s">
        <v>13</v>
      </c>
      <c r="B236" s="4">
        <v>46055</v>
      </c>
      <c r="C236" s="5">
        <v>0.72170138888888891</v>
      </c>
      <c r="D236" s="8" t="s">
        <v>2004</v>
      </c>
      <c r="E236" s="8"/>
      <c r="F236" s="8"/>
      <c r="H236" s="8"/>
      <c r="I236" s="8" t="s">
        <v>11145</v>
      </c>
      <c r="J236" s="8" t="s">
        <v>2981</v>
      </c>
      <c r="K236" t="s">
        <v>11146</v>
      </c>
      <c r="L236" t="s">
        <v>11147</v>
      </c>
      <c r="M236" s="3" t="str">
        <f>HYPERLINK(склад2въезд[[#This Row],[RelativePath]])</f>
        <v>1 Ангар Склад 2 въезд\E33149364_6_20260202T171915Z.jpg</v>
      </c>
      <c r="N236" s="8" t="str">
        <f>VLOOKUP(склад2въезд[[#This Row],[Name]], СпрСобытий!$F:$G, 2, FALSE)</f>
        <v>Ангар Склад 2 въезд</v>
      </c>
    </row>
    <row r="237" spans="1:14" x14ac:dyDescent="0.25">
      <c r="A237" s="2" t="s">
        <v>14</v>
      </c>
      <c r="B237" s="4">
        <v>46056</v>
      </c>
      <c r="C237" s="5">
        <v>0.44545138888888891</v>
      </c>
      <c r="D237" s="8" t="s">
        <v>91</v>
      </c>
      <c r="E237" s="8" t="s">
        <v>11412</v>
      </c>
      <c r="F237" s="8" t="s">
        <v>60</v>
      </c>
      <c r="H237" s="8"/>
      <c r="I237" s="8" t="s">
        <v>11148</v>
      </c>
      <c r="J237" s="8" t="s">
        <v>2981</v>
      </c>
      <c r="K237" t="s">
        <v>11149</v>
      </c>
      <c r="L237" t="s">
        <v>11150</v>
      </c>
      <c r="M237" s="3" t="str">
        <f>HYPERLINK(склад2въезд[[#This Row],[RelativePath]])</f>
        <v>1 Ангар Склад 2 въезд\E33149364_6_20260203T104127Z.jpg</v>
      </c>
      <c r="N237" s="8" t="str">
        <f>VLOOKUP(склад2въезд[[#This Row],[Name]], СпрСобытий!$F:$G, 2, FALSE)</f>
        <v>Ангар Склад 2 въезд</v>
      </c>
    </row>
    <row r="238" spans="1:14" x14ac:dyDescent="0.25">
      <c r="A238" s="2" t="s">
        <v>14</v>
      </c>
      <c r="B238" s="4">
        <v>46056</v>
      </c>
      <c r="C238" s="5">
        <v>0.56745370370370374</v>
      </c>
      <c r="D238" s="8" t="s">
        <v>62</v>
      </c>
      <c r="E238" s="8" t="s">
        <v>11412</v>
      </c>
      <c r="F238" s="8" t="s">
        <v>51</v>
      </c>
      <c r="H238" s="8"/>
      <c r="I238" s="8" t="s">
        <v>11151</v>
      </c>
      <c r="J238" s="8" t="s">
        <v>2981</v>
      </c>
      <c r="K238" t="s">
        <v>11152</v>
      </c>
      <c r="L238" t="s">
        <v>11153</v>
      </c>
      <c r="M238" s="3" t="str">
        <f>HYPERLINK(склад2въезд[[#This Row],[RelativePath]])</f>
        <v>1 Ангар Склад 2 въезд\E33149364_6_20260203T133708Z.jpg</v>
      </c>
      <c r="N238" s="8" t="str">
        <f>VLOOKUP(склад2въезд[[#This Row],[Name]], СпрСобытий!$F:$G, 2, FALSE)</f>
        <v>Ангар Склад 2 въезд</v>
      </c>
    </row>
    <row r="239" spans="1:14" x14ac:dyDescent="0.25">
      <c r="A239" s="2" t="s">
        <v>14</v>
      </c>
      <c r="B239" s="4">
        <v>46056</v>
      </c>
      <c r="C239" s="5">
        <v>0.79409722222222223</v>
      </c>
      <c r="D239" s="8" t="s">
        <v>62</v>
      </c>
      <c r="E239" s="8" t="s">
        <v>6190</v>
      </c>
      <c r="F239" s="8" t="s">
        <v>11413</v>
      </c>
      <c r="H239" s="8"/>
      <c r="I239" s="8" t="s">
        <v>11154</v>
      </c>
      <c r="J239" s="8" t="s">
        <v>2981</v>
      </c>
      <c r="K239" t="s">
        <v>11155</v>
      </c>
      <c r="L239" t="s">
        <v>11156</v>
      </c>
      <c r="M239" s="3" t="str">
        <f>HYPERLINK(склад2въезд[[#This Row],[RelativePath]])</f>
        <v>1 Ангар Склад 2 въезд\E33149364_6_20260203T190330Z.jpg</v>
      </c>
      <c r="N239" s="8" t="str">
        <f>VLOOKUP(склад2въезд[[#This Row],[Name]], СпрСобытий!$F:$G, 2, FALSE)</f>
        <v>Ангар Склад 2 въезд</v>
      </c>
    </row>
    <row r="240" spans="1:14" x14ac:dyDescent="0.25">
      <c r="A240" s="2" t="s">
        <v>14</v>
      </c>
      <c r="B240" s="4">
        <v>46056</v>
      </c>
      <c r="C240" s="5">
        <v>0.83721064814814816</v>
      </c>
      <c r="D240" s="8" t="s">
        <v>91</v>
      </c>
      <c r="E240" s="8" t="s">
        <v>6190</v>
      </c>
      <c r="F240" s="8"/>
      <c r="H240" s="8"/>
      <c r="I240" s="8" t="s">
        <v>11157</v>
      </c>
      <c r="J240" s="8" t="s">
        <v>2981</v>
      </c>
      <c r="K240" t="s">
        <v>11158</v>
      </c>
      <c r="L240" t="s">
        <v>11159</v>
      </c>
      <c r="M240" s="3" t="str">
        <f>HYPERLINK(склад2въезд[[#This Row],[RelativePath]])</f>
        <v>1 Ангар Склад 2 въезд\E33149364_6_20260203T200535Z.jpg</v>
      </c>
      <c r="N240" s="8" t="str">
        <f>VLOOKUP(склад2въезд[[#This Row],[Name]], СпрСобытий!$F:$G, 2, FALSE)</f>
        <v>Ангар Склад 2 въезд</v>
      </c>
    </row>
    <row r="241" spans="1:14" x14ac:dyDescent="0.25">
      <c r="A241" s="2" t="s">
        <v>15</v>
      </c>
      <c r="B241" s="4">
        <v>46057</v>
      </c>
      <c r="C241" s="5">
        <v>0.71343749999999995</v>
      </c>
      <c r="D241" s="8" t="s">
        <v>2004</v>
      </c>
      <c r="E241" s="8"/>
      <c r="F241" s="8"/>
      <c r="H241" s="8"/>
      <c r="I241" s="8" t="s">
        <v>11448</v>
      </c>
      <c r="J241" s="8" t="s">
        <v>2981</v>
      </c>
      <c r="K241" t="s">
        <v>11449</v>
      </c>
      <c r="L241" t="s">
        <v>11450</v>
      </c>
      <c r="M241" s="3" t="str">
        <f>HYPERLINK(склад2въезд[[#This Row],[RelativePath]])</f>
        <v>1 Ангар Склад 2 въезд\E33149364_6_20260204T170721Z.jpg</v>
      </c>
      <c r="N241" s="8" t="str">
        <f>VLOOKUP(склад2въезд[[#This Row],[Name]], СпрСобытий!$F:$G, 2, FALSE)</f>
        <v>Ангар Склад 2 въезд</v>
      </c>
    </row>
    <row r="242" spans="1:14" x14ac:dyDescent="0.25">
      <c r="A242" s="2" t="s">
        <v>16</v>
      </c>
      <c r="B242" s="4">
        <v>46058</v>
      </c>
      <c r="C242" s="5">
        <v>0.54936342592592591</v>
      </c>
      <c r="D242" s="8" t="s">
        <v>91</v>
      </c>
      <c r="E242" s="8" t="s">
        <v>70</v>
      </c>
      <c r="F242" s="8" t="s">
        <v>51</v>
      </c>
      <c r="H242" s="8"/>
      <c r="I242" s="8" t="s">
        <v>11451</v>
      </c>
      <c r="J242" s="8" t="s">
        <v>2981</v>
      </c>
      <c r="K242" t="s">
        <v>11452</v>
      </c>
      <c r="L242" t="s">
        <v>11453</v>
      </c>
      <c r="M242" s="3" t="str">
        <f>HYPERLINK(склад2въезд[[#This Row],[RelativePath]])</f>
        <v>1 Ангар Склад 2 въезд\E33149364_6_20260205T131105Z.jpg</v>
      </c>
      <c r="N242" s="8" t="str">
        <f>VLOOKUP(склад2въезд[[#This Row],[Name]], СпрСобытий!$F:$G, 2, FALSE)</f>
        <v>Ангар Склад 2 въезд</v>
      </c>
    </row>
    <row r="243" spans="1:14" x14ac:dyDescent="0.25">
      <c r="A243" s="2" t="s">
        <v>16</v>
      </c>
      <c r="B243" s="4">
        <v>46058</v>
      </c>
      <c r="C243" s="5">
        <v>0.55303240740740744</v>
      </c>
      <c r="D243" s="8" t="s">
        <v>62</v>
      </c>
      <c r="E243" s="8" t="s">
        <v>70</v>
      </c>
      <c r="F243" s="8" t="s">
        <v>11637</v>
      </c>
      <c r="G243">
        <v>2</v>
      </c>
      <c r="H243" s="8"/>
      <c r="I243" s="8" t="s">
        <v>11454</v>
      </c>
      <c r="J243" s="8" t="s">
        <v>2981</v>
      </c>
      <c r="K243" t="s">
        <v>11455</v>
      </c>
      <c r="L243" t="s">
        <v>11456</v>
      </c>
      <c r="M243" s="3" t="str">
        <f>HYPERLINK(склад2въезд[[#This Row],[RelativePath]])</f>
        <v>1 Ангар Склад 2 въезд\E33149364_6_20260205T131622Z.jpg</v>
      </c>
      <c r="N243" s="8" t="str">
        <f>VLOOKUP(склад2въезд[[#This Row],[Name]], СпрСобытий!$F:$G, 2, FALSE)</f>
        <v>Ангар Склад 2 въезд</v>
      </c>
    </row>
    <row r="244" spans="1:14" x14ac:dyDescent="0.25">
      <c r="A244" s="2" t="s">
        <v>16</v>
      </c>
      <c r="B244" s="4">
        <v>46058</v>
      </c>
      <c r="C244" s="5">
        <v>0.58532407407407405</v>
      </c>
      <c r="D244" s="8" t="s">
        <v>91</v>
      </c>
      <c r="E244" s="8" t="s">
        <v>70</v>
      </c>
      <c r="F244" s="8" t="s">
        <v>11637</v>
      </c>
      <c r="G244">
        <v>2</v>
      </c>
      <c r="H244" s="8"/>
      <c r="I244" s="8" t="s">
        <v>11457</v>
      </c>
      <c r="J244" s="8" t="s">
        <v>2981</v>
      </c>
      <c r="K244" t="s">
        <v>11458</v>
      </c>
      <c r="L244" t="s">
        <v>11459</v>
      </c>
      <c r="M244" s="3" t="str">
        <f>HYPERLINK(склад2въезд[[#This Row],[RelativePath]])</f>
        <v>1 Ангар Склад 2 въезд\E33149364_6_20260205T140252Z.jpg</v>
      </c>
      <c r="N244" s="8" t="str">
        <f>VLOOKUP(склад2въезд[[#This Row],[Name]], СпрСобытий!$F:$G, 2, FALSE)</f>
        <v>Ангар Склад 2 въезд</v>
      </c>
    </row>
    <row r="245" spans="1:14" x14ac:dyDescent="0.25">
      <c r="A245" s="2" t="s">
        <v>16</v>
      </c>
      <c r="B245" s="4">
        <v>46058</v>
      </c>
      <c r="C245" s="5">
        <v>0.60366898148148151</v>
      </c>
      <c r="D245" s="8" t="s">
        <v>62</v>
      </c>
      <c r="E245" s="8" t="s">
        <v>70</v>
      </c>
      <c r="F245" s="8" t="s">
        <v>51</v>
      </c>
      <c r="H245" s="8"/>
      <c r="I245" s="8" t="s">
        <v>11460</v>
      </c>
      <c r="J245" s="8" t="s">
        <v>2981</v>
      </c>
      <c r="K245" t="s">
        <v>11461</v>
      </c>
      <c r="L245" t="s">
        <v>11462</v>
      </c>
      <c r="M245" s="3" t="str">
        <f>HYPERLINK(склад2въезд[[#This Row],[RelativePath]])</f>
        <v>1 Ангар Склад 2 въезд\E33149364_6_20260205T142917Z.jpg</v>
      </c>
      <c r="N245" s="8" t="str">
        <f>VLOOKUP(склад2въезд[[#This Row],[Name]], СпрСобытий!$F:$G, 2, FALSE)</f>
        <v>Ангар Склад 2 въезд</v>
      </c>
    </row>
    <row r="246" spans="1:14" x14ac:dyDescent="0.25">
      <c r="A246" s="2" t="s">
        <v>16</v>
      </c>
      <c r="B246" s="4">
        <v>46058</v>
      </c>
      <c r="C246" s="5">
        <v>0.69364583333333329</v>
      </c>
      <c r="D246" s="8" t="s">
        <v>91</v>
      </c>
      <c r="E246" s="8" t="s">
        <v>66</v>
      </c>
      <c r="F246" s="8" t="s">
        <v>51</v>
      </c>
      <c r="H246" s="8"/>
      <c r="I246" s="8" t="s">
        <v>11463</v>
      </c>
      <c r="J246" s="8" t="s">
        <v>2981</v>
      </c>
      <c r="K246" t="s">
        <v>11464</v>
      </c>
      <c r="L246" t="s">
        <v>11465</v>
      </c>
      <c r="M246" s="3" t="str">
        <f>HYPERLINK(склад2въезд[[#This Row],[RelativePath]])</f>
        <v>1 Ангар Склад 2 въезд\E33149364_6_20260205T163851Z.jpg</v>
      </c>
      <c r="N246" s="8" t="str">
        <f>VLOOKUP(склад2въезд[[#This Row],[Name]], СпрСобытий!$F:$G, 2, FALSE)</f>
        <v>Ангар Склад 2 въезд</v>
      </c>
    </row>
    <row r="247" spans="1:14" x14ac:dyDescent="0.25">
      <c r="A247" s="2" t="s">
        <v>16</v>
      </c>
      <c r="B247" s="4">
        <v>46058</v>
      </c>
      <c r="C247" s="5">
        <v>0.69685185185185183</v>
      </c>
      <c r="D247" s="8" t="s">
        <v>62</v>
      </c>
      <c r="E247" s="8" t="s">
        <v>66</v>
      </c>
      <c r="F247" s="8" t="s">
        <v>51</v>
      </c>
      <c r="H247" s="8" t="s">
        <v>5140</v>
      </c>
      <c r="I247" s="8" t="s">
        <v>11466</v>
      </c>
      <c r="J247" s="8" t="s">
        <v>2981</v>
      </c>
      <c r="K247" t="s">
        <v>11467</v>
      </c>
      <c r="L247" t="s">
        <v>11468</v>
      </c>
      <c r="M247" s="3" t="str">
        <f>HYPERLINK(склад2въезд[[#This Row],[RelativePath]])</f>
        <v>1 Ангар Склад 2 въезд\E33149364_6_20260205T164328Z.jpg</v>
      </c>
      <c r="N247" s="8" t="str">
        <f>VLOOKUP(склад2въезд[[#This Row],[Name]], СпрСобытий!$F:$G, 2, FALSE)</f>
        <v>Ангар Склад 2 въезд</v>
      </c>
    </row>
    <row r="248" spans="1:14" x14ac:dyDescent="0.25">
      <c r="A248" s="2" t="s">
        <v>17</v>
      </c>
      <c r="B248" s="4">
        <v>46059</v>
      </c>
      <c r="C248" s="5">
        <v>0.74123842592592593</v>
      </c>
      <c r="D248" s="8" t="s">
        <v>2004</v>
      </c>
      <c r="E248" s="8"/>
      <c r="F248" s="8"/>
      <c r="H248" s="8"/>
      <c r="I248" s="8" t="s">
        <v>11469</v>
      </c>
      <c r="J248" s="8" t="s">
        <v>2981</v>
      </c>
      <c r="K248" t="s">
        <v>11470</v>
      </c>
      <c r="L248" t="s">
        <v>11471</v>
      </c>
      <c r="M248" s="3" t="str">
        <f>HYPERLINK(склад2въезд[[#This Row],[RelativePath]])</f>
        <v>1 Ангар Склад 2 въезд\E33149364_6_20260206T174723Z.jpg</v>
      </c>
      <c r="N248" s="8" t="str">
        <f>VLOOKUP(склад2въезд[[#This Row],[Name]], СпрСобытий!$F:$G, 2, FALSE)</f>
        <v>Ангар Склад 2 въезд</v>
      </c>
    </row>
    <row r="249" spans="1:14" x14ac:dyDescent="0.25">
      <c r="A249" s="2" t="s">
        <v>18</v>
      </c>
      <c r="B249" s="4">
        <v>46060</v>
      </c>
      <c r="C249" s="5">
        <v>0.66508101851851853</v>
      </c>
      <c r="D249" s="8" t="s">
        <v>91</v>
      </c>
      <c r="E249" s="8" t="s">
        <v>11772</v>
      </c>
      <c r="F249" s="8"/>
      <c r="H249" s="8"/>
      <c r="I249" s="8" t="s">
        <v>11682</v>
      </c>
      <c r="J249" s="8" t="s">
        <v>2981</v>
      </c>
      <c r="K249" t="s">
        <v>11683</v>
      </c>
      <c r="L249" t="s">
        <v>11684</v>
      </c>
      <c r="M249" s="3" t="str">
        <f>HYPERLINK(склад2въезд[[#This Row],[RelativePath]])</f>
        <v>1 Ангар Склад 2 въезд\E33149364_6_20260207T155743Z.jpg</v>
      </c>
      <c r="N249" s="8" t="str">
        <f>VLOOKUP(склад2въезд[[#This Row],[Name]], СпрСобытий!$F:$G, 2, FALSE)</f>
        <v>Ангар Склад 2 въезд</v>
      </c>
    </row>
    <row r="250" spans="1:14" x14ac:dyDescent="0.25">
      <c r="A250" s="2" t="s">
        <v>18</v>
      </c>
      <c r="B250" s="4">
        <v>46060</v>
      </c>
      <c r="C250" s="5">
        <v>0.69887731481481485</v>
      </c>
      <c r="D250" s="8" t="s">
        <v>62</v>
      </c>
      <c r="E250" s="8" t="s">
        <v>11772</v>
      </c>
      <c r="F250" s="8"/>
      <c r="H250" s="8"/>
      <c r="I250" s="8" t="s">
        <v>11685</v>
      </c>
      <c r="J250" s="8" t="s">
        <v>2981</v>
      </c>
      <c r="K250" t="s">
        <v>11686</v>
      </c>
      <c r="L250" t="s">
        <v>11687</v>
      </c>
      <c r="M250" s="3" t="str">
        <f>HYPERLINK(склад2въезд[[#This Row],[RelativePath]])</f>
        <v>1 Ангар Склад 2 въезд\E33149364_6_20260207T164623Z.jpg</v>
      </c>
      <c r="N250" s="8" t="str">
        <f>VLOOKUP(склад2въезд[[#This Row],[Name]], СпрСобытий!$F:$G, 2, FALSE)</f>
        <v>Ангар Склад 2 въезд</v>
      </c>
    </row>
    <row r="251" spans="1:14" x14ac:dyDescent="0.25">
      <c r="A251" s="2" t="s">
        <v>22</v>
      </c>
      <c r="B251" s="4">
        <v>46061</v>
      </c>
      <c r="C251" s="5">
        <v>0.75907407407407412</v>
      </c>
      <c r="D251" s="8" t="s">
        <v>2004</v>
      </c>
      <c r="E251" s="8"/>
      <c r="F251" s="8"/>
      <c r="H251" s="8"/>
      <c r="I251" s="8" t="s">
        <v>11688</v>
      </c>
      <c r="J251" s="8" t="s">
        <v>2981</v>
      </c>
      <c r="K251" t="s">
        <v>11689</v>
      </c>
      <c r="L251" t="s">
        <v>11690</v>
      </c>
      <c r="M251" s="3" t="str">
        <f>HYPERLINK(склад2въезд[[#This Row],[RelativePath]])</f>
        <v>1 Ангар Склад 2 въезд\E33149364_6_20260208T181304Z.jpg</v>
      </c>
      <c r="N251" s="8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252:E265 D252:D262 G2:H251 D2:E251">
    <cfRule type="containsText" dxfId="768" priority="23" operator="containsText" text="Выезд с территории">
      <formula>NOT(ISERROR(SEARCH("Выезд с территории",D2)))</formula>
    </cfRule>
  </conditionalFormatting>
  <conditionalFormatting sqref="F2:F739">
    <cfRule type="notContainsText" dxfId="767" priority="21" operator="notContains" text="порожний">
      <formula>ISERROR(SEARCH("порожний",F2))</formula>
    </cfRule>
  </conditionalFormatting>
  <conditionalFormatting sqref="E2:E265">
    <cfRule type="containsText" dxfId="766" priority="12" operator="containsText" text="Газель базы">
      <formula>NOT(ISERROR(SEARCH("Газель базы",E2)))</formula>
    </cfRule>
    <cfRule type="containsText" dxfId="765" priority="13" operator="containsText" text="Погрузчик базы">
      <formula>NOT(ISERROR(SEARCH("Погрузчик базы",E2)))</formula>
    </cfRule>
  </conditionalFormatting>
  <conditionalFormatting sqref="E2:E265">
    <cfRule type="containsText" dxfId="764" priority="11" operator="containsText" text="Трактор базы">
      <formula>NOT(ISERROR(SEARCH("Трактор базы",E2)))</formula>
    </cfRule>
  </conditionalFormatting>
  <conditionalFormatting sqref="A2:C251">
    <cfRule type="expression" dxfId="763" priority="9">
      <formula>$A2="пн"</formula>
    </cfRule>
  </conditionalFormatting>
  <conditionalFormatting sqref="A2:C253">
    <cfRule type="expression" dxfId="762" priority="3">
      <formula>$A2="вс"</formula>
    </cfRule>
    <cfRule type="expression" dxfId="761" priority="4">
      <formula>$A2="сб"</formula>
    </cfRule>
    <cfRule type="expression" dxfId="760" priority="5">
      <formula>$A2="пт"</formula>
    </cfRule>
    <cfRule type="expression" dxfId="759" priority="6">
      <formula>$A2="чт"</formula>
    </cfRule>
    <cfRule type="expression" dxfId="758" priority="7">
      <formula>$A2="ср"</formula>
    </cfRule>
    <cfRule type="expression" dxfId="757" priority="8">
      <formula>$A2="вт"</formula>
    </cfRule>
  </conditionalFormatting>
  <conditionalFormatting sqref="D2:D262">
    <cfRule type="containsText" dxfId="75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2">
    <cfRule type="containsText" dxfId="75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79"/>
  <sheetViews>
    <sheetView zoomScale="90" zoomScaleNormal="90" workbookViewId="0">
      <pane ySplit="1" topLeftCell="A264" activePane="bottomLeft" state="frozen"/>
      <selection pane="bottomLeft" activeCell="I278" sqref="I278:I279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42578125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s="8" t="s">
        <v>4</v>
      </c>
      <c r="E2" s="8" t="s">
        <v>8</v>
      </c>
      <c r="F2" s="8"/>
      <c r="H2" s="8"/>
      <c r="I2" s="8" t="s">
        <v>92</v>
      </c>
      <c r="J2" s="8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s="8" t="s">
        <v>158</v>
      </c>
      <c r="E3" s="8" t="s">
        <v>86</v>
      </c>
      <c r="F3" s="8" t="s">
        <v>60</v>
      </c>
      <c r="G3">
        <v>2</v>
      </c>
      <c r="H3" s="8"/>
      <c r="I3" s="8" t="s">
        <v>94</v>
      </c>
      <c r="J3" s="8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s="8" t="s">
        <v>158</v>
      </c>
      <c r="E4" s="8" t="s">
        <v>86</v>
      </c>
      <c r="F4" s="8" t="s">
        <v>60</v>
      </c>
      <c r="G4">
        <v>1</v>
      </c>
      <c r="H4" s="8"/>
      <c r="I4" s="8" t="s">
        <v>96</v>
      </c>
      <c r="J4" s="8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s="8" t="s">
        <v>158</v>
      </c>
      <c r="E5" s="8" t="s">
        <v>86</v>
      </c>
      <c r="F5" s="8" t="s">
        <v>60</v>
      </c>
      <c r="G5">
        <v>2</v>
      </c>
      <c r="H5" s="8"/>
      <c r="I5" s="8" t="s">
        <v>98</v>
      </c>
      <c r="J5" s="8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s="8" t="s">
        <v>158</v>
      </c>
      <c r="E6" s="8" t="s">
        <v>86</v>
      </c>
      <c r="F6" s="8" t="s">
        <v>60</v>
      </c>
      <c r="G6">
        <v>2</v>
      </c>
      <c r="H6" s="8"/>
      <c r="I6" s="8" t="s">
        <v>100</v>
      </c>
      <c r="J6" s="8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s="8" t="s">
        <v>158</v>
      </c>
      <c r="E7" s="8" t="s">
        <v>86</v>
      </c>
      <c r="F7" s="8" t="s">
        <v>60</v>
      </c>
      <c r="G7">
        <v>1</v>
      </c>
      <c r="H7" s="8"/>
      <c r="I7" s="8" t="s">
        <v>102</v>
      </c>
      <c r="J7" s="8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s="8" t="s">
        <v>158</v>
      </c>
      <c r="E8" s="8" t="s">
        <v>86</v>
      </c>
      <c r="F8" s="8" t="s">
        <v>60</v>
      </c>
      <c r="G8">
        <v>2</v>
      </c>
      <c r="H8" s="8"/>
      <c r="I8" s="8" t="s">
        <v>104</v>
      </c>
      <c r="J8" s="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s="8" t="s">
        <v>158</v>
      </c>
      <c r="E9" s="8" t="s">
        <v>86</v>
      </c>
      <c r="F9" s="8" t="s">
        <v>60</v>
      </c>
      <c r="G9">
        <v>1</v>
      </c>
      <c r="H9" s="8"/>
      <c r="I9" s="8" t="s">
        <v>106</v>
      </c>
      <c r="J9" s="8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s="8" t="s">
        <v>4</v>
      </c>
      <c r="E10" s="8" t="s">
        <v>8</v>
      </c>
      <c r="F10" s="8"/>
      <c r="H10" s="8"/>
      <c r="I10" s="8" t="s">
        <v>108</v>
      </c>
      <c r="J10" s="8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s="8" t="s">
        <v>4</v>
      </c>
      <c r="E11" s="8" t="s">
        <v>8</v>
      </c>
      <c r="F11" s="8"/>
      <c r="H11" s="8"/>
      <c r="I11" s="8" t="s">
        <v>110</v>
      </c>
      <c r="J11" s="8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s="8" t="s">
        <v>159</v>
      </c>
      <c r="E12" s="8" t="s">
        <v>63</v>
      </c>
      <c r="F12" s="8" t="s">
        <v>51</v>
      </c>
      <c r="H12" s="8"/>
      <c r="I12" s="8" t="s">
        <v>112</v>
      </c>
      <c r="J12" s="8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s="8" t="s">
        <v>158</v>
      </c>
      <c r="E13" s="8" t="s">
        <v>86</v>
      </c>
      <c r="F13" s="8" t="s">
        <v>60</v>
      </c>
      <c r="G13">
        <v>1</v>
      </c>
      <c r="H13" s="8"/>
      <c r="I13" s="8" t="s">
        <v>114</v>
      </c>
      <c r="J13" s="8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s="8" t="s">
        <v>158</v>
      </c>
      <c r="E14" s="8" t="s">
        <v>86</v>
      </c>
      <c r="F14" s="8" t="s">
        <v>60</v>
      </c>
      <c r="G14">
        <v>1</v>
      </c>
      <c r="H14" s="8"/>
      <c r="I14" s="8" t="s">
        <v>116</v>
      </c>
      <c r="J14" s="8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s="8" t="s">
        <v>158</v>
      </c>
      <c r="E15" s="8" t="s">
        <v>86</v>
      </c>
      <c r="F15" s="8" t="s">
        <v>60</v>
      </c>
      <c r="G15">
        <v>1</v>
      </c>
      <c r="H15" s="8"/>
      <c r="I15" s="8" t="s">
        <v>118</v>
      </c>
      <c r="J15" s="8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s="8" t="s">
        <v>158</v>
      </c>
      <c r="E16" s="8" t="s">
        <v>86</v>
      </c>
      <c r="F16" s="8" t="s">
        <v>60</v>
      </c>
      <c r="G16">
        <v>2</v>
      </c>
      <c r="H16" s="8"/>
      <c r="I16" s="8" t="s">
        <v>120</v>
      </c>
      <c r="J16" s="8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s="8" t="s">
        <v>158</v>
      </c>
      <c r="E17" s="8" t="s">
        <v>86</v>
      </c>
      <c r="F17" s="8" t="s">
        <v>60</v>
      </c>
      <c r="G17">
        <v>1</v>
      </c>
      <c r="H17" s="8"/>
      <c r="I17" s="8" t="s">
        <v>122</v>
      </c>
      <c r="J17" s="8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s="8" t="s">
        <v>4</v>
      </c>
      <c r="E18" s="8" t="s">
        <v>8</v>
      </c>
      <c r="F18" s="8"/>
      <c r="H18" s="8"/>
      <c r="I18" s="8" t="s">
        <v>124</v>
      </c>
      <c r="J18" s="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s="8" t="s">
        <v>4</v>
      </c>
      <c r="E19" s="8" t="s">
        <v>8</v>
      </c>
      <c r="F19" s="8"/>
      <c r="H19" s="8"/>
      <c r="I19" s="8" t="s">
        <v>126</v>
      </c>
      <c r="J19" s="8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s="8" t="s">
        <v>159</v>
      </c>
      <c r="E20" s="8" t="s">
        <v>70</v>
      </c>
      <c r="F20" s="8"/>
      <c r="H20" s="8"/>
      <c r="I20" s="8" t="s">
        <v>128</v>
      </c>
      <c r="J20" s="8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s="8" t="s">
        <v>158</v>
      </c>
      <c r="E21" s="8" t="s">
        <v>86</v>
      </c>
      <c r="F21" s="8" t="s">
        <v>60</v>
      </c>
      <c r="G21">
        <v>1</v>
      </c>
      <c r="H21" s="8"/>
      <c r="I21" s="8" t="s">
        <v>130</v>
      </c>
      <c r="J21" s="8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s="8" t="s">
        <v>4</v>
      </c>
      <c r="E22" s="8" t="s">
        <v>160</v>
      </c>
      <c r="F22" s="8"/>
      <c r="H22" s="8"/>
      <c r="I22" s="8" t="s">
        <v>132</v>
      </c>
      <c r="J22" s="8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s="8" t="s">
        <v>4</v>
      </c>
      <c r="E23" s="8" t="s">
        <v>8</v>
      </c>
      <c r="F23" s="8"/>
      <c r="H23" s="8"/>
      <c r="I23" s="8" t="s">
        <v>134</v>
      </c>
      <c r="J23" s="8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s="8" t="s">
        <v>4</v>
      </c>
      <c r="E24" s="8" t="s">
        <v>8</v>
      </c>
      <c r="F24" s="8"/>
      <c r="H24" s="8"/>
      <c r="I24" s="8" t="s">
        <v>161</v>
      </c>
      <c r="J24" s="8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s="8" t="s">
        <v>159</v>
      </c>
      <c r="E25" s="8" t="s">
        <v>86</v>
      </c>
      <c r="F25" s="8" t="s">
        <v>200</v>
      </c>
      <c r="H25" s="8"/>
      <c r="I25" s="8" t="s">
        <v>164</v>
      </c>
      <c r="J25" s="8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s="8" t="s">
        <v>159</v>
      </c>
      <c r="E26" s="8" t="s">
        <v>86</v>
      </c>
      <c r="F26" s="8" t="s">
        <v>200</v>
      </c>
      <c r="H26" s="8"/>
      <c r="I26" s="8" t="s">
        <v>167</v>
      </c>
      <c r="J26" s="8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s="8" t="s">
        <v>201</v>
      </c>
      <c r="E27" s="8" t="s">
        <v>86</v>
      </c>
      <c r="F27" s="8" t="s">
        <v>51</v>
      </c>
      <c r="H27" s="8"/>
      <c r="I27" s="8" t="s">
        <v>170</v>
      </c>
      <c r="J27" s="8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s="8" t="s">
        <v>159</v>
      </c>
      <c r="E28" s="8" t="s">
        <v>86</v>
      </c>
      <c r="F28" s="8" t="s">
        <v>200</v>
      </c>
      <c r="H28" s="8"/>
      <c r="I28" s="8" t="s">
        <v>173</v>
      </c>
      <c r="J28" s="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s="8" t="s">
        <v>159</v>
      </c>
      <c r="E29" s="8" t="s">
        <v>86</v>
      </c>
      <c r="F29" s="8" t="s">
        <v>200</v>
      </c>
      <c r="H29" s="8"/>
      <c r="I29" s="8" t="s">
        <v>176</v>
      </c>
      <c r="J29" s="8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s="8" t="s">
        <v>158</v>
      </c>
      <c r="E30" s="8" t="s">
        <v>86</v>
      </c>
      <c r="F30" s="8" t="s">
        <v>60</v>
      </c>
      <c r="G30">
        <v>1</v>
      </c>
      <c r="H30" s="8"/>
      <c r="I30" s="8" t="s">
        <v>179</v>
      </c>
      <c r="J30" s="8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s="8" t="s">
        <v>159</v>
      </c>
      <c r="E31" s="8" t="s">
        <v>86</v>
      </c>
      <c r="F31" s="8" t="s">
        <v>200</v>
      </c>
      <c r="H31" s="8"/>
      <c r="I31" s="8" t="s">
        <v>182</v>
      </c>
      <c r="J31" s="8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s="8" t="s">
        <v>159</v>
      </c>
      <c r="E32" s="8" t="s">
        <v>86</v>
      </c>
      <c r="F32" s="8" t="s">
        <v>200</v>
      </c>
      <c r="H32" s="8"/>
      <c r="I32" s="8" t="s">
        <v>185</v>
      </c>
      <c r="J32" s="8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s="8" t="s">
        <v>159</v>
      </c>
      <c r="E33" s="8" t="s">
        <v>86</v>
      </c>
      <c r="F33" s="8" t="s">
        <v>200</v>
      </c>
      <c r="H33" s="8"/>
      <c r="I33" s="8" t="s">
        <v>188</v>
      </c>
      <c r="J33" s="8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s="8" t="s">
        <v>202</v>
      </c>
      <c r="E34" s="8" t="s">
        <v>86</v>
      </c>
      <c r="F34" s="8" t="s">
        <v>51</v>
      </c>
      <c r="H34" s="8"/>
      <c r="I34" s="8" t="s">
        <v>191</v>
      </c>
      <c r="J34" s="8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s="8" t="s">
        <v>159</v>
      </c>
      <c r="E35" s="8" t="s">
        <v>86</v>
      </c>
      <c r="F35" s="8" t="s">
        <v>87</v>
      </c>
      <c r="H35" s="8"/>
      <c r="I35" s="8" t="s">
        <v>194</v>
      </c>
      <c r="J35" s="8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s="8" t="s">
        <v>4</v>
      </c>
      <c r="E36" s="8" t="s">
        <v>8</v>
      </c>
      <c r="F36" s="8"/>
      <c r="H36" s="8"/>
      <c r="I36" s="8" t="s">
        <v>197</v>
      </c>
      <c r="J36" s="8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s="8" t="s">
        <v>4</v>
      </c>
      <c r="E37" s="8" t="s">
        <v>8</v>
      </c>
      <c r="F37" s="8"/>
      <c r="H37" s="8" t="s">
        <v>2004</v>
      </c>
      <c r="I37" s="8" t="s">
        <v>1178</v>
      </c>
      <c r="J37" s="8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s="8" t="s">
        <v>4</v>
      </c>
      <c r="E38" s="8" t="s">
        <v>8</v>
      </c>
      <c r="F38" s="8"/>
      <c r="H38" s="8"/>
      <c r="I38" s="8" t="s">
        <v>1181</v>
      </c>
      <c r="J38" s="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s="8" t="s">
        <v>4</v>
      </c>
      <c r="E39" s="8" t="s">
        <v>8</v>
      </c>
      <c r="F39" s="8"/>
      <c r="H39" s="8" t="s">
        <v>2004</v>
      </c>
      <c r="I39" s="8" t="s">
        <v>1184</v>
      </c>
      <c r="J39" s="8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s="8" t="s">
        <v>4</v>
      </c>
      <c r="E40" s="8" t="s">
        <v>8</v>
      </c>
      <c r="F40" s="8"/>
      <c r="H40" s="8"/>
      <c r="I40" s="8" t="s">
        <v>1187</v>
      </c>
      <c r="J40" s="8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s="8" t="s">
        <v>2004</v>
      </c>
      <c r="E41" s="8"/>
      <c r="F41" s="8"/>
      <c r="H41" s="8"/>
      <c r="I41" s="8" t="s">
        <v>2025</v>
      </c>
      <c r="J41" s="8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s="8" t="s">
        <v>2004</v>
      </c>
      <c r="E42" s="8"/>
      <c r="F42" s="8"/>
      <c r="H42" s="8"/>
      <c r="I42" s="8" t="s">
        <v>2028</v>
      </c>
      <c r="J42" s="8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s="8" t="s">
        <v>2004</v>
      </c>
      <c r="E43" s="8"/>
      <c r="F43" s="8"/>
      <c r="H43" s="8"/>
      <c r="I43" s="8" t="s">
        <v>2031</v>
      </c>
      <c r="J43" s="8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s="8" t="s">
        <v>2926</v>
      </c>
      <c r="E44" s="8"/>
      <c r="F44" s="8"/>
      <c r="H44" s="8"/>
      <c r="I44" s="8" t="s">
        <v>2034</v>
      </c>
      <c r="J44" s="8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s="8" t="s">
        <v>4</v>
      </c>
      <c r="E45" s="8" t="s">
        <v>8</v>
      </c>
      <c r="F45" s="8"/>
      <c r="H45" s="8"/>
      <c r="I45" s="8" t="s">
        <v>2037</v>
      </c>
      <c r="J45" s="8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s="8" t="s">
        <v>2004</v>
      </c>
      <c r="E46" s="8"/>
      <c r="F46" s="8"/>
      <c r="H46" s="8"/>
      <c r="I46" s="8" t="s">
        <v>2040</v>
      </c>
      <c r="J46" s="8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s="8" t="s">
        <v>2004</v>
      </c>
      <c r="E47" s="8"/>
      <c r="F47" s="8"/>
      <c r="H47" s="8"/>
      <c r="I47" s="8" t="s">
        <v>2043</v>
      </c>
      <c r="J47" s="8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s="8" t="s">
        <v>2004</v>
      </c>
      <c r="E48" s="8"/>
      <c r="F48" s="8"/>
      <c r="H48" s="8"/>
      <c r="I48" s="8" t="s">
        <v>2046</v>
      </c>
      <c r="J48" s="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s="8" t="s">
        <v>289</v>
      </c>
      <c r="E49" s="8" t="s">
        <v>86</v>
      </c>
      <c r="F49" s="8" t="s">
        <v>3071</v>
      </c>
      <c r="H49" s="8" t="s">
        <v>3072</v>
      </c>
      <c r="I49" s="8" t="s">
        <v>3020</v>
      </c>
      <c r="J49" s="8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s="8" t="s">
        <v>3073</v>
      </c>
      <c r="E50" s="8" t="s">
        <v>86</v>
      </c>
      <c r="F50" s="8" t="s">
        <v>3071</v>
      </c>
      <c r="H50" s="8" t="s">
        <v>3074</v>
      </c>
      <c r="I50" s="8" t="s">
        <v>3023</v>
      </c>
      <c r="J50" s="8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s="8" t="s">
        <v>289</v>
      </c>
      <c r="E51" s="8" t="s">
        <v>86</v>
      </c>
      <c r="F51" s="8" t="s">
        <v>3071</v>
      </c>
      <c r="H51" s="8" t="s">
        <v>3072</v>
      </c>
      <c r="I51" s="8" t="s">
        <v>3026</v>
      </c>
      <c r="J51" s="8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s="8" t="s">
        <v>3073</v>
      </c>
      <c r="E52" s="8" t="s">
        <v>86</v>
      </c>
      <c r="F52" s="8" t="s">
        <v>3071</v>
      </c>
      <c r="H52" s="8" t="s">
        <v>3074</v>
      </c>
      <c r="I52" s="8" t="s">
        <v>3029</v>
      </c>
      <c r="J52" s="8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s="8" t="s">
        <v>158</v>
      </c>
      <c r="E53" s="8" t="s">
        <v>86</v>
      </c>
      <c r="F53" s="8" t="s">
        <v>60</v>
      </c>
      <c r="G53">
        <v>4</v>
      </c>
      <c r="H53" s="8" t="s">
        <v>3075</v>
      </c>
      <c r="I53" s="8" t="s">
        <v>3032</v>
      </c>
      <c r="J53" s="8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s="8" t="s">
        <v>289</v>
      </c>
      <c r="E54" s="8" t="s">
        <v>86</v>
      </c>
      <c r="F54" s="8" t="s">
        <v>3071</v>
      </c>
      <c r="H54" s="8" t="s">
        <v>3072</v>
      </c>
      <c r="I54" s="8" t="s">
        <v>3035</v>
      </c>
      <c r="J54" s="8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s="8" t="s">
        <v>3073</v>
      </c>
      <c r="E55" s="8" t="s">
        <v>86</v>
      </c>
      <c r="F55" s="8" t="s">
        <v>3071</v>
      </c>
      <c r="H55" s="8" t="s">
        <v>3074</v>
      </c>
      <c r="I55" s="8" t="s">
        <v>3038</v>
      </c>
      <c r="J55" s="8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s="8" t="s">
        <v>289</v>
      </c>
      <c r="E56" s="8" t="s">
        <v>86</v>
      </c>
      <c r="F56" s="8" t="s">
        <v>3071</v>
      </c>
      <c r="H56" s="8" t="s">
        <v>3072</v>
      </c>
      <c r="I56" s="8" t="s">
        <v>3041</v>
      </c>
      <c r="J56" s="8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s="8" t="s">
        <v>3073</v>
      </c>
      <c r="E57" s="8" t="s">
        <v>86</v>
      </c>
      <c r="F57" s="8" t="s">
        <v>3071</v>
      </c>
      <c r="H57" s="8" t="s">
        <v>3074</v>
      </c>
      <c r="I57" s="8" t="s">
        <v>3044</v>
      </c>
      <c r="J57" s="8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s="8" t="s">
        <v>289</v>
      </c>
      <c r="E58" s="8" t="s">
        <v>86</v>
      </c>
      <c r="F58" s="8" t="s">
        <v>3071</v>
      </c>
      <c r="H58" s="8" t="s">
        <v>3072</v>
      </c>
      <c r="I58" s="8" t="s">
        <v>3047</v>
      </c>
      <c r="J58" s="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s="8" t="s">
        <v>3073</v>
      </c>
      <c r="E59" s="8" t="s">
        <v>86</v>
      </c>
      <c r="F59" s="8" t="s">
        <v>3071</v>
      </c>
      <c r="H59" s="8" t="s">
        <v>3074</v>
      </c>
      <c r="I59" s="8" t="s">
        <v>3050</v>
      </c>
      <c r="J59" s="8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s="8" t="s">
        <v>289</v>
      </c>
      <c r="E60" s="8" t="s">
        <v>86</v>
      </c>
      <c r="F60" s="8" t="s">
        <v>3076</v>
      </c>
      <c r="G60">
        <v>1</v>
      </c>
      <c r="H60" s="8"/>
      <c r="I60" s="8" t="s">
        <v>3053</v>
      </c>
      <c r="J60" s="8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s="8" t="s">
        <v>3073</v>
      </c>
      <c r="E61" s="8" t="s">
        <v>86</v>
      </c>
      <c r="F61" s="8" t="s">
        <v>3076</v>
      </c>
      <c r="G61">
        <v>1</v>
      </c>
      <c r="H61" s="8" t="s">
        <v>3077</v>
      </c>
      <c r="I61" s="8" t="s">
        <v>3056</v>
      </c>
      <c r="J61" s="8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s="8" t="s">
        <v>289</v>
      </c>
      <c r="E62" s="8" t="s">
        <v>86</v>
      </c>
      <c r="F62" s="8" t="s">
        <v>3076</v>
      </c>
      <c r="G62">
        <v>1</v>
      </c>
      <c r="H62" s="8"/>
      <c r="I62" s="8" t="s">
        <v>3059</v>
      </c>
      <c r="J62" s="8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s="8" t="s">
        <v>3073</v>
      </c>
      <c r="E63" s="8" t="s">
        <v>86</v>
      </c>
      <c r="F63" s="8" t="s">
        <v>3076</v>
      </c>
      <c r="G63">
        <v>1</v>
      </c>
      <c r="H63" s="8" t="s">
        <v>3077</v>
      </c>
      <c r="I63" s="8" t="s">
        <v>3062</v>
      </c>
      <c r="J63" s="8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s="8" t="s">
        <v>158</v>
      </c>
      <c r="E64" s="8" t="s">
        <v>86</v>
      </c>
      <c r="F64" s="8" t="s">
        <v>60</v>
      </c>
      <c r="G64">
        <v>1</v>
      </c>
      <c r="H64" s="8" t="s">
        <v>3075</v>
      </c>
      <c r="I64" s="8" t="s">
        <v>3065</v>
      </c>
      <c r="J64" s="8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s="8" t="s">
        <v>4</v>
      </c>
      <c r="E65" s="8" t="s">
        <v>8</v>
      </c>
      <c r="F65" s="8"/>
      <c r="H65" s="8" t="s">
        <v>3078</v>
      </c>
      <c r="I65" s="8" t="s">
        <v>3068</v>
      </c>
      <c r="J65" s="8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s="8" t="s">
        <v>4198</v>
      </c>
      <c r="E66" s="8" t="s">
        <v>4192</v>
      </c>
      <c r="F66" s="8" t="s">
        <v>51</v>
      </c>
      <c r="H66" s="8"/>
      <c r="I66" s="8" t="s">
        <v>3261</v>
      </c>
      <c r="J66" s="8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s="8" t="s">
        <v>4199</v>
      </c>
      <c r="E67" s="8" t="s">
        <v>4200</v>
      </c>
      <c r="F67" s="8"/>
      <c r="H67" s="8" t="s">
        <v>3075</v>
      </c>
      <c r="I67" s="8" t="s">
        <v>3264</v>
      </c>
      <c r="J67" s="8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s="8" t="s">
        <v>4199</v>
      </c>
      <c r="E68" s="8" t="s">
        <v>4200</v>
      </c>
      <c r="F68" s="8"/>
      <c r="H68" s="8" t="s">
        <v>2936</v>
      </c>
      <c r="I68" s="8" t="s">
        <v>3267</v>
      </c>
      <c r="J68" s="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s="8" t="s">
        <v>4199</v>
      </c>
      <c r="E69" s="8" t="s">
        <v>4200</v>
      </c>
      <c r="F69" s="8"/>
      <c r="H69" s="8" t="s">
        <v>2936</v>
      </c>
      <c r="I69" s="8" t="s">
        <v>3270</v>
      </c>
      <c r="J69" s="8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s="8" t="s">
        <v>4199</v>
      </c>
      <c r="E70" s="8" t="s">
        <v>4200</v>
      </c>
      <c r="F70" s="8"/>
      <c r="H70" s="8" t="s">
        <v>2936</v>
      </c>
      <c r="I70" s="8" t="s">
        <v>3273</v>
      </c>
      <c r="J70" s="8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s="8" t="s">
        <v>4199</v>
      </c>
      <c r="E71" s="8" t="s">
        <v>4200</v>
      </c>
      <c r="F71" s="8"/>
      <c r="H71" s="8" t="s">
        <v>2936</v>
      </c>
      <c r="I71" s="8" t="s">
        <v>3276</v>
      </c>
      <c r="J71" s="8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s="8" t="s">
        <v>4199</v>
      </c>
      <c r="E72" s="8" t="s">
        <v>4200</v>
      </c>
      <c r="F72" s="8"/>
      <c r="H72" s="8" t="s">
        <v>2936</v>
      </c>
      <c r="I72" s="8" t="s">
        <v>3279</v>
      </c>
      <c r="J72" s="8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s="8" t="s">
        <v>4199</v>
      </c>
      <c r="E73" s="8" t="s">
        <v>4200</v>
      </c>
      <c r="F73" s="8"/>
      <c r="H73" s="8" t="s">
        <v>2936</v>
      </c>
      <c r="I73" s="8" t="s">
        <v>3282</v>
      </c>
      <c r="J73" s="8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s="8" t="s">
        <v>4199</v>
      </c>
      <c r="E74" s="8" t="s">
        <v>4200</v>
      </c>
      <c r="F74" s="8"/>
      <c r="H74" s="8" t="s">
        <v>2936</v>
      </c>
      <c r="I74" s="8" t="s">
        <v>3285</v>
      </c>
      <c r="J74" s="8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s="8" t="s">
        <v>4199</v>
      </c>
      <c r="E75" s="8" t="s">
        <v>4200</v>
      </c>
      <c r="F75" s="8"/>
      <c r="H75" s="8" t="s">
        <v>2936</v>
      </c>
      <c r="I75" s="8" t="s">
        <v>3288</v>
      </c>
      <c r="J75" s="8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s="8" t="s">
        <v>4199</v>
      </c>
      <c r="E76" s="8" t="s">
        <v>4200</v>
      </c>
      <c r="F76" s="8"/>
      <c r="H76" s="8" t="s">
        <v>2936</v>
      </c>
      <c r="I76" s="8" t="s">
        <v>3291</v>
      </c>
      <c r="J76" s="8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s="8" t="s">
        <v>4199</v>
      </c>
      <c r="E77" s="8" t="s">
        <v>4200</v>
      </c>
      <c r="F77" s="8"/>
      <c r="H77" s="8" t="s">
        <v>2936</v>
      </c>
      <c r="I77" s="8" t="s">
        <v>3294</v>
      </c>
      <c r="J77" s="8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s="8" t="s">
        <v>289</v>
      </c>
      <c r="E78" s="8" t="s">
        <v>86</v>
      </c>
      <c r="F78" s="8" t="s">
        <v>3071</v>
      </c>
      <c r="H78" s="8" t="s">
        <v>3072</v>
      </c>
      <c r="I78" s="8" t="s">
        <v>3297</v>
      </c>
      <c r="J78" s="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s="8" t="s">
        <v>3073</v>
      </c>
      <c r="E79" s="8" t="s">
        <v>86</v>
      </c>
      <c r="F79" s="8" t="s">
        <v>3071</v>
      </c>
      <c r="H79" s="8" t="s">
        <v>3074</v>
      </c>
      <c r="I79" s="8" t="s">
        <v>3300</v>
      </c>
      <c r="J79" s="8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s="8" t="s">
        <v>289</v>
      </c>
      <c r="E80" s="8" t="s">
        <v>86</v>
      </c>
      <c r="F80" s="8" t="s">
        <v>3071</v>
      </c>
      <c r="H80" s="8" t="s">
        <v>3072</v>
      </c>
      <c r="I80" s="8" t="s">
        <v>3303</v>
      </c>
      <c r="J80" s="8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s="8" t="s">
        <v>3073</v>
      </c>
      <c r="E81" s="8" t="s">
        <v>86</v>
      </c>
      <c r="F81" s="8" t="s">
        <v>3071</v>
      </c>
      <c r="H81" s="8" t="s">
        <v>3074</v>
      </c>
      <c r="I81" s="8" t="s">
        <v>3306</v>
      </c>
      <c r="J81" s="8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s="8" t="s">
        <v>289</v>
      </c>
      <c r="E82" s="8" t="s">
        <v>86</v>
      </c>
      <c r="F82" s="8" t="s">
        <v>3071</v>
      </c>
      <c r="H82" s="8" t="s">
        <v>3072</v>
      </c>
      <c r="I82" s="8" t="s">
        <v>3309</v>
      </c>
      <c r="J82" s="8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s="8" t="s">
        <v>3073</v>
      </c>
      <c r="E83" s="8" t="s">
        <v>86</v>
      </c>
      <c r="F83" s="8" t="s">
        <v>3071</v>
      </c>
      <c r="H83" s="8" t="s">
        <v>3074</v>
      </c>
      <c r="I83" s="8" t="s">
        <v>3312</v>
      </c>
      <c r="J83" s="8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s="8" t="s">
        <v>289</v>
      </c>
      <c r="E84" s="8" t="s">
        <v>86</v>
      </c>
      <c r="F84" s="8" t="s">
        <v>3071</v>
      </c>
      <c r="H84" s="8" t="s">
        <v>3072</v>
      </c>
      <c r="I84" s="8" t="s">
        <v>3315</v>
      </c>
      <c r="J84" s="8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s="8" t="s">
        <v>3073</v>
      </c>
      <c r="E85" s="8" t="s">
        <v>86</v>
      </c>
      <c r="F85" s="8" t="s">
        <v>3071</v>
      </c>
      <c r="H85" s="8" t="s">
        <v>3074</v>
      </c>
      <c r="I85" s="8" t="s">
        <v>3318</v>
      </c>
      <c r="J85" s="8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s="8" t="s">
        <v>4202</v>
      </c>
      <c r="E86" s="8" t="s">
        <v>4193</v>
      </c>
      <c r="F86" s="8" t="s">
        <v>51</v>
      </c>
      <c r="H86" s="8"/>
      <c r="I86" s="8" t="s">
        <v>3321</v>
      </c>
      <c r="J86" s="8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s="8" t="s">
        <v>4202</v>
      </c>
      <c r="E87" s="8" t="s">
        <v>4193</v>
      </c>
      <c r="F87" s="8" t="s">
        <v>51</v>
      </c>
      <c r="H87" s="8" t="s">
        <v>2936</v>
      </c>
      <c r="I87" s="8" t="s">
        <v>3324</v>
      </c>
      <c r="J87" s="8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s="8" t="s">
        <v>4202</v>
      </c>
      <c r="E88" s="8" t="s">
        <v>4193</v>
      </c>
      <c r="F88" s="8" t="s">
        <v>51</v>
      </c>
      <c r="H88" s="8" t="s">
        <v>2936</v>
      </c>
      <c r="I88" s="8" t="s">
        <v>3327</v>
      </c>
      <c r="J88" s="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s="8" t="s">
        <v>4201</v>
      </c>
      <c r="E89" s="8" t="s">
        <v>4193</v>
      </c>
      <c r="F89" s="8"/>
      <c r="H89" s="8"/>
      <c r="I89" s="8" t="s">
        <v>3330</v>
      </c>
      <c r="J89" s="8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s="8" t="s">
        <v>4</v>
      </c>
      <c r="E90" s="8" t="s">
        <v>8</v>
      </c>
      <c r="F90" s="8"/>
      <c r="H90" s="8" t="s">
        <v>3078</v>
      </c>
      <c r="I90" s="8" t="s">
        <v>3333</v>
      </c>
      <c r="J90" s="8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s="8" t="s">
        <v>2004</v>
      </c>
      <c r="E91" s="8"/>
      <c r="F91" s="8"/>
      <c r="H91" s="8"/>
      <c r="I91" s="8" t="s">
        <v>4258</v>
      </c>
      <c r="J91" s="8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s="8" t="s">
        <v>5078</v>
      </c>
      <c r="E92" s="8" t="s">
        <v>1607</v>
      </c>
      <c r="F92" s="8" t="s">
        <v>5079</v>
      </c>
      <c r="H92" s="8" t="s">
        <v>5080</v>
      </c>
      <c r="I92" s="8" t="s">
        <v>4299</v>
      </c>
      <c r="J92" s="8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s="8" t="s">
        <v>5081</v>
      </c>
      <c r="E93" s="8" t="s">
        <v>86</v>
      </c>
      <c r="F93" s="8" t="s">
        <v>3071</v>
      </c>
      <c r="H93" s="8" t="s">
        <v>5082</v>
      </c>
      <c r="I93" s="8" t="s">
        <v>4302</v>
      </c>
      <c r="J93" s="8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s="8" t="s">
        <v>4</v>
      </c>
      <c r="E94" s="8" t="s">
        <v>86</v>
      </c>
      <c r="F94" s="8" t="s">
        <v>51</v>
      </c>
      <c r="H94" s="8"/>
      <c r="I94" s="8" t="s">
        <v>4305</v>
      </c>
      <c r="J94" s="8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s="8" t="s">
        <v>4</v>
      </c>
      <c r="E95" s="8" t="s">
        <v>86</v>
      </c>
      <c r="F95" s="8" t="s">
        <v>2938</v>
      </c>
      <c r="H95" s="8"/>
      <c r="I95" s="8" t="s">
        <v>4308</v>
      </c>
      <c r="J95" s="8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s="8" t="s">
        <v>5081</v>
      </c>
      <c r="E96" s="8" t="s">
        <v>86</v>
      </c>
      <c r="F96" s="8" t="s">
        <v>2938</v>
      </c>
      <c r="H96" s="8" t="s">
        <v>5082</v>
      </c>
      <c r="I96" s="8" t="s">
        <v>4311</v>
      </c>
      <c r="J96" s="8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s="8" t="s">
        <v>4</v>
      </c>
      <c r="E97" s="8" t="s">
        <v>86</v>
      </c>
      <c r="F97" s="8" t="s">
        <v>5083</v>
      </c>
      <c r="H97" s="8" t="s">
        <v>5084</v>
      </c>
      <c r="I97" s="8" t="s">
        <v>4314</v>
      </c>
      <c r="J97" s="8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s="8" t="s">
        <v>4</v>
      </c>
      <c r="E98" s="8" t="s">
        <v>8</v>
      </c>
      <c r="F98" s="8"/>
      <c r="H98" s="8"/>
      <c r="I98" s="8" t="s">
        <v>4318</v>
      </c>
      <c r="J98" s="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s="8" t="s">
        <v>158</v>
      </c>
      <c r="E99" s="8" t="s">
        <v>86</v>
      </c>
      <c r="F99" s="8" t="s">
        <v>60</v>
      </c>
      <c r="G99">
        <v>2</v>
      </c>
      <c r="H99" s="8" t="s">
        <v>3075</v>
      </c>
      <c r="I99" s="8" t="s">
        <v>4321</v>
      </c>
      <c r="J99" s="8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s="8" t="s">
        <v>158</v>
      </c>
      <c r="E100" s="8" t="s">
        <v>86</v>
      </c>
      <c r="F100" s="8" t="s">
        <v>60</v>
      </c>
      <c r="G100">
        <v>1</v>
      </c>
      <c r="H100" s="8" t="s">
        <v>3075</v>
      </c>
      <c r="I100" s="8" t="s">
        <v>4324</v>
      </c>
      <c r="J100" s="8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s="8" t="s">
        <v>158</v>
      </c>
      <c r="E101" s="8" t="s">
        <v>86</v>
      </c>
      <c r="F101" s="8" t="s">
        <v>60</v>
      </c>
      <c r="G101">
        <v>2</v>
      </c>
      <c r="H101" s="8" t="s">
        <v>3075</v>
      </c>
      <c r="I101" s="8" t="s">
        <v>4327</v>
      </c>
      <c r="J101" s="8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s="8" t="s">
        <v>158</v>
      </c>
      <c r="E102" s="8" t="s">
        <v>86</v>
      </c>
      <c r="F102" s="8" t="s">
        <v>200</v>
      </c>
      <c r="G102">
        <v>2</v>
      </c>
      <c r="H102" s="8" t="s">
        <v>3075</v>
      </c>
      <c r="I102" s="8" t="s">
        <v>4330</v>
      </c>
      <c r="J102" s="8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s="8" t="s">
        <v>158</v>
      </c>
      <c r="E103" s="8" t="s">
        <v>86</v>
      </c>
      <c r="F103" s="8" t="s">
        <v>200</v>
      </c>
      <c r="G103">
        <v>4</v>
      </c>
      <c r="H103" s="8" t="s">
        <v>3075</v>
      </c>
      <c r="I103" s="8" t="s">
        <v>4333</v>
      </c>
      <c r="J103" s="8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s="8" t="s">
        <v>158</v>
      </c>
      <c r="E104" s="8" t="s">
        <v>86</v>
      </c>
      <c r="F104" s="8" t="s">
        <v>200</v>
      </c>
      <c r="G104">
        <v>4</v>
      </c>
      <c r="H104" s="8" t="s">
        <v>3075</v>
      </c>
      <c r="I104" s="8" t="s">
        <v>4336</v>
      </c>
      <c r="J104" s="8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s="8" t="s">
        <v>158</v>
      </c>
      <c r="E105" s="8" t="s">
        <v>86</v>
      </c>
      <c r="F105" s="8" t="s">
        <v>200</v>
      </c>
      <c r="G105">
        <v>1</v>
      </c>
      <c r="H105" s="8" t="s">
        <v>3075</v>
      </c>
      <c r="I105" s="8" t="s">
        <v>4339</v>
      </c>
      <c r="J105" s="8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s="8" t="s">
        <v>158</v>
      </c>
      <c r="E106" s="8" t="s">
        <v>86</v>
      </c>
      <c r="F106" s="8" t="s">
        <v>5085</v>
      </c>
      <c r="G106">
        <v>3</v>
      </c>
      <c r="H106" s="8" t="s">
        <v>3075</v>
      </c>
      <c r="I106" s="8" t="s">
        <v>4342</v>
      </c>
      <c r="J106" s="8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s="8" t="s">
        <v>158</v>
      </c>
      <c r="E107" s="8" t="s">
        <v>86</v>
      </c>
      <c r="F107" s="8" t="s">
        <v>5085</v>
      </c>
      <c r="G107">
        <v>3</v>
      </c>
      <c r="H107" s="8" t="s">
        <v>3075</v>
      </c>
      <c r="I107" s="8" t="s">
        <v>4345</v>
      </c>
      <c r="J107" s="8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s="8" t="s">
        <v>158</v>
      </c>
      <c r="E108" s="8" t="s">
        <v>86</v>
      </c>
      <c r="F108" s="8" t="s">
        <v>5085</v>
      </c>
      <c r="G108">
        <v>3</v>
      </c>
      <c r="H108" s="8" t="s">
        <v>3075</v>
      </c>
      <c r="I108" s="8" t="s">
        <v>4348</v>
      </c>
      <c r="J108" s="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s="8" t="s">
        <v>4221</v>
      </c>
      <c r="E109" s="8" t="s">
        <v>86</v>
      </c>
      <c r="F109" s="8" t="s">
        <v>4240</v>
      </c>
      <c r="H109" s="8" t="s">
        <v>4236</v>
      </c>
      <c r="I109" s="8" t="s">
        <v>4351</v>
      </c>
      <c r="J109" s="8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s="8" t="s">
        <v>4221</v>
      </c>
      <c r="E110" s="8" t="s">
        <v>86</v>
      </c>
      <c r="F110" s="8" t="s">
        <v>4240</v>
      </c>
      <c r="H110" s="8" t="s">
        <v>2936</v>
      </c>
      <c r="I110" s="8" t="s">
        <v>4354</v>
      </c>
      <c r="J110" s="8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s="8" t="s">
        <v>158</v>
      </c>
      <c r="E111" s="8" t="s">
        <v>86</v>
      </c>
      <c r="F111" s="8" t="s">
        <v>5085</v>
      </c>
      <c r="G111">
        <v>3</v>
      </c>
      <c r="H111" s="8" t="s">
        <v>3075</v>
      </c>
      <c r="I111" s="8" t="s">
        <v>4357</v>
      </c>
      <c r="J111" s="8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s="8" t="s">
        <v>158</v>
      </c>
      <c r="E112" s="8" t="s">
        <v>86</v>
      </c>
      <c r="F112" s="8" t="s">
        <v>200</v>
      </c>
      <c r="G112">
        <v>2</v>
      </c>
      <c r="H112" s="8" t="s">
        <v>3075</v>
      </c>
      <c r="I112" s="8" t="s">
        <v>4360</v>
      </c>
      <c r="J112" s="8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s="8" t="s">
        <v>158</v>
      </c>
      <c r="E113" s="8" t="s">
        <v>86</v>
      </c>
      <c r="F113" s="8" t="s">
        <v>200</v>
      </c>
      <c r="G113">
        <v>5</v>
      </c>
      <c r="H113" s="8" t="s">
        <v>3075</v>
      </c>
      <c r="I113" s="8" t="s">
        <v>4363</v>
      </c>
      <c r="J113" s="8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s="8" t="s">
        <v>158</v>
      </c>
      <c r="E114" s="8" t="s">
        <v>86</v>
      </c>
      <c r="F114" s="8" t="s">
        <v>200</v>
      </c>
      <c r="G114">
        <v>4</v>
      </c>
      <c r="H114" s="8" t="s">
        <v>3075</v>
      </c>
      <c r="I114" s="8" t="s">
        <v>4366</v>
      </c>
      <c r="J114" s="8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s="8" t="s">
        <v>158</v>
      </c>
      <c r="E115" s="8" t="s">
        <v>86</v>
      </c>
      <c r="F115" s="8" t="s">
        <v>200</v>
      </c>
      <c r="G115">
        <v>4</v>
      </c>
      <c r="H115" s="8" t="s">
        <v>3075</v>
      </c>
      <c r="I115" s="8" t="s">
        <v>4369</v>
      </c>
      <c r="J115" s="8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s="8" t="s">
        <v>158</v>
      </c>
      <c r="E116" s="8" t="s">
        <v>86</v>
      </c>
      <c r="F116" s="8" t="s">
        <v>60</v>
      </c>
      <c r="G116">
        <v>2</v>
      </c>
      <c r="H116" s="8" t="s">
        <v>3075</v>
      </c>
      <c r="I116" s="8" t="s">
        <v>4372</v>
      </c>
      <c r="J116" s="8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s="8" t="s">
        <v>158</v>
      </c>
      <c r="E117" s="8" t="s">
        <v>86</v>
      </c>
      <c r="F117" s="8" t="s">
        <v>200</v>
      </c>
      <c r="G117">
        <v>1</v>
      </c>
      <c r="H117" s="8" t="s">
        <v>3075</v>
      </c>
      <c r="I117" s="8" t="s">
        <v>4375</v>
      </c>
      <c r="J117" s="8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s="8" t="s">
        <v>4221</v>
      </c>
      <c r="E118" s="8" t="s">
        <v>86</v>
      </c>
      <c r="F118" s="8" t="s">
        <v>2938</v>
      </c>
      <c r="H118" s="8" t="s">
        <v>4236</v>
      </c>
      <c r="I118" s="8" t="s">
        <v>4378</v>
      </c>
      <c r="J118" s="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s="8" t="s">
        <v>4221</v>
      </c>
      <c r="E119" s="8" t="s">
        <v>86</v>
      </c>
      <c r="F119" s="8" t="s">
        <v>2938</v>
      </c>
      <c r="H119" s="8" t="s">
        <v>2936</v>
      </c>
      <c r="I119" s="8" t="s">
        <v>4381</v>
      </c>
      <c r="J119" s="8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s="8" t="s">
        <v>158</v>
      </c>
      <c r="E120" s="8" t="s">
        <v>86</v>
      </c>
      <c r="F120" s="8" t="s">
        <v>200</v>
      </c>
      <c r="G120">
        <v>4</v>
      </c>
      <c r="H120" s="8" t="s">
        <v>3075</v>
      </c>
      <c r="I120" s="8" t="s">
        <v>4384</v>
      </c>
      <c r="J120" s="8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s="8" t="s">
        <v>158</v>
      </c>
      <c r="E121" s="8" t="s">
        <v>86</v>
      </c>
      <c r="F121" s="8" t="s">
        <v>200</v>
      </c>
      <c r="G121">
        <v>3</v>
      </c>
      <c r="H121" s="8" t="s">
        <v>3075</v>
      </c>
      <c r="I121" s="8" t="s">
        <v>4387</v>
      </c>
      <c r="J121" s="8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s="8" t="s">
        <v>158</v>
      </c>
      <c r="E122" s="8" t="s">
        <v>86</v>
      </c>
      <c r="F122" s="8" t="s">
        <v>200</v>
      </c>
      <c r="G122">
        <v>2</v>
      </c>
      <c r="H122" s="8" t="s">
        <v>3075</v>
      </c>
      <c r="I122" s="8" t="s">
        <v>4390</v>
      </c>
      <c r="J122" s="8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s="8" t="s">
        <v>158</v>
      </c>
      <c r="E123" s="8" t="s">
        <v>86</v>
      </c>
      <c r="F123" s="8" t="s">
        <v>200</v>
      </c>
      <c r="G123">
        <v>3</v>
      </c>
      <c r="H123" s="8" t="s">
        <v>3075</v>
      </c>
      <c r="I123" s="8" t="s">
        <v>4393</v>
      </c>
      <c r="J123" s="8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s="8" t="s">
        <v>158</v>
      </c>
      <c r="E124" s="8" t="s">
        <v>86</v>
      </c>
      <c r="F124" s="8" t="s">
        <v>200</v>
      </c>
      <c r="G124">
        <v>4</v>
      </c>
      <c r="H124" s="8" t="s">
        <v>3075</v>
      </c>
      <c r="I124" s="8" t="s">
        <v>4396</v>
      </c>
      <c r="J124" s="8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s="8" t="s">
        <v>2004</v>
      </c>
      <c r="E125" s="8"/>
      <c r="F125" s="8"/>
      <c r="H125" s="8"/>
      <c r="I125" s="8" t="s">
        <v>4399</v>
      </c>
      <c r="J125" s="8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s="8" t="s">
        <v>2004</v>
      </c>
      <c r="E126" s="8"/>
      <c r="F126" s="8"/>
      <c r="H126" s="8"/>
      <c r="I126" s="8" t="s">
        <v>5196</v>
      </c>
      <c r="J126" s="8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s="8" t="s">
        <v>4</v>
      </c>
      <c r="E127" s="8" t="s">
        <v>4193</v>
      </c>
      <c r="F127" s="8" t="s">
        <v>5076</v>
      </c>
      <c r="H127" s="8"/>
      <c r="I127" s="8" t="s">
        <v>5282</v>
      </c>
      <c r="J127" s="8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s="8" t="s">
        <v>4</v>
      </c>
      <c r="E128" s="8" t="s">
        <v>4193</v>
      </c>
      <c r="F128" s="8" t="s">
        <v>5076</v>
      </c>
      <c r="H128" s="8" t="s">
        <v>5474</v>
      </c>
      <c r="I128" s="8" t="s">
        <v>5269</v>
      </c>
      <c r="J128" s="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s="8" t="s">
        <v>158</v>
      </c>
      <c r="E129" s="8" t="s">
        <v>86</v>
      </c>
      <c r="F129" s="8" t="s">
        <v>200</v>
      </c>
      <c r="G129">
        <v>3</v>
      </c>
      <c r="H129" s="8" t="s">
        <v>3075</v>
      </c>
      <c r="I129" s="8" t="s">
        <v>5285</v>
      </c>
      <c r="J129" s="8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s="8" t="s">
        <v>158</v>
      </c>
      <c r="E130" s="8" t="s">
        <v>86</v>
      </c>
      <c r="F130" s="8" t="s">
        <v>200</v>
      </c>
      <c r="G130">
        <v>4</v>
      </c>
      <c r="H130" s="8" t="s">
        <v>3075</v>
      </c>
      <c r="I130" s="8" t="s">
        <v>5288</v>
      </c>
      <c r="J130" s="8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s="8" t="s">
        <v>4</v>
      </c>
      <c r="E131" s="8" t="s">
        <v>5475</v>
      </c>
      <c r="F131" s="8" t="s">
        <v>5076</v>
      </c>
      <c r="H131" s="8" t="s">
        <v>5474</v>
      </c>
      <c r="I131" s="8" t="s">
        <v>5291</v>
      </c>
      <c r="J131" s="8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s="8" t="s">
        <v>4</v>
      </c>
      <c r="E132" s="8" t="s">
        <v>8</v>
      </c>
      <c r="F132" s="8"/>
      <c r="H132" s="8"/>
      <c r="I132" s="8" t="s">
        <v>5294</v>
      </c>
      <c r="J132" s="8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s="8" t="s">
        <v>4198</v>
      </c>
      <c r="E133" s="8" t="s">
        <v>86</v>
      </c>
      <c r="F133" s="8" t="s">
        <v>6170</v>
      </c>
      <c r="H133" s="8"/>
      <c r="I133" s="8" t="s">
        <v>5506</v>
      </c>
      <c r="J133" s="8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s="8" t="s">
        <v>1606</v>
      </c>
      <c r="E134" s="8" t="s">
        <v>4193</v>
      </c>
      <c r="F134" s="8" t="s">
        <v>5076</v>
      </c>
      <c r="H134" s="8"/>
      <c r="I134" s="8" t="s">
        <v>5509</v>
      </c>
      <c r="J134" s="8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s="8" t="s">
        <v>6171</v>
      </c>
      <c r="E135" s="8" t="s">
        <v>4193</v>
      </c>
      <c r="F135" s="8" t="s">
        <v>5076</v>
      </c>
      <c r="H135" s="8" t="s">
        <v>5474</v>
      </c>
      <c r="I135" s="8" t="s">
        <v>5512</v>
      </c>
      <c r="J135" s="8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s="8" t="s">
        <v>1606</v>
      </c>
      <c r="E136" s="8" t="s">
        <v>4193</v>
      </c>
      <c r="F136" s="8" t="s">
        <v>5076</v>
      </c>
      <c r="H136" s="8"/>
      <c r="I136" s="8" t="s">
        <v>5515</v>
      </c>
      <c r="J136" s="8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s="8" t="s">
        <v>6171</v>
      </c>
      <c r="E137" s="8" t="s">
        <v>4193</v>
      </c>
      <c r="F137" s="8" t="s">
        <v>5076</v>
      </c>
      <c r="H137" s="8" t="s">
        <v>5474</v>
      </c>
      <c r="I137" s="8" t="s">
        <v>5518</v>
      </c>
      <c r="J137" s="8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s="8" t="s">
        <v>4198</v>
      </c>
      <c r="E138" s="8" t="s">
        <v>86</v>
      </c>
      <c r="F138" s="8" t="s">
        <v>2944</v>
      </c>
      <c r="H138" s="8"/>
      <c r="I138" s="8" t="s">
        <v>5521</v>
      </c>
      <c r="J138" s="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s="8" t="s">
        <v>4198</v>
      </c>
      <c r="E139" s="8" t="s">
        <v>86</v>
      </c>
      <c r="F139" s="8" t="s">
        <v>2944</v>
      </c>
      <c r="H139" s="8" t="s">
        <v>2936</v>
      </c>
      <c r="I139" s="8" t="s">
        <v>5524</v>
      </c>
      <c r="J139" s="8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s="8" t="s">
        <v>4198</v>
      </c>
      <c r="E140" s="8" t="s">
        <v>86</v>
      </c>
      <c r="F140" s="8" t="s">
        <v>528</v>
      </c>
      <c r="H140" s="8"/>
      <c r="I140" s="8" t="s">
        <v>5527</v>
      </c>
      <c r="J140" s="8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s="8" t="s">
        <v>4198</v>
      </c>
      <c r="E141" s="8" t="s">
        <v>86</v>
      </c>
      <c r="F141" s="8" t="s">
        <v>528</v>
      </c>
      <c r="H141" s="8" t="s">
        <v>2936</v>
      </c>
      <c r="I141" s="8" t="s">
        <v>5530</v>
      </c>
      <c r="J141" s="8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s="8" t="s">
        <v>1606</v>
      </c>
      <c r="E142" s="8" t="s">
        <v>4193</v>
      </c>
      <c r="F142" s="8" t="s">
        <v>5076</v>
      </c>
      <c r="H142" s="8"/>
      <c r="I142" s="8" t="s">
        <v>5533</v>
      </c>
      <c r="J142" s="8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s="8" t="s">
        <v>6171</v>
      </c>
      <c r="E143" s="8" t="s">
        <v>4193</v>
      </c>
      <c r="F143" s="8" t="s">
        <v>5076</v>
      </c>
      <c r="H143" s="8" t="s">
        <v>5474</v>
      </c>
      <c r="I143" s="8" t="s">
        <v>5536</v>
      </c>
      <c r="J143" s="8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s="8" t="s">
        <v>4</v>
      </c>
      <c r="E144" s="8" t="s">
        <v>8</v>
      </c>
      <c r="F144" s="8"/>
      <c r="H144" s="8"/>
      <c r="I144" s="8" t="s">
        <v>5801</v>
      </c>
      <c r="J144" s="8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s="8" t="s">
        <v>4198</v>
      </c>
      <c r="E145" s="8" t="s">
        <v>86</v>
      </c>
      <c r="F145" s="8" t="s">
        <v>6172</v>
      </c>
      <c r="H145" s="8"/>
      <c r="I145" s="8" t="s">
        <v>5804</v>
      </c>
      <c r="J145" s="8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s="8" t="s">
        <v>158</v>
      </c>
      <c r="E146" s="8" t="s">
        <v>86</v>
      </c>
      <c r="F146" s="8" t="s">
        <v>200</v>
      </c>
      <c r="G146">
        <v>3</v>
      </c>
      <c r="H146" s="8" t="s">
        <v>3075</v>
      </c>
      <c r="I146" s="8" t="s">
        <v>5807</v>
      </c>
      <c r="J146" s="8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s="8" t="s">
        <v>158</v>
      </c>
      <c r="E147" s="8" t="s">
        <v>86</v>
      </c>
      <c r="F147" s="8" t="s">
        <v>200</v>
      </c>
      <c r="G147">
        <v>4</v>
      </c>
      <c r="H147" s="8" t="s">
        <v>3075</v>
      </c>
      <c r="I147" s="8" t="s">
        <v>5810</v>
      </c>
      <c r="J147" s="8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s="8" t="s">
        <v>158</v>
      </c>
      <c r="E148" s="8" t="s">
        <v>86</v>
      </c>
      <c r="F148" s="8" t="s">
        <v>60</v>
      </c>
      <c r="G148">
        <v>2</v>
      </c>
      <c r="H148" s="8" t="s">
        <v>3075</v>
      </c>
      <c r="I148" s="8" t="s">
        <v>5813</v>
      </c>
      <c r="J148" s="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s="8" t="s">
        <v>158</v>
      </c>
      <c r="E149" s="8" t="s">
        <v>86</v>
      </c>
      <c r="F149" s="8" t="s">
        <v>200</v>
      </c>
      <c r="G149">
        <v>2</v>
      </c>
      <c r="H149" s="8" t="s">
        <v>3075</v>
      </c>
      <c r="I149" s="8" t="s">
        <v>5816</v>
      </c>
      <c r="J149" s="8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s="8" t="s">
        <v>158</v>
      </c>
      <c r="E150" s="8" t="s">
        <v>86</v>
      </c>
      <c r="F150" s="8" t="s">
        <v>60</v>
      </c>
      <c r="G150">
        <v>3</v>
      </c>
      <c r="H150" s="8" t="s">
        <v>3075</v>
      </c>
      <c r="I150" s="8" t="s">
        <v>5819</v>
      </c>
      <c r="J150" s="8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s="8" t="s">
        <v>158</v>
      </c>
      <c r="E151" s="8" t="s">
        <v>86</v>
      </c>
      <c r="F151" s="8" t="s">
        <v>60</v>
      </c>
      <c r="G151">
        <v>3</v>
      </c>
      <c r="H151" s="8" t="s">
        <v>3075</v>
      </c>
      <c r="I151" s="8" t="s">
        <v>5822</v>
      </c>
      <c r="J151" s="8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s="8" t="s">
        <v>158</v>
      </c>
      <c r="E152" s="8" t="s">
        <v>86</v>
      </c>
      <c r="F152" s="8" t="s">
        <v>200</v>
      </c>
      <c r="G152">
        <v>2</v>
      </c>
      <c r="H152" s="8" t="s">
        <v>3075</v>
      </c>
      <c r="I152" s="8" t="s">
        <v>5825</v>
      </c>
      <c r="J152" s="8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s="8" t="s">
        <v>2004</v>
      </c>
      <c r="E153" s="8" t="s">
        <v>8</v>
      </c>
      <c r="F153" s="8"/>
      <c r="H153" s="8"/>
      <c r="I153" s="8" t="s">
        <v>6020</v>
      </c>
      <c r="J153" s="8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s="8" t="s">
        <v>2004</v>
      </c>
      <c r="E154" s="8" t="s">
        <v>8</v>
      </c>
      <c r="F154" s="8"/>
      <c r="H154" s="8"/>
      <c r="I154" s="8" t="s">
        <v>6192</v>
      </c>
      <c r="J154" s="8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s="8" t="s">
        <v>289</v>
      </c>
      <c r="E155" s="8" t="s">
        <v>86</v>
      </c>
      <c r="F155" s="8" t="s">
        <v>4240</v>
      </c>
      <c r="H155" s="8"/>
      <c r="I155" s="8" t="s">
        <v>6281</v>
      </c>
      <c r="J155" s="8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s="8" t="s">
        <v>4198</v>
      </c>
      <c r="E156" s="8" t="s">
        <v>86</v>
      </c>
      <c r="F156" s="8" t="s">
        <v>4240</v>
      </c>
      <c r="H156" s="8" t="s">
        <v>1620</v>
      </c>
      <c r="I156" s="8" t="s">
        <v>6284</v>
      </c>
      <c r="J156" s="8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s="8" t="s">
        <v>4198</v>
      </c>
      <c r="E157" s="8" t="s">
        <v>86</v>
      </c>
      <c r="F157" s="8" t="s">
        <v>6182</v>
      </c>
      <c r="H157" s="8" t="s">
        <v>6339</v>
      </c>
      <c r="I157" s="8" t="s">
        <v>6287</v>
      </c>
      <c r="J157" s="8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s="8" t="s">
        <v>1606</v>
      </c>
      <c r="E158" s="8" t="s">
        <v>4193</v>
      </c>
      <c r="F158" s="8" t="s">
        <v>5076</v>
      </c>
      <c r="H158" s="8"/>
      <c r="I158" s="8" t="s">
        <v>6290</v>
      </c>
      <c r="J158" s="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s="8" t="s">
        <v>6171</v>
      </c>
      <c r="E159" s="8" t="s">
        <v>4193</v>
      </c>
      <c r="F159" s="8" t="s">
        <v>5076</v>
      </c>
      <c r="H159" s="8" t="s">
        <v>5474</v>
      </c>
      <c r="I159" s="8" t="s">
        <v>6293</v>
      </c>
      <c r="J159" s="8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s="8" t="s">
        <v>650</v>
      </c>
      <c r="E160" s="8" t="s">
        <v>4193</v>
      </c>
      <c r="F160" s="8" t="s">
        <v>5076</v>
      </c>
      <c r="H160" s="8"/>
      <c r="I160" s="8" t="s">
        <v>6297</v>
      </c>
      <c r="J160" s="8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s="8" t="s">
        <v>158</v>
      </c>
      <c r="E161" s="8" t="s">
        <v>86</v>
      </c>
      <c r="F161" s="8" t="s">
        <v>528</v>
      </c>
      <c r="G161">
        <v>1</v>
      </c>
      <c r="H161" s="8" t="s">
        <v>3075</v>
      </c>
      <c r="I161" s="8" t="s">
        <v>6300</v>
      </c>
      <c r="J161" s="8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s="8" t="s">
        <v>158</v>
      </c>
      <c r="E162" s="8" t="s">
        <v>86</v>
      </c>
      <c r="F162" s="8" t="s">
        <v>528</v>
      </c>
      <c r="G162">
        <v>1</v>
      </c>
      <c r="H162" s="8" t="s">
        <v>3075</v>
      </c>
      <c r="I162" s="8" t="s">
        <v>6303</v>
      </c>
      <c r="J162" s="8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s="8" t="s">
        <v>158</v>
      </c>
      <c r="E163" s="8" t="s">
        <v>86</v>
      </c>
      <c r="F163" s="8" t="s">
        <v>200</v>
      </c>
      <c r="G163">
        <v>1</v>
      </c>
      <c r="H163" s="8" t="s">
        <v>3075</v>
      </c>
      <c r="I163" s="8" t="s">
        <v>6306</v>
      </c>
      <c r="J163" s="8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s="8" t="s">
        <v>6171</v>
      </c>
      <c r="E164" s="8" t="s">
        <v>4193</v>
      </c>
      <c r="F164" s="8" t="s">
        <v>5076</v>
      </c>
      <c r="H164" s="8" t="s">
        <v>5474</v>
      </c>
      <c r="I164" s="8" t="s">
        <v>6551</v>
      </c>
      <c r="J164" s="8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s="8" t="s">
        <v>650</v>
      </c>
      <c r="E165" s="8" t="s">
        <v>4193</v>
      </c>
      <c r="F165" s="8" t="s">
        <v>5076</v>
      </c>
      <c r="H165" s="8"/>
      <c r="I165" s="8" t="s">
        <v>6554</v>
      </c>
      <c r="J165" s="8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s="8" t="s">
        <v>533</v>
      </c>
      <c r="E166" s="8" t="s">
        <v>1607</v>
      </c>
      <c r="F166" s="8" t="s">
        <v>1099</v>
      </c>
      <c r="H166" s="8" t="s">
        <v>1620</v>
      </c>
      <c r="I166" s="8" t="s">
        <v>6682</v>
      </c>
      <c r="J166" s="8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s="8" t="s">
        <v>4221</v>
      </c>
      <c r="E167" s="8" t="s">
        <v>86</v>
      </c>
      <c r="F167" s="8" t="s">
        <v>2944</v>
      </c>
      <c r="H167" s="8" t="s">
        <v>1620</v>
      </c>
      <c r="I167" s="8" t="s">
        <v>6685</v>
      </c>
      <c r="J167" s="8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s="8" t="s">
        <v>4221</v>
      </c>
      <c r="E168" s="8" t="s">
        <v>86</v>
      </c>
      <c r="F168" s="8" t="s">
        <v>2944</v>
      </c>
      <c r="H168" s="8" t="s">
        <v>2936</v>
      </c>
      <c r="I168" s="8" t="s">
        <v>6688</v>
      </c>
      <c r="J168" s="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s="8" t="s">
        <v>158</v>
      </c>
      <c r="E169" s="8" t="s">
        <v>86</v>
      </c>
      <c r="F169" s="8" t="s">
        <v>528</v>
      </c>
      <c r="G169">
        <v>1</v>
      </c>
      <c r="H169" s="8" t="s">
        <v>3075</v>
      </c>
      <c r="I169" s="8" t="s">
        <v>6691</v>
      </c>
      <c r="J169" s="8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s="8" t="s">
        <v>1606</v>
      </c>
      <c r="E170" s="8" t="s">
        <v>4193</v>
      </c>
      <c r="F170" s="8" t="s">
        <v>5076</v>
      </c>
      <c r="H170" s="8"/>
      <c r="I170" s="8" t="s">
        <v>6694</v>
      </c>
      <c r="J170" s="8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s="8" t="s">
        <v>6171</v>
      </c>
      <c r="E171" s="8" t="s">
        <v>4193</v>
      </c>
      <c r="F171" s="8" t="s">
        <v>5076</v>
      </c>
      <c r="H171" s="8" t="s">
        <v>5474</v>
      </c>
      <c r="I171" s="8" t="s">
        <v>6697</v>
      </c>
      <c r="J171" s="8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s="8" t="s">
        <v>650</v>
      </c>
      <c r="E172" s="8" t="s">
        <v>4193</v>
      </c>
      <c r="F172" s="8" t="s">
        <v>5076</v>
      </c>
      <c r="H172" s="8"/>
      <c r="I172" s="8" t="s">
        <v>6700</v>
      </c>
      <c r="J172" s="8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s="8" t="s">
        <v>4221</v>
      </c>
      <c r="E173" s="8" t="s">
        <v>86</v>
      </c>
      <c r="F173" s="8" t="s">
        <v>1099</v>
      </c>
      <c r="H173" s="8" t="s">
        <v>4236</v>
      </c>
      <c r="I173" s="8" t="s">
        <v>6878</v>
      </c>
      <c r="J173" s="8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s="8" t="s">
        <v>4221</v>
      </c>
      <c r="E174" s="8" t="s">
        <v>86</v>
      </c>
      <c r="F174" s="8" t="s">
        <v>1099</v>
      </c>
      <c r="H174" s="8" t="s">
        <v>4236</v>
      </c>
      <c r="I174" s="8" t="s">
        <v>6881</v>
      </c>
      <c r="J174" s="8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s="8" t="s">
        <v>4221</v>
      </c>
      <c r="E175" s="8" t="s">
        <v>86</v>
      </c>
      <c r="F175" s="8" t="s">
        <v>1099</v>
      </c>
      <c r="H175" s="8" t="s">
        <v>4236</v>
      </c>
      <c r="I175" s="8" t="s">
        <v>6884</v>
      </c>
      <c r="J175" s="8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s="8" t="s">
        <v>4221</v>
      </c>
      <c r="E176" s="8" t="s">
        <v>86</v>
      </c>
      <c r="F176" s="8" t="s">
        <v>1099</v>
      </c>
      <c r="H176" s="8" t="s">
        <v>4236</v>
      </c>
      <c r="I176" s="8" t="s">
        <v>6887</v>
      </c>
      <c r="J176" s="8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s="8" t="s">
        <v>4221</v>
      </c>
      <c r="E177" s="8" t="s">
        <v>86</v>
      </c>
      <c r="F177" s="8" t="s">
        <v>1099</v>
      </c>
      <c r="H177" s="8" t="s">
        <v>4236</v>
      </c>
      <c r="I177" s="8" t="s">
        <v>6890</v>
      </c>
      <c r="J177" s="8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s="8" t="s">
        <v>4221</v>
      </c>
      <c r="E178" s="8" t="s">
        <v>86</v>
      </c>
      <c r="F178" s="8" t="s">
        <v>1099</v>
      </c>
      <c r="H178" s="8" t="s">
        <v>4236</v>
      </c>
      <c r="I178" s="8" t="s">
        <v>6893</v>
      </c>
      <c r="J178" s="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s="8" t="s">
        <v>2004</v>
      </c>
      <c r="E179" s="8" t="s">
        <v>8</v>
      </c>
      <c r="F179" s="8"/>
      <c r="H179" s="8"/>
      <c r="I179" s="8" t="s">
        <v>6896</v>
      </c>
      <c r="J179" s="8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s="8" t="s">
        <v>2004</v>
      </c>
      <c r="E180" s="8" t="s">
        <v>8</v>
      </c>
      <c r="F180" s="8"/>
      <c r="H180" s="8"/>
      <c r="I180" s="8" t="s">
        <v>7178</v>
      </c>
      <c r="J180" s="8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s="8" t="s">
        <v>1606</v>
      </c>
      <c r="E181" s="8" t="s">
        <v>4193</v>
      </c>
      <c r="F181" s="8" t="s">
        <v>5076</v>
      </c>
      <c r="H181" s="8"/>
      <c r="I181" s="8" t="s">
        <v>7218</v>
      </c>
      <c r="J181" s="8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s="8" t="s">
        <v>650</v>
      </c>
      <c r="E182" s="8" t="s">
        <v>4193</v>
      </c>
      <c r="F182" s="8" t="s">
        <v>5076</v>
      </c>
      <c r="H182" s="8"/>
      <c r="I182" s="8" t="s">
        <v>7221</v>
      </c>
      <c r="J182" s="8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s="8" t="s">
        <v>2004</v>
      </c>
      <c r="E183" s="8" t="s">
        <v>8</v>
      </c>
      <c r="F183" s="8"/>
      <c r="H183" s="8"/>
      <c r="I183" s="8" t="s">
        <v>7224</v>
      </c>
      <c r="J183" s="8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s="8" t="s">
        <v>2004</v>
      </c>
      <c r="E184" s="8" t="s">
        <v>8</v>
      </c>
      <c r="F184" s="8"/>
      <c r="H184" s="8"/>
      <c r="I184" s="8" t="s">
        <v>7439</v>
      </c>
      <c r="J184" s="8" t="s">
        <v>2989</v>
      </c>
      <c r="K184" t="s">
        <v>7440</v>
      </c>
      <c r="L184" t="s">
        <v>7441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s="8" t="s">
        <v>2004</v>
      </c>
      <c r="E185" s="8" t="s">
        <v>8</v>
      </c>
      <c r="F185" s="8"/>
      <c r="H185" s="8"/>
      <c r="I185" s="8" t="s">
        <v>7442</v>
      </c>
      <c r="J185" s="8" t="s">
        <v>2989</v>
      </c>
      <c r="K185" t="s">
        <v>7443</v>
      </c>
      <c r="L185" t="s">
        <v>7444</v>
      </c>
      <c r="M185" s="3" t="str">
        <f>HYPERLINK(склад2въезд14[[#This Row],[RelativePath]])</f>
        <v>2 Пилорама поката\E33149364_7_20251225T174802Z.jpg</v>
      </c>
    </row>
    <row r="186" spans="1:13" x14ac:dyDescent="0.25">
      <c r="A186" s="2" t="s">
        <v>17</v>
      </c>
      <c r="B186" s="4">
        <v>46017</v>
      </c>
      <c r="C186" s="5">
        <v>0.74050925925925926</v>
      </c>
      <c r="D186" s="8" t="s">
        <v>2004</v>
      </c>
      <c r="E186" s="8" t="s">
        <v>8</v>
      </c>
      <c r="F186" s="8"/>
      <c r="H186" s="8"/>
      <c r="I186" s="8" t="s">
        <v>7720</v>
      </c>
      <c r="J186" s="8" t="s">
        <v>2989</v>
      </c>
      <c r="K186" t="s">
        <v>7721</v>
      </c>
      <c r="L186" t="s">
        <v>7722</v>
      </c>
      <c r="M186" s="3" t="str">
        <f>HYPERLINK(склад2въезд14[[#This Row],[RelativePath]])</f>
        <v>2 Пилорама поката\E33149364_7_20251226T174620Z.jpg</v>
      </c>
    </row>
    <row r="187" spans="1:13" x14ac:dyDescent="0.25">
      <c r="A187" s="2" t="s">
        <v>18</v>
      </c>
      <c r="B187" s="4">
        <v>46018</v>
      </c>
      <c r="C187" s="5">
        <v>0.43297453703703703</v>
      </c>
      <c r="D187" s="8" t="s">
        <v>1606</v>
      </c>
      <c r="E187" s="8" t="s">
        <v>4193</v>
      </c>
      <c r="F187" s="8" t="s">
        <v>5076</v>
      </c>
      <c r="H187" s="8"/>
      <c r="I187" s="8" t="s">
        <v>7872</v>
      </c>
      <c r="J187" s="8" t="s">
        <v>2989</v>
      </c>
      <c r="K187" t="s">
        <v>7873</v>
      </c>
      <c r="L187" t="s">
        <v>7874</v>
      </c>
      <c r="M187" s="3" t="str">
        <f>HYPERLINK(склад2въезд14[[#This Row],[RelativePath]])</f>
        <v>2 Пилорама поката\E33149364_7_20251227T102329Z.jpg</v>
      </c>
    </row>
    <row r="188" spans="1:13" x14ac:dyDescent="0.25">
      <c r="A188" s="2" t="s">
        <v>18</v>
      </c>
      <c r="B188" s="4">
        <v>46018</v>
      </c>
      <c r="C188" s="5">
        <v>0.44199074074074074</v>
      </c>
      <c r="D188" s="8" t="s">
        <v>6171</v>
      </c>
      <c r="E188" s="8" t="s">
        <v>4193</v>
      </c>
      <c r="F188" s="8" t="s">
        <v>5076</v>
      </c>
      <c r="H188" s="8" t="s">
        <v>5474</v>
      </c>
      <c r="I188" s="8" t="s">
        <v>7875</v>
      </c>
      <c r="J188" s="8" t="s">
        <v>2989</v>
      </c>
      <c r="K188" t="s">
        <v>7876</v>
      </c>
      <c r="L188" t="s">
        <v>7877</v>
      </c>
      <c r="M188" s="3" t="str">
        <f>HYPERLINK(склад2въезд14[[#This Row],[RelativePath]])</f>
        <v>2 Пилорама поката\E33149364_7_20251227T103628Z.jpg</v>
      </c>
    </row>
    <row r="189" spans="1:13" x14ac:dyDescent="0.25">
      <c r="A189" s="2" t="s">
        <v>18</v>
      </c>
      <c r="B189" s="4">
        <v>46018</v>
      </c>
      <c r="C189" s="5">
        <v>0.5803356481481482</v>
      </c>
      <c r="D189" s="8" t="s">
        <v>650</v>
      </c>
      <c r="E189" s="8" t="s">
        <v>4193</v>
      </c>
      <c r="F189" s="8" t="s">
        <v>5076</v>
      </c>
      <c r="H189" s="8"/>
      <c r="I189" s="8" t="s">
        <v>7878</v>
      </c>
      <c r="J189" s="8" t="s">
        <v>2989</v>
      </c>
      <c r="K189" t="s">
        <v>7879</v>
      </c>
      <c r="L189" t="s">
        <v>7880</v>
      </c>
      <c r="M189" s="3" t="str">
        <f>HYPERLINK(склад2въезд14[[#This Row],[RelativePath]])</f>
        <v>2 Пилорама поката\E33149364_7_20251227T135541Z.jpg</v>
      </c>
    </row>
    <row r="190" spans="1:13" x14ac:dyDescent="0.25">
      <c r="A190" s="2" t="s">
        <v>18</v>
      </c>
      <c r="B190" s="4">
        <v>46018</v>
      </c>
      <c r="C190" s="5">
        <v>0.60796296296296293</v>
      </c>
      <c r="D190" s="8" t="s">
        <v>8042</v>
      </c>
      <c r="E190" s="8" t="s">
        <v>6329</v>
      </c>
      <c r="F190" s="8" t="s">
        <v>5076</v>
      </c>
      <c r="H190" s="8"/>
      <c r="I190" s="8" t="s">
        <v>7881</v>
      </c>
      <c r="J190" s="8" t="s">
        <v>2989</v>
      </c>
      <c r="K190" t="s">
        <v>7882</v>
      </c>
      <c r="L190" t="s">
        <v>7883</v>
      </c>
      <c r="M190" s="3" t="str">
        <f>HYPERLINK(склад2въезд14[[#This Row],[RelativePath]])</f>
        <v>2 Пилорама поката\E33149364_7_20251227T143528Z.jpg</v>
      </c>
    </row>
    <row r="191" spans="1:13" x14ac:dyDescent="0.25">
      <c r="A191" s="2" t="s">
        <v>22</v>
      </c>
      <c r="B191" s="4">
        <v>46019</v>
      </c>
      <c r="C191" s="5">
        <v>0.59177083333333336</v>
      </c>
      <c r="D191" s="8" t="s">
        <v>1606</v>
      </c>
      <c r="E191" s="8" t="s">
        <v>4193</v>
      </c>
      <c r="F191" s="8" t="s">
        <v>5076</v>
      </c>
      <c r="H191" s="8"/>
      <c r="I191" s="8" t="s">
        <v>7884</v>
      </c>
      <c r="J191" s="8" t="s">
        <v>2989</v>
      </c>
      <c r="K191" t="s">
        <v>7885</v>
      </c>
      <c r="L191" t="s">
        <v>7886</v>
      </c>
      <c r="M191" s="3" t="str">
        <f>HYPERLINK(склад2въезд14[[#This Row],[RelativePath]])</f>
        <v>2 Пилорама поката\E33149364_7_20251228T141209Z.jpg</v>
      </c>
    </row>
    <row r="192" spans="1:13" x14ac:dyDescent="0.25">
      <c r="A192" s="2" t="s">
        <v>22</v>
      </c>
      <c r="B192" s="4">
        <v>46019</v>
      </c>
      <c r="C192" s="5">
        <v>0.64005787037037032</v>
      </c>
      <c r="D192" s="8" t="s">
        <v>650</v>
      </c>
      <c r="E192" s="8" t="s">
        <v>4193</v>
      </c>
      <c r="F192" s="8" t="s">
        <v>5076</v>
      </c>
      <c r="H192" s="8"/>
      <c r="I192" s="8" t="s">
        <v>7887</v>
      </c>
      <c r="J192" s="8" t="s">
        <v>2989</v>
      </c>
      <c r="K192" t="s">
        <v>7888</v>
      </c>
      <c r="L192" t="s">
        <v>7889</v>
      </c>
      <c r="M192" s="3" t="str">
        <f>HYPERLINK(склад2въезд14[[#This Row],[RelativePath]])</f>
        <v>2 Пилорама поката\E33149364_7_20251228T152141Z.jpg</v>
      </c>
    </row>
    <row r="193" spans="1:13" x14ac:dyDescent="0.25">
      <c r="A193" s="2" t="s">
        <v>13</v>
      </c>
      <c r="B193" s="4">
        <v>46020</v>
      </c>
      <c r="C193" s="5">
        <v>0.64398148148148149</v>
      </c>
      <c r="D193" s="8" t="s">
        <v>533</v>
      </c>
      <c r="E193" s="8" t="s">
        <v>531</v>
      </c>
      <c r="F193" s="8" t="s">
        <v>1621</v>
      </c>
      <c r="H193" s="8" t="s">
        <v>1620</v>
      </c>
      <c r="I193" s="8" t="s">
        <v>8078</v>
      </c>
      <c r="J193" s="8" t="s">
        <v>2989</v>
      </c>
      <c r="K193" t="s">
        <v>8079</v>
      </c>
      <c r="L193" t="s">
        <v>8080</v>
      </c>
      <c r="M193" s="3" t="str">
        <f>HYPERLINK(склад2въезд14[[#This Row],[RelativePath]])</f>
        <v>2 Пилорама поката\E33149364_7_20251229T152720Z.jpg</v>
      </c>
    </row>
    <row r="194" spans="1:13" x14ac:dyDescent="0.25">
      <c r="A194" s="2" t="s">
        <v>14</v>
      </c>
      <c r="B194" s="4">
        <v>46021</v>
      </c>
      <c r="C194" s="5">
        <v>0.74420138888888887</v>
      </c>
      <c r="D194" s="8" t="s">
        <v>2004</v>
      </c>
      <c r="E194" s="8" t="s">
        <v>8</v>
      </c>
      <c r="F194" s="8"/>
      <c r="H194" s="8"/>
      <c r="I194" s="8" t="s">
        <v>8081</v>
      </c>
      <c r="J194" s="8" t="s">
        <v>2989</v>
      </c>
      <c r="K194" t="s">
        <v>8082</v>
      </c>
      <c r="L194" t="s">
        <v>8083</v>
      </c>
      <c r="M194" s="3" t="str">
        <f>HYPERLINK(склад2въезд14[[#This Row],[RelativePath]])</f>
        <v>2 Пилорама поката\E33149364_7_20251230T175139Z.jpg</v>
      </c>
    </row>
    <row r="195" spans="1:13" x14ac:dyDescent="0.25">
      <c r="A195" s="2" t="s">
        <v>15</v>
      </c>
      <c r="B195" s="4">
        <v>46022</v>
      </c>
      <c r="C195" s="5">
        <v>0.69723379629629634</v>
      </c>
      <c r="D195" s="8" t="s">
        <v>2004</v>
      </c>
      <c r="E195" s="8" t="s">
        <v>8</v>
      </c>
      <c r="F195" s="8"/>
      <c r="H195" s="8"/>
      <c r="I195" s="8" t="s">
        <v>8084</v>
      </c>
      <c r="J195" s="8" t="s">
        <v>2989</v>
      </c>
      <c r="K195" t="s">
        <v>8085</v>
      </c>
      <c r="L195" t="s">
        <v>8086</v>
      </c>
      <c r="M195" s="3" t="str">
        <f>HYPERLINK(склад2въезд14[[#This Row],[RelativePath]])</f>
        <v>2 Пилорама поката\E33149364_7_20251231T164401Z.jpg</v>
      </c>
    </row>
    <row r="196" spans="1:13" x14ac:dyDescent="0.25">
      <c r="A196" s="2" t="s">
        <v>16</v>
      </c>
      <c r="B196" s="4">
        <v>46023</v>
      </c>
      <c r="C196" s="5">
        <v>0.74738425925925922</v>
      </c>
      <c r="D196" s="8" t="s">
        <v>2004</v>
      </c>
      <c r="E196" s="8" t="s">
        <v>8</v>
      </c>
      <c r="F196" s="8"/>
      <c r="H196" s="8"/>
      <c r="I196" s="8" t="s">
        <v>8087</v>
      </c>
      <c r="J196" s="8" t="s">
        <v>2989</v>
      </c>
      <c r="K196" t="s">
        <v>8088</v>
      </c>
      <c r="L196" t="s">
        <v>8089</v>
      </c>
      <c r="M196" s="3" t="str">
        <f>HYPERLINK(склад2въезд14[[#This Row],[RelativePath]])</f>
        <v>2 Пилорама поката\E33149364_7_20260101T175614Z.jpg</v>
      </c>
    </row>
    <row r="197" spans="1:13" x14ac:dyDescent="0.25">
      <c r="A197" s="2" t="s">
        <v>17</v>
      </c>
      <c r="B197" s="4">
        <v>46024</v>
      </c>
      <c r="C197" s="5">
        <v>0.74721064814814819</v>
      </c>
      <c r="D197" s="8" t="s">
        <v>2004</v>
      </c>
      <c r="E197" s="8" t="s">
        <v>8</v>
      </c>
      <c r="F197" s="8"/>
      <c r="H197" s="8"/>
      <c r="I197" s="8" t="s">
        <v>8363</v>
      </c>
      <c r="J197" s="8" t="s">
        <v>2989</v>
      </c>
      <c r="K197" t="s">
        <v>8364</v>
      </c>
      <c r="L197" t="s">
        <v>8365</v>
      </c>
      <c r="M197" s="3" t="str">
        <f>HYPERLINK(склад2въезд14[[#This Row],[RelativePath]])</f>
        <v>2 Пилорама поката\E33149364_7_20260102T175559Z.jpg</v>
      </c>
    </row>
    <row r="198" spans="1:13" x14ac:dyDescent="0.25">
      <c r="A198" s="2" t="s">
        <v>18</v>
      </c>
      <c r="B198" s="4">
        <v>46025</v>
      </c>
      <c r="C198" s="5">
        <v>0.74724537037037042</v>
      </c>
      <c r="D198" s="8" t="s">
        <v>2004</v>
      </c>
      <c r="E198" s="8" t="s">
        <v>8</v>
      </c>
      <c r="F198" s="8"/>
      <c r="H198" s="8"/>
      <c r="I198" s="8" t="s">
        <v>8366</v>
      </c>
      <c r="J198" s="8" t="s">
        <v>2989</v>
      </c>
      <c r="K198" t="s">
        <v>8367</v>
      </c>
      <c r="L198" t="s">
        <v>8368</v>
      </c>
      <c r="M198" s="3" t="str">
        <f>HYPERLINK(склад2въезд14[[#This Row],[RelativePath]])</f>
        <v>2 Пилорама поката\E33149364_7_20260103T175602Z.jpg</v>
      </c>
    </row>
    <row r="199" spans="1:13" x14ac:dyDescent="0.25">
      <c r="A199" s="2" t="s">
        <v>22</v>
      </c>
      <c r="B199" s="4">
        <v>46026</v>
      </c>
      <c r="C199" s="5">
        <v>0.48228009259259258</v>
      </c>
      <c r="D199" s="8" t="s">
        <v>2004</v>
      </c>
      <c r="E199" s="8" t="s">
        <v>8</v>
      </c>
      <c r="F199" s="8"/>
      <c r="H199" s="8"/>
      <c r="I199" s="8" t="s">
        <v>8369</v>
      </c>
      <c r="J199" s="8" t="s">
        <v>2989</v>
      </c>
      <c r="K199" t="s">
        <v>8370</v>
      </c>
      <c r="L199" t="s">
        <v>8371</v>
      </c>
      <c r="M199" s="3" t="str">
        <f>HYPERLINK(склад2въезд14[[#This Row],[RelativePath]])</f>
        <v>2 Пилорама поката\E33149364_7_20260104T113429Z.jpg</v>
      </c>
    </row>
    <row r="200" spans="1:13" x14ac:dyDescent="0.25">
      <c r="A200" s="2" t="s">
        <v>13</v>
      </c>
      <c r="B200" s="4">
        <v>46027</v>
      </c>
      <c r="C200" s="5">
        <v>0.68752314814814819</v>
      </c>
      <c r="D200" s="8" t="s">
        <v>2004</v>
      </c>
      <c r="E200" s="8" t="s">
        <v>8</v>
      </c>
      <c r="F200" s="8"/>
      <c r="H200" s="8"/>
      <c r="I200" s="8" t="s">
        <v>8484</v>
      </c>
      <c r="J200" s="8" t="s">
        <v>2989</v>
      </c>
      <c r="K200" t="s">
        <v>8485</v>
      </c>
      <c r="L200" t="s">
        <v>8486</v>
      </c>
      <c r="M200" s="3" t="str">
        <f>HYPERLINK(склад2въезд14[[#This Row],[RelativePath]])</f>
        <v>2 Пилорама поката\E33149364_7_20260105T163002Z.jpg</v>
      </c>
    </row>
    <row r="201" spans="1:13" x14ac:dyDescent="0.25">
      <c r="A201" s="2" t="s">
        <v>14</v>
      </c>
      <c r="B201" s="4">
        <v>46028</v>
      </c>
      <c r="C201" s="5">
        <v>0.7502199074074074</v>
      </c>
      <c r="D201" s="8" t="s">
        <v>2004</v>
      </c>
      <c r="E201" s="8" t="s">
        <v>8</v>
      </c>
      <c r="F201" s="8"/>
      <c r="H201" s="8"/>
      <c r="I201" s="8" t="s">
        <v>8487</v>
      </c>
      <c r="J201" s="8" t="s">
        <v>2989</v>
      </c>
      <c r="K201" t="s">
        <v>8488</v>
      </c>
      <c r="L201" t="s">
        <v>8489</v>
      </c>
      <c r="M201" s="3" t="str">
        <f>HYPERLINK(склад2въезд14[[#This Row],[RelativePath]])</f>
        <v>2 Пилорама поката\E33149364_7_20260106T180019Z.jpg</v>
      </c>
    </row>
    <row r="202" spans="1:13" x14ac:dyDescent="0.25">
      <c r="A202" s="2" t="s">
        <v>15</v>
      </c>
      <c r="B202" s="4">
        <v>46029</v>
      </c>
      <c r="C202" s="5">
        <v>0.74949074074074074</v>
      </c>
      <c r="D202" s="8" t="s">
        <v>2004</v>
      </c>
      <c r="E202" s="8" t="s">
        <v>8</v>
      </c>
      <c r="F202" s="8"/>
      <c r="H202" s="8"/>
      <c r="I202" s="8" t="s">
        <v>8490</v>
      </c>
      <c r="J202" s="8" t="s">
        <v>2989</v>
      </c>
      <c r="K202" t="s">
        <v>8491</v>
      </c>
      <c r="L202" t="s">
        <v>8492</v>
      </c>
      <c r="M202" s="3" t="str">
        <f>HYPERLINK(склад2въезд14[[#This Row],[RelativePath]])</f>
        <v>2 Пилорама поката\E33149364_7_20260107T175916Z.jpg</v>
      </c>
    </row>
    <row r="203" spans="1:13" x14ac:dyDescent="0.25">
      <c r="A203" s="2" t="s">
        <v>16</v>
      </c>
      <c r="B203" s="4">
        <v>46030</v>
      </c>
      <c r="C203" s="5">
        <v>0.74802083333333336</v>
      </c>
      <c r="D203" s="8" t="s">
        <v>2004</v>
      </c>
      <c r="E203" s="8" t="s">
        <v>8</v>
      </c>
      <c r="F203" s="8"/>
      <c r="H203" s="8"/>
      <c r="I203" s="8" t="s">
        <v>8493</v>
      </c>
      <c r="J203" s="8" t="s">
        <v>2989</v>
      </c>
      <c r="K203" t="s">
        <v>8494</v>
      </c>
      <c r="L203" t="s">
        <v>8495</v>
      </c>
      <c r="M203" s="3" t="str">
        <f>HYPERLINK(склад2въезд14[[#This Row],[RelativePath]])</f>
        <v>2 Пилорама поката\E33149364_7_20260108T175709Z.jpg</v>
      </c>
    </row>
    <row r="204" spans="1:13" x14ac:dyDescent="0.25">
      <c r="A204" s="2" t="s">
        <v>17</v>
      </c>
      <c r="B204" s="4">
        <v>46031</v>
      </c>
      <c r="C204" s="5">
        <v>0.75283564814814818</v>
      </c>
      <c r="D204" s="8" t="s">
        <v>2004</v>
      </c>
      <c r="E204" s="8" t="s">
        <v>8</v>
      </c>
      <c r="F204" s="8"/>
      <c r="H204" s="8"/>
      <c r="I204" s="8" t="s">
        <v>8496</v>
      </c>
      <c r="J204" s="8" t="s">
        <v>2989</v>
      </c>
      <c r="K204" t="s">
        <v>8497</v>
      </c>
      <c r="L204" t="s">
        <v>8498</v>
      </c>
      <c r="M204" s="3" t="str">
        <f>HYPERLINK(склад2въезд14[[#This Row],[RelativePath]])</f>
        <v>2 Пилорама поката\E33149364_7_20260109T180405Z.jpg</v>
      </c>
    </row>
    <row r="205" spans="1:13" x14ac:dyDescent="0.25">
      <c r="A205" s="2" t="s">
        <v>18</v>
      </c>
      <c r="B205" s="4">
        <v>46032</v>
      </c>
      <c r="C205" s="5">
        <v>0.75362268518518516</v>
      </c>
      <c r="D205" s="8" t="s">
        <v>2004</v>
      </c>
      <c r="E205" s="8" t="s">
        <v>8</v>
      </c>
      <c r="F205" s="8"/>
      <c r="H205" s="8"/>
      <c r="I205" s="8" t="s">
        <v>8499</v>
      </c>
      <c r="J205" s="8" t="s">
        <v>2989</v>
      </c>
      <c r="K205" t="s">
        <v>8500</v>
      </c>
      <c r="L205" t="s">
        <v>8501</v>
      </c>
      <c r="M205" s="3" t="str">
        <f>HYPERLINK(склад2въезд14[[#This Row],[RelativePath]])</f>
        <v>2 Пилорама поката\E33149364_7_20260110T180513Z.jpg</v>
      </c>
    </row>
    <row r="206" spans="1:13" x14ac:dyDescent="0.25">
      <c r="A206" s="2" t="s">
        <v>22</v>
      </c>
      <c r="B206" s="4">
        <v>46033</v>
      </c>
      <c r="C206" s="5">
        <v>0.63422453703703707</v>
      </c>
      <c r="D206" s="8" t="s">
        <v>2004</v>
      </c>
      <c r="E206" s="8" t="s">
        <v>8</v>
      </c>
      <c r="F206" s="8"/>
      <c r="H206" s="8"/>
      <c r="I206" s="8" t="s">
        <v>8502</v>
      </c>
      <c r="J206" s="8" t="s">
        <v>2989</v>
      </c>
      <c r="K206" t="s">
        <v>8503</v>
      </c>
      <c r="L206" t="s">
        <v>8504</v>
      </c>
      <c r="M206" s="3" t="str">
        <f>HYPERLINK(склад2въезд14[[#This Row],[RelativePath]])</f>
        <v>2 Пилорама поката\E33149364_7_20260111T151317Z.jpg</v>
      </c>
    </row>
    <row r="207" spans="1:13" x14ac:dyDescent="0.25">
      <c r="A207" s="2" t="s">
        <v>13</v>
      </c>
      <c r="B207" s="4">
        <v>46034</v>
      </c>
      <c r="C207" s="5">
        <v>0.46210648148148148</v>
      </c>
      <c r="D207" s="8" t="s">
        <v>4221</v>
      </c>
      <c r="E207" s="8" t="s">
        <v>86</v>
      </c>
      <c r="F207" s="8" t="s">
        <v>4240</v>
      </c>
      <c r="H207" s="8" t="s">
        <v>1620</v>
      </c>
      <c r="I207" s="8" t="s">
        <v>8828</v>
      </c>
      <c r="J207" s="8" t="s">
        <v>2989</v>
      </c>
      <c r="K207" t="s">
        <v>8829</v>
      </c>
      <c r="L207" t="s">
        <v>8830</v>
      </c>
      <c r="M207" s="3" t="str">
        <f>HYPERLINK(склад2въезд14[[#This Row],[RelativePath]])</f>
        <v>2 Пилорама поката\E33149364_7_20260112T110526Z.jpg</v>
      </c>
    </row>
    <row r="208" spans="1:13" x14ac:dyDescent="0.25">
      <c r="A208" s="2" t="s">
        <v>13</v>
      </c>
      <c r="B208" s="4">
        <v>46034</v>
      </c>
      <c r="C208" s="5">
        <v>0.46229166666666666</v>
      </c>
      <c r="D208" s="8" t="s">
        <v>4221</v>
      </c>
      <c r="E208" s="8" t="s">
        <v>86</v>
      </c>
      <c r="F208" s="8" t="s">
        <v>4240</v>
      </c>
      <c r="H208" s="8" t="s">
        <v>4236</v>
      </c>
      <c r="I208" s="8" t="s">
        <v>8831</v>
      </c>
      <c r="J208" s="8" t="s">
        <v>2989</v>
      </c>
      <c r="K208" t="s">
        <v>8832</v>
      </c>
      <c r="L208" t="s">
        <v>8833</v>
      </c>
      <c r="M208" s="3" t="str">
        <f>HYPERLINK(склад2въезд14[[#This Row],[RelativePath]])</f>
        <v>2 Пилорама поката\E33149364_7_20260112T110542Z.jpg</v>
      </c>
    </row>
    <row r="209" spans="1:13" x14ac:dyDescent="0.25">
      <c r="A209" s="2" t="s">
        <v>13</v>
      </c>
      <c r="B209" s="4">
        <v>46034</v>
      </c>
      <c r="C209" s="5">
        <v>0.47791666666666666</v>
      </c>
      <c r="D209" s="8" t="s">
        <v>158</v>
      </c>
      <c r="E209" s="8" t="s">
        <v>86</v>
      </c>
      <c r="F209" s="8" t="s">
        <v>60</v>
      </c>
      <c r="G209">
        <v>3</v>
      </c>
      <c r="H209" s="8" t="s">
        <v>3075</v>
      </c>
      <c r="I209" s="8" t="s">
        <v>8834</v>
      </c>
      <c r="J209" s="8" t="s">
        <v>2989</v>
      </c>
      <c r="K209" t="s">
        <v>8835</v>
      </c>
      <c r="L209" t="s">
        <v>8836</v>
      </c>
      <c r="M209" s="3" t="str">
        <f>HYPERLINK(склад2въезд14[[#This Row],[RelativePath]])</f>
        <v>2 Пилорама поката\E33149364_7_20260112T112812Z.jpg</v>
      </c>
    </row>
    <row r="210" spans="1:13" x14ac:dyDescent="0.25">
      <c r="A210" s="2" t="s">
        <v>13</v>
      </c>
      <c r="B210" s="4">
        <v>46034</v>
      </c>
      <c r="C210" s="5">
        <v>0.59212962962962967</v>
      </c>
      <c r="D210" s="8" t="s">
        <v>158</v>
      </c>
      <c r="E210" s="8" t="s">
        <v>86</v>
      </c>
      <c r="F210" s="8" t="s">
        <v>60</v>
      </c>
      <c r="G210">
        <v>2</v>
      </c>
      <c r="H210" s="8" t="s">
        <v>3075</v>
      </c>
      <c r="I210" s="8" t="s">
        <v>8837</v>
      </c>
      <c r="J210" s="8" t="s">
        <v>2989</v>
      </c>
      <c r="K210" t="s">
        <v>8838</v>
      </c>
      <c r="L210" t="s">
        <v>8839</v>
      </c>
      <c r="M210" s="3" t="str">
        <f>HYPERLINK(склад2въезд14[[#This Row],[RelativePath]])</f>
        <v>2 Пилорама поката\E33149364_7_20260112T141240Z.jpg</v>
      </c>
    </row>
    <row r="211" spans="1:13" x14ac:dyDescent="0.25">
      <c r="A211" s="2" t="s">
        <v>13</v>
      </c>
      <c r="B211" s="4">
        <v>46034</v>
      </c>
      <c r="C211" s="5">
        <v>0.59865740740740736</v>
      </c>
      <c r="D211" s="8" t="s">
        <v>158</v>
      </c>
      <c r="E211" s="8" t="s">
        <v>86</v>
      </c>
      <c r="F211" s="8" t="s">
        <v>60</v>
      </c>
      <c r="G211">
        <v>1</v>
      </c>
      <c r="H211" s="8" t="s">
        <v>3075</v>
      </c>
      <c r="I211" s="8" t="s">
        <v>8840</v>
      </c>
      <c r="J211" s="8" t="s">
        <v>2989</v>
      </c>
      <c r="K211" t="s">
        <v>8841</v>
      </c>
      <c r="L211" t="s">
        <v>8842</v>
      </c>
      <c r="M211" s="3" t="str">
        <f>HYPERLINK(склад2въезд14[[#This Row],[RelativePath]])</f>
        <v>2 Пилорама поката\E33149364_7_20260112T142204Z.jpg</v>
      </c>
    </row>
    <row r="212" spans="1:13" x14ac:dyDescent="0.25">
      <c r="A212" s="2" t="s">
        <v>13</v>
      </c>
      <c r="B212" s="4">
        <v>46034</v>
      </c>
      <c r="C212" s="5">
        <v>0.6675578703703704</v>
      </c>
      <c r="D212" s="8" t="s">
        <v>4221</v>
      </c>
      <c r="E212" s="8" t="s">
        <v>86</v>
      </c>
      <c r="F212" s="8" t="s">
        <v>9189</v>
      </c>
      <c r="H212" s="8" t="s">
        <v>1620</v>
      </c>
      <c r="I212" s="8" t="s">
        <v>8843</v>
      </c>
      <c r="J212" s="8" t="s">
        <v>2989</v>
      </c>
      <c r="K212" t="s">
        <v>8844</v>
      </c>
      <c r="L212" t="s">
        <v>8845</v>
      </c>
      <c r="M212" s="3" t="str">
        <f>HYPERLINK(склад2въезд14[[#This Row],[RelativePath]])</f>
        <v>2 Пилорама поката\E33149364_7_20260112T160117Z.jpg</v>
      </c>
    </row>
    <row r="213" spans="1:13" x14ac:dyDescent="0.25">
      <c r="A213" s="2" t="s">
        <v>13</v>
      </c>
      <c r="B213" s="4">
        <v>46034</v>
      </c>
      <c r="C213" s="5">
        <v>0.66769675925925931</v>
      </c>
      <c r="D213" s="8" t="s">
        <v>4221</v>
      </c>
      <c r="E213" s="8" t="s">
        <v>86</v>
      </c>
      <c r="F213" s="8" t="s">
        <v>9189</v>
      </c>
      <c r="H213" s="8" t="s">
        <v>2936</v>
      </c>
      <c r="I213" s="8" t="s">
        <v>8846</v>
      </c>
      <c r="J213" s="8" t="s">
        <v>2989</v>
      </c>
      <c r="K213" t="s">
        <v>8847</v>
      </c>
      <c r="L213" t="s">
        <v>8848</v>
      </c>
      <c r="M213" s="3" t="str">
        <f>HYPERLINK(склад2въезд14[[#This Row],[RelativePath]])</f>
        <v>2 Пилорама поката\E33149364_7_20260112T160129Z.jpg</v>
      </c>
    </row>
    <row r="214" spans="1:13" x14ac:dyDescent="0.25">
      <c r="A214" s="2" t="s">
        <v>14</v>
      </c>
      <c r="B214" s="4">
        <v>46035</v>
      </c>
      <c r="C214" s="5">
        <v>0.3973726851851852</v>
      </c>
      <c r="D214" s="8" t="s">
        <v>158</v>
      </c>
      <c r="E214" s="8" t="s">
        <v>86</v>
      </c>
      <c r="F214" s="8" t="s">
        <v>60</v>
      </c>
      <c r="G214">
        <v>1</v>
      </c>
      <c r="H214" s="8" t="s">
        <v>3075</v>
      </c>
      <c r="I214" s="8" t="s">
        <v>8849</v>
      </c>
      <c r="J214" s="8" t="s">
        <v>2989</v>
      </c>
      <c r="K214" t="s">
        <v>8850</v>
      </c>
      <c r="L214" t="s">
        <v>8851</v>
      </c>
      <c r="M214" s="3" t="str">
        <f>HYPERLINK(склад2въезд14[[#This Row],[RelativePath]])</f>
        <v>2 Пилорама поката\E33149364_7_20260113T093213Z.jpg</v>
      </c>
    </row>
    <row r="215" spans="1:13" x14ac:dyDescent="0.25">
      <c r="A215" s="2" t="s">
        <v>15</v>
      </c>
      <c r="B215" s="4">
        <v>46036</v>
      </c>
      <c r="C215" s="5">
        <v>0.50626157407407413</v>
      </c>
      <c r="D215" s="8" t="s">
        <v>1606</v>
      </c>
      <c r="E215" s="8" t="s">
        <v>4193</v>
      </c>
      <c r="F215" s="8"/>
      <c r="H215" s="8"/>
      <c r="I215" s="8" t="s">
        <v>9213</v>
      </c>
      <c r="J215" s="8" t="s">
        <v>2989</v>
      </c>
      <c r="K215" t="s">
        <v>9214</v>
      </c>
      <c r="L215" t="s">
        <v>9215</v>
      </c>
      <c r="M215" s="3" t="str">
        <f>HYPERLINK(склад2въезд14[[#This Row],[RelativePath]])</f>
        <v>2 Пилорама поката\E33149364_7_20260114T120901Z.jpg</v>
      </c>
    </row>
    <row r="216" spans="1:13" x14ac:dyDescent="0.25">
      <c r="A216" s="2" t="s">
        <v>15</v>
      </c>
      <c r="B216" s="4">
        <v>46036</v>
      </c>
      <c r="C216" s="5">
        <v>0.51443287037037033</v>
      </c>
      <c r="D216" s="8" t="s">
        <v>9337</v>
      </c>
      <c r="E216" s="8" t="s">
        <v>4193</v>
      </c>
      <c r="F216" s="8"/>
      <c r="H216" s="8"/>
      <c r="I216" s="8" t="s">
        <v>9216</v>
      </c>
      <c r="J216" s="8" t="s">
        <v>2989</v>
      </c>
      <c r="K216" t="s">
        <v>9217</v>
      </c>
      <c r="L216" t="s">
        <v>9218</v>
      </c>
      <c r="M216" s="3" t="str">
        <f>HYPERLINK(склад2въезд14[[#This Row],[RelativePath]])</f>
        <v>2 Пилорама поката\E33149364_7_20260114T122047Z.jpg</v>
      </c>
    </row>
    <row r="217" spans="1:13" x14ac:dyDescent="0.25">
      <c r="A217" s="2" t="s">
        <v>15</v>
      </c>
      <c r="B217" s="4">
        <v>46036</v>
      </c>
      <c r="C217" s="5">
        <v>0.59844907407407411</v>
      </c>
      <c r="D217" s="8" t="s">
        <v>9337</v>
      </c>
      <c r="E217" s="8" t="s">
        <v>4193</v>
      </c>
      <c r="F217" s="8"/>
      <c r="H217" s="8" t="s">
        <v>9338</v>
      </c>
      <c r="I217" s="8" t="s">
        <v>9219</v>
      </c>
      <c r="J217" s="8" t="s">
        <v>2989</v>
      </c>
      <c r="K217" t="s">
        <v>9220</v>
      </c>
      <c r="L217" t="s">
        <v>9221</v>
      </c>
      <c r="M217" s="3" t="str">
        <f>HYPERLINK(склад2въезд14[[#This Row],[RelativePath]])</f>
        <v>2 Пилорама поката\E33149364_7_20260114T142146Z.jpg</v>
      </c>
    </row>
    <row r="218" spans="1:13" x14ac:dyDescent="0.25">
      <c r="A218" s="2" t="s">
        <v>15</v>
      </c>
      <c r="B218" s="4">
        <v>46036</v>
      </c>
      <c r="C218" s="5">
        <v>0.68151620370370369</v>
      </c>
      <c r="D218" s="8" t="s">
        <v>9337</v>
      </c>
      <c r="E218" s="8" t="s">
        <v>4193</v>
      </c>
      <c r="F218" s="8" t="s">
        <v>9339</v>
      </c>
      <c r="H218" s="8" t="s">
        <v>9340</v>
      </c>
      <c r="I218" s="8" t="s">
        <v>9222</v>
      </c>
      <c r="J218" s="8" t="s">
        <v>2989</v>
      </c>
      <c r="K218" t="s">
        <v>9223</v>
      </c>
      <c r="L218" t="s">
        <v>9224</v>
      </c>
      <c r="M218" s="3" t="str">
        <f>HYPERLINK(склад2въезд14[[#This Row],[RelativePath]])</f>
        <v>2 Пилорама поката\E33149364_7_20260114T162123Z.jpg</v>
      </c>
    </row>
    <row r="219" spans="1:13" x14ac:dyDescent="0.25">
      <c r="A219" s="2" t="s">
        <v>15</v>
      </c>
      <c r="B219" s="4">
        <v>46036</v>
      </c>
      <c r="C219" s="5">
        <v>0.70737268518518515</v>
      </c>
      <c r="D219" s="8" t="s">
        <v>650</v>
      </c>
      <c r="E219" s="8" t="s">
        <v>4193</v>
      </c>
      <c r="F219" s="8"/>
      <c r="H219" s="8"/>
      <c r="I219" s="8" t="s">
        <v>9225</v>
      </c>
      <c r="J219" s="8" t="s">
        <v>2989</v>
      </c>
      <c r="K219" t="s">
        <v>9226</v>
      </c>
      <c r="L219" t="s">
        <v>9227</v>
      </c>
      <c r="M219" s="3" t="str">
        <f>HYPERLINK(склад2въезд14[[#This Row],[RelativePath]])</f>
        <v>2 Пилорама поката\E33149364_7_20260114T165837Z.jpg</v>
      </c>
    </row>
    <row r="220" spans="1:13" x14ac:dyDescent="0.25">
      <c r="A220" s="2" t="s">
        <v>16</v>
      </c>
      <c r="B220" s="4">
        <v>46037</v>
      </c>
      <c r="C220" s="5">
        <v>0.69466435185185182</v>
      </c>
      <c r="D220" s="8" t="s">
        <v>2004</v>
      </c>
      <c r="E220" s="8" t="s">
        <v>8</v>
      </c>
      <c r="F220" s="8"/>
      <c r="H220" s="8"/>
      <c r="I220" s="8" t="s">
        <v>9228</v>
      </c>
      <c r="J220" s="8" t="s">
        <v>2989</v>
      </c>
      <c r="K220" t="s">
        <v>9229</v>
      </c>
      <c r="L220" t="s">
        <v>9230</v>
      </c>
      <c r="M220" s="3" t="str">
        <f>HYPERLINK(склад2въезд14[[#This Row],[RelativePath]])</f>
        <v>2 Пилорама поката\E33149364_7_20260115T164019Z.jpg</v>
      </c>
    </row>
    <row r="221" spans="1:13" x14ac:dyDescent="0.25">
      <c r="A221" s="2" t="s">
        <v>17</v>
      </c>
      <c r="B221" s="4">
        <v>46038</v>
      </c>
      <c r="C221" s="5">
        <v>0.39196759259259262</v>
      </c>
      <c r="D221" s="8" t="s">
        <v>533</v>
      </c>
      <c r="E221" s="8" t="s">
        <v>531</v>
      </c>
      <c r="F221" s="8" t="s">
        <v>2929</v>
      </c>
      <c r="H221" s="8"/>
      <c r="I221" s="8" t="s">
        <v>9231</v>
      </c>
      <c r="J221" s="8" t="s">
        <v>2989</v>
      </c>
      <c r="K221" t="s">
        <v>9232</v>
      </c>
      <c r="L221" t="s">
        <v>9233</v>
      </c>
      <c r="M221" s="3" t="str">
        <f>HYPERLINK(склад2въезд14[[#This Row],[RelativePath]])</f>
        <v>2 Пилорама поката\E33149364_7_20260116T092426Z.jpg</v>
      </c>
    </row>
    <row r="222" spans="1:13" x14ac:dyDescent="0.25">
      <c r="A222" s="2" t="s">
        <v>17</v>
      </c>
      <c r="B222" s="4">
        <v>46038</v>
      </c>
      <c r="C222" s="5">
        <v>0.39203703703703702</v>
      </c>
      <c r="D222" s="8" t="s">
        <v>533</v>
      </c>
      <c r="E222" s="8" t="s">
        <v>531</v>
      </c>
      <c r="F222" s="8" t="s">
        <v>2929</v>
      </c>
      <c r="H222" s="8" t="s">
        <v>2936</v>
      </c>
      <c r="I222" s="8" t="s">
        <v>9234</v>
      </c>
      <c r="J222" s="8" t="s">
        <v>2989</v>
      </c>
      <c r="K222" t="s">
        <v>9235</v>
      </c>
      <c r="L222" t="s">
        <v>9236</v>
      </c>
      <c r="M222" s="3" t="str">
        <f>HYPERLINK(склад2въезд14[[#This Row],[RelativePath]])</f>
        <v>2 Пилорама поката\E33149364_7_20260116T092432Z.jpg</v>
      </c>
    </row>
    <row r="223" spans="1:13" x14ac:dyDescent="0.25">
      <c r="A223" s="2" t="s">
        <v>17</v>
      </c>
      <c r="B223" s="4">
        <v>46038</v>
      </c>
      <c r="C223" s="5">
        <v>0.46456018518518516</v>
      </c>
      <c r="D223" s="8" t="s">
        <v>9341</v>
      </c>
      <c r="E223" s="8" t="s">
        <v>9342</v>
      </c>
      <c r="F223" s="8"/>
      <c r="H223" s="8" t="s">
        <v>6531</v>
      </c>
      <c r="I223" s="8" t="s">
        <v>9237</v>
      </c>
      <c r="J223" s="8" t="s">
        <v>2989</v>
      </c>
      <c r="K223" t="s">
        <v>9238</v>
      </c>
      <c r="L223" t="s">
        <v>9239</v>
      </c>
      <c r="M223" s="3" t="str">
        <f>HYPERLINK(склад2въезд14[[#This Row],[RelativePath]])</f>
        <v>2 Пилорама поката\E33149364_7_20260116T110858Z.jpg</v>
      </c>
    </row>
    <row r="224" spans="1:13" x14ac:dyDescent="0.25">
      <c r="A224" s="2" t="s">
        <v>18</v>
      </c>
      <c r="B224" s="4">
        <v>46039</v>
      </c>
      <c r="C224" s="5">
        <v>0.59896990740740741</v>
      </c>
      <c r="D224" s="8" t="s">
        <v>1606</v>
      </c>
      <c r="E224" s="8" t="s">
        <v>6656</v>
      </c>
      <c r="F224" s="8" t="s">
        <v>51</v>
      </c>
      <c r="H224" s="8"/>
      <c r="I224" s="8" t="s">
        <v>9570</v>
      </c>
      <c r="J224" s="8" t="s">
        <v>2989</v>
      </c>
      <c r="K224" t="s">
        <v>9571</v>
      </c>
      <c r="L224" t="s">
        <v>9572</v>
      </c>
      <c r="M224" s="3" t="str">
        <f>HYPERLINK(склад2въезд14[[#This Row],[RelativePath]])</f>
        <v>2 Пилорама поката\E33149364_7_20260117T142231Z.jpg</v>
      </c>
    </row>
    <row r="225" spans="1:13" x14ac:dyDescent="0.25">
      <c r="A225" s="2" t="s">
        <v>18</v>
      </c>
      <c r="B225" s="4">
        <v>46039</v>
      </c>
      <c r="C225" s="5">
        <v>0.61084490740740738</v>
      </c>
      <c r="D225" s="8" t="s">
        <v>650</v>
      </c>
      <c r="E225" s="8" t="s">
        <v>6656</v>
      </c>
      <c r="F225" s="8" t="s">
        <v>4240</v>
      </c>
      <c r="H225" s="8"/>
      <c r="I225" s="8" t="s">
        <v>9573</v>
      </c>
      <c r="J225" s="8" t="s">
        <v>2989</v>
      </c>
      <c r="K225" t="s">
        <v>9574</v>
      </c>
      <c r="L225" t="s">
        <v>9575</v>
      </c>
      <c r="M225" s="3" t="str">
        <f>HYPERLINK(склад2въезд14[[#This Row],[RelativePath]])</f>
        <v>2 Пилорама поката\E33149364_7_20260117T143937Z.jpg</v>
      </c>
    </row>
    <row r="226" spans="1:13" x14ac:dyDescent="0.25">
      <c r="A226" s="2" t="s">
        <v>18</v>
      </c>
      <c r="B226" s="4">
        <v>46039</v>
      </c>
      <c r="C226" s="5">
        <v>0.63849537037037041</v>
      </c>
      <c r="D226" s="8" t="s">
        <v>1606</v>
      </c>
      <c r="E226" s="8" t="s">
        <v>6656</v>
      </c>
      <c r="F226" s="8" t="s">
        <v>51</v>
      </c>
      <c r="H226" s="8"/>
      <c r="I226" s="8" t="s">
        <v>9576</v>
      </c>
      <c r="J226" s="8" t="s">
        <v>2989</v>
      </c>
      <c r="K226" t="s">
        <v>9577</v>
      </c>
      <c r="L226" t="s">
        <v>9578</v>
      </c>
      <c r="M226" s="3" t="str">
        <f>HYPERLINK(склад2въезд14[[#This Row],[RelativePath]])</f>
        <v>2 Пилорама поката\E33149364_7_20260117T151926Z.jpg</v>
      </c>
    </row>
    <row r="227" spans="1:13" x14ac:dyDescent="0.25">
      <c r="A227" s="2" t="s">
        <v>18</v>
      </c>
      <c r="B227" s="4">
        <v>46039</v>
      </c>
      <c r="C227" s="5">
        <v>0.65743055555555552</v>
      </c>
      <c r="D227" s="8" t="s">
        <v>650</v>
      </c>
      <c r="E227" s="8" t="s">
        <v>6656</v>
      </c>
      <c r="F227" s="8" t="s">
        <v>9684</v>
      </c>
      <c r="H227" s="8"/>
      <c r="I227" s="8" t="s">
        <v>9579</v>
      </c>
      <c r="J227" s="8" t="s">
        <v>2989</v>
      </c>
      <c r="K227" t="s">
        <v>9580</v>
      </c>
      <c r="L227" t="s">
        <v>9581</v>
      </c>
      <c r="M227" s="3" t="str">
        <f>HYPERLINK(склад2въезд14[[#This Row],[RelativePath]])</f>
        <v>2 Пилорама поката\E33149364_7_20260117T154642Z.jpg</v>
      </c>
    </row>
    <row r="228" spans="1:13" x14ac:dyDescent="0.25">
      <c r="A228" s="2" t="s">
        <v>22</v>
      </c>
      <c r="B228" s="4">
        <v>46040</v>
      </c>
      <c r="C228" s="5">
        <v>0.37439814814814815</v>
      </c>
      <c r="D228" s="8" t="s">
        <v>2004</v>
      </c>
      <c r="E228" s="8" t="s">
        <v>8</v>
      </c>
      <c r="F228" s="8"/>
      <c r="H228" s="8"/>
      <c r="I228" s="8" t="s">
        <v>9582</v>
      </c>
      <c r="J228" s="8" t="s">
        <v>2989</v>
      </c>
      <c r="K228" t="s">
        <v>9583</v>
      </c>
      <c r="L228" t="s">
        <v>9584</v>
      </c>
      <c r="M228" s="3" t="str">
        <f>HYPERLINK(склад2въезд14[[#This Row],[RelativePath]])</f>
        <v>2 Пилорама поката\E33149364_7_20260118T085908Z.jpg</v>
      </c>
    </row>
    <row r="229" spans="1:13" x14ac:dyDescent="0.25">
      <c r="A229" s="2" t="s">
        <v>13</v>
      </c>
      <c r="B229" s="4">
        <v>46041</v>
      </c>
      <c r="C229" s="5">
        <v>0.76245370370370369</v>
      </c>
      <c r="D229" s="8" t="s">
        <v>2004</v>
      </c>
      <c r="E229" s="8" t="s">
        <v>8</v>
      </c>
      <c r="F229" s="8"/>
      <c r="H229" s="8"/>
      <c r="I229" s="8" t="s">
        <v>9714</v>
      </c>
      <c r="J229" s="8" t="s">
        <v>2989</v>
      </c>
      <c r="K229" t="s">
        <v>9715</v>
      </c>
      <c r="L229" t="s">
        <v>9716</v>
      </c>
      <c r="M229" s="3" t="str">
        <f>HYPERLINK(склад2въезд14[[#This Row],[RelativePath]])</f>
        <v>2 Пилорама поката\E33149364_7_20260119T181756Z.jpg</v>
      </c>
    </row>
    <row r="230" spans="1:13" x14ac:dyDescent="0.25">
      <c r="A230" s="2" t="s">
        <v>14</v>
      </c>
      <c r="B230" s="4">
        <v>46042</v>
      </c>
      <c r="C230" s="5">
        <v>0.72775462962962967</v>
      </c>
      <c r="D230" s="8" t="s">
        <v>2004</v>
      </c>
      <c r="E230" s="8" t="s">
        <v>8</v>
      </c>
      <c r="F230" s="8"/>
      <c r="H230" s="8"/>
      <c r="I230" s="8" t="s">
        <v>9717</v>
      </c>
      <c r="J230" s="8" t="s">
        <v>2989</v>
      </c>
      <c r="K230" t="s">
        <v>9718</v>
      </c>
      <c r="L230" t="s">
        <v>9719</v>
      </c>
      <c r="M230" s="3" t="str">
        <f>HYPERLINK(склад2въезд14[[#This Row],[RelativePath]])</f>
        <v>2 Пилорама поката\E33149364_7_20260120T172758Z.jpg</v>
      </c>
    </row>
    <row r="231" spans="1:13" x14ac:dyDescent="0.25">
      <c r="A231" s="2" t="s">
        <v>15</v>
      </c>
      <c r="B231" s="4">
        <v>46043</v>
      </c>
      <c r="C231" s="5">
        <v>0.56034722222222222</v>
      </c>
      <c r="D231" s="8" t="s">
        <v>1606</v>
      </c>
      <c r="E231" s="8" t="s">
        <v>10140</v>
      </c>
      <c r="F231" s="8"/>
      <c r="H231" s="8" t="s">
        <v>5474</v>
      </c>
      <c r="I231" s="8" t="s">
        <v>9915</v>
      </c>
      <c r="J231" s="8" t="s">
        <v>2989</v>
      </c>
      <c r="K231" t="s">
        <v>9916</v>
      </c>
      <c r="L231" t="s">
        <v>9917</v>
      </c>
      <c r="M231" s="3" t="str">
        <f>HYPERLINK(склад2въезд14[[#This Row],[RelativePath]])</f>
        <v>2 Пилорама поката\E33149364_7_20260121T132654Z.jpg</v>
      </c>
    </row>
    <row r="232" spans="1:13" x14ac:dyDescent="0.25">
      <c r="A232" s="2" t="s">
        <v>15</v>
      </c>
      <c r="B232" s="4">
        <v>46043</v>
      </c>
      <c r="C232" s="5">
        <v>0.82356481481481481</v>
      </c>
      <c r="D232" s="8" t="s">
        <v>650</v>
      </c>
      <c r="E232" s="8" t="s">
        <v>10140</v>
      </c>
      <c r="F232" s="8"/>
      <c r="H232" s="8"/>
      <c r="I232" s="8" t="s">
        <v>9918</v>
      </c>
      <c r="J232" s="8" t="s">
        <v>2989</v>
      </c>
      <c r="K232" t="s">
        <v>9919</v>
      </c>
      <c r="L232" t="s">
        <v>9920</v>
      </c>
      <c r="M232" s="3" t="str">
        <f>HYPERLINK(склад2въезд14[[#This Row],[RelativePath]])</f>
        <v>2 Пилорама поката\E33149364_7_20260121T194556Z.jpg</v>
      </c>
    </row>
    <row r="233" spans="1:13" x14ac:dyDescent="0.25">
      <c r="A233" s="2" t="s">
        <v>16</v>
      </c>
      <c r="B233" s="4">
        <v>46044</v>
      </c>
      <c r="C233" s="5">
        <v>0.51006944444444446</v>
      </c>
      <c r="D233" s="8" t="s">
        <v>1606</v>
      </c>
      <c r="E233" s="8" t="s">
        <v>4193</v>
      </c>
      <c r="F233" s="8"/>
      <c r="H233" s="8" t="s">
        <v>5474</v>
      </c>
      <c r="I233" s="8" t="s">
        <v>9921</v>
      </c>
      <c r="J233" s="8" t="s">
        <v>2989</v>
      </c>
      <c r="K233" t="s">
        <v>9922</v>
      </c>
      <c r="L233" t="s">
        <v>9923</v>
      </c>
      <c r="M233" s="3" t="str">
        <f>HYPERLINK(склад2въезд14[[#This Row],[RelativePath]])</f>
        <v>2 Пилорама поката\E33149364_7_20260122T121430Z.jpg</v>
      </c>
    </row>
    <row r="234" spans="1:13" x14ac:dyDescent="0.25">
      <c r="A234" s="2" t="s">
        <v>16</v>
      </c>
      <c r="B234" s="4">
        <v>46044</v>
      </c>
      <c r="C234" s="5">
        <v>0.52622685185185181</v>
      </c>
      <c r="D234" s="8" t="s">
        <v>650</v>
      </c>
      <c r="E234" s="8" t="s">
        <v>4193</v>
      </c>
      <c r="F234" s="8"/>
      <c r="H234" s="8"/>
      <c r="I234" s="8" t="s">
        <v>9924</v>
      </c>
      <c r="J234" s="8" t="s">
        <v>2989</v>
      </c>
      <c r="K234" t="s">
        <v>9925</v>
      </c>
      <c r="L234" t="s">
        <v>9926</v>
      </c>
      <c r="M234" s="3" t="str">
        <f>HYPERLINK(склад2въезд14[[#This Row],[RelativePath]])</f>
        <v>2 Пилорама поката\E33149364_7_20260122T123746Z.jpg</v>
      </c>
    </row>
    <row r="235" spans="1:13" x14ac:dyDescent="0.25">
      <c r="A235" s="2" t="s">
        <v>17</v>
      </c>
      <c r="B235" s="4">
        <v>46045</v>
      </c>
      <c r="C235" s="5">
        <v>0.45284722222222223</v>
      </c>
      <c r="D235" s="8" t="s">
        <v>1606</v>
      </c>
      <c r="E235" s="8" t="s">
        <v>10166</v>
      </c>
      <c r="F235" s="8" t="s">
        <v>5076</v>
      </c>
      <c r="H235" s="8"/>
      <c r="I235" s="8" t="s">
        <v>10168</v>
      </c>
      <c r="J235" s="8" t="s">
        <v>2989</v>
      </c>
      <c r="K235" t="s">
        <v>10169</v>
      </c>
      <c r="L235" t="s">
        <v>10170</v>
      </c>
      <c r="M235" s="3" t="str">
        <f>HYPERLINK(склад2въезд14[[#This Row],[RelativePath]])</f>
        <v>2 Пилорама поката\E33149364_7_20260123T105206Z.jpg</v>
      </c>
    </row>
    <row r="236" spans="1:13" x14ac:dyDescent="0.25">
      <c r="A236" s="2" t="s">
        <v>17</v>
      </c>
      <c r="B236" s="4">
        <v>46045</v>
      </c>
      <c r="C236" s="5">
        <v>0.51587962962962963</v>
      </c>
      <c r="D236" s="8" t="s">
        <v>6171</v>
      </c>
      <c r="E236" s="8" t="s">
        <v>10166</v>
      </c>
      <c r="F236" s="8" t="s">
        <v>5076</v>
      </c>
      <c r="H236" s="8" t="s">
        <v>5474</v>
      </c>
      <c r="I236" s="8" t="s">
        <v>10171</v>
      </c>
      <c r="J236" s="8" t="s">
        <v>2989</v>
      </c>
      <c r="K236" t="s">
        <v>10172</v>
      </c>
      <c r="L236" t="s">
        <v>10173</v>
      </c>
      <c r="M236" s="3" t="str">
        <f>HYPERLINK(склад2въезд14[[#This Row],[RelativePath]])</f>
        <v>2 Пилорама поката\E33149364_7_20260123T122252Z.jpg</v>
      </c>
    </row>
    <row r="237" spans="1:13" x14ac:dyDescent="0.25">
      <c r="A237" s="2" t="s">
        <v>17</v>
      </c>
      <c r="B237" s="4">
        <v>46045</v>
      </c>
      <c r="C237" s="5">
        <v>0.51633101851851848</v>
      </c>
      <c r="D237" s="8" t="s">
        <v>650</v>
      </c>
      <c r="E237" s="8" t="s">
        <v>10166</v>
      </c>
      <c r="F237" s="8" t="s">
        <v>5076</v>
      </c>
      <c r="H237" s="8"/>
      <c r="I237" s="8" t="s">
        <v>10174</v>
      </c>
      <c r="J237" s="8" t="s">
        <v>2989</v>
      </c>
      <c r="K237" t="s">
        <v>10175</v>
      </c>
      <c r="L237" t="s">
        <v>10176</v>
      </c>
      <c r="M237" s="3" t="str">
        <f>HYPERLINK(склад2въезд14[[#This Row],[RelativePath]])</f>
        <v>2 Пилорама поката\E33149364_7_20260123T122331Z.jpg</v>
      </c>
    </row>
    <row r="238" spans="1:13" x14ac:dyDescent="0.25">
      <c r="A238" s="2" t="s">
        <v>18</v>
      </c>
      <c r="B238" s="4">
        <v>46046</v>
      </c>
      <c r="C238" s="5">
        <v>0.36871527777777779</v>
      </c>
      <c r="D238" s="8" t="s">
        <v>2004</v>
      </c>
      <c r="E238" s="8" t="s">
        <v>8</v>
      </c>
      <c r="F238" s="8"/>
      <c r="H238" s="8"/>
      <c r="I238" s="8" t="s">
        <v>10446</v>
      </c>
      <c r="J238" s="8" t="s">
        <v>2989</v>
      </c>
      <c r="K238" t="s">
        <v>10447</v>
      </c>
      <c r="L238" t="s">
        <v>10448</v>
      </c>
      <c r="M238" s="3" t="str">
        <f>HYPERLINK(склад2въезд14[[#This Row],[RelativePath]])</f>
        <v>2 Пилорама поката\E33149364_7_20260124T085057Z.jpg</v>
      </c>
    </row>
    <row r="239" spans="1:13" x14ac:dyDescent="0.25">
      <c r="A239" s="2" t="s">
        <v>22</v>
      </c>
      <c r="B239" s="4">
        <v>46047</v>
      </c>
      <c r="C239" s="5">
        <v>0.77027777777777773</v>
      </c>
      <c r="D239" s="8" t="s">
        <v>2004</v>
      </c>
      <c r="E239" s="8" t="s">
        <v>8</v>
      </c>
      <c r="F239" s="8"/>
      <c r="H239" s="8"/>
      <c r="I239" s="8" t="s">
        <v>10449</v>
      </c>
      <c r="J239" s="8" t="s">
        <v>2989</v>
      </c>
      <c r="K239" t="s">
        <v>10450</v>
      </c>
      <c r="L239" t="s">
        <v>10451</v>
      </c>
      <c r="M239" s="3" t="str">
        <f>HYPERLINK(склад2въезд14[[#This Row],[RelativePath]])</f>
        <v>2 Пилорама поката\E33149364_7_20260125T182912Z.jpg</v>
      </c>
    </row>
    <row r="240" spans="1:13" x14ac:dyDescent="0.25">
      <c r="A240" s="2" t="s">
        <v>13</v>
      </c>
      <c r="B240" s="4">
        <v>46048</v>
      </c>
      <c r="C240" s="5">
        <v>0.77182870370370371</v>
      </c>
      <c r="D240" s="8" t="s">
        <v>2004</v>
      </c>
      <c r="E240" s="8" t="s">
        <v>8</v>
      </c>
      <c r="F240" s="8"/>
      <c r="H240" s="8"/>
      <c r="I240" s="8" t="s">
        <v>10528</v>
      </c>
      <c r="J240" s="8" t="s">
        <v>2989</v>
      </c>
      <c r="K240" t="s">
        <v>10529</v>
      </c>
      <c r="L240" t="s">
        <v>10530</v>
      </c>
      <c r="M240" s="3" t="str">
        <f>HYPERLINK(склад2въезд14[[#This Row],[RelativePath]])</f>
        <v>2 Пилорама поката\E33149364_7_20260126T183126Z.jpg</v>
      </c>
    </row>
    <row r="241" spans="1:13" x14ac:dyDescent="0.25">
      <c r="A241" s="2" t="s">
        <v>14</v>
      </c>
      <c r="B241" s="4">
        <v>46049</v>
      </c>
      <c r="C241" s="5">
        <v>0.61211805555555554</v>
      </c>
      <c r="D241" s="8" t="s">
        <v>2004</v>
      </c>
      <c r="E241" s="8" t="s">
        <v>8</v>
      </c>
      <c r="F241" s="8"/>
      <c r="H241" s="8"/>
      <c r="I241" s="8" t="s">
        <v>10531</v>
      </c>
      <c r="J241" s="8" t="s">
        <v>2989</v>
      </c>
      <c r="K241" t="s">
        <v>10532</v>
      </c>
      <c r="L241" t="s">
        <v>10533</v>
      </c>
      <c r="M241" s="3" t="str">
        <f>HYPERLINK(склад2въезд14[[#This Row],[RelativePath]])</f>
        <v>2 Пилорама поката\E33149364_7_20260127T144127Z.jpg</v>
      </c>
    </row>
    <row r="242" spans="1:13" x14ac:dyDescent="0.25">
      <c r="A242" s="2" t="s">
        <v>15</v>
      </c>
      <c r="B242" s="4">
        <v>46050</v>
      </c>
      <c r="C242" s="5">
        <v>0.61832175925925925</v>
      </c>
      <c r="D242" s="8" t="s">
        <v>158</v>
      </c>
      <c r="E242" s="8" t="s">
        <v>1607</v>
      </c>
      <c r="F242" s="8" t="s">
        <v>2929</v>
      </c>
      <c r="G242">
        <v>1</v>
      </c>
      <c r="H242" s="8" t="s">
        <v>3075</v>
      </c>
      <c r="I242" s="8" t="s">
        <v>10641</v>
      </c>
      <c r="J242" s="8" t="s">
        <v>2989</v>
      </c>
      <c r="K242" t="s">
        <v>10642</v>
      </c>
      <c r="L242" t="s">
        <v>10643</v>
      </c>
      <c r="M242" s="3" t="str">
        <f>HYPERLINK(склад2въезд14[[#This Row],[RelativePath]])</f>
        <v>2 Пилорама поката\E33149364_7_20260128T145023Z.jpg</v>
      </c>
    </row>
    <row r="243" spans="1:13" x14ac:dyDescent="0.25">
      <c r="A243" s="2" t="s">
        <v>15</v>
      </c>
      <c r="B243" s="4">
        <v>46050</v>
      </c>
      <c r="C243" s="5">
        <v>0.6216666666666667</v>
      </c>
      <c r="D243" s="8" t="s">
        <v>158</v>
      </c>
      <c r="E243" s="8" t="s">
        <v>1607</v>
      </c>
      <c r="F243" s="8" t="s">
        <v>2929</v>
      </c>
      <c r="G243">
        <v>1</v>
      </c>
      <c r="H243" s="8" t="s">
        <v>3075</v>
      </c>
      <c r="I243" s="8" t="s">
        <v>10644</v>
      </c>
      <c r="J243" s="8" t="s">
        <v>2989</v>
      </c>
      <c r="K243" t="s">
        <v>10645</v>
      </c>
      <c r="L243" t="s">
        <v>10646</v>
      </c>
      <c r="M243" s="3" t="str">
        <f>HYPERLINK(склад2въезд14[[#This Row],[RelativePath]])</f>
        <v>2 Пилорама поката\E33149364_7_20260128T145512Z.jpg</v>
      </c>
    </row>
    <row r="244" spans="1:13" x14ac:dyDescent="0.25">
      <c r="A244" s="2" t="s">
        <v>15</v>
      </c>
      <c r="B244" s="4">
        <v>46050</v>
      </c>
      <c r="C244" s="5">
        <v>0.62906249999999997</v>
      </c>
      <c r="D244" s="8" t="s">
        <v>158</v>
      </c>
      <c r="E244" s="8" t="s">
        <v>1607</v>
      </c>
      <c r="F244" s="8" t="s">
        <v>2929</v>
      </c>
      <c r="G244">
        <v>1</v>
      </c>
      <c r="H244" s="8" t="s">
        <v>3075</v>
      </c>
      <c r="I244" s="8" t="s">
        <v>10647</v>
      </c>
      <c r="J244" s="8" t="s">
        <v>2989</v>
      </c>
      <c r="K244" t="s">
        <v>10648</v>
      </c>
      <c r="L244" t="s">
        <v>10649</v>
      </c>
      <c r="M244" s="3" t="str">
        <f>HYPERLINK(склад2въезд14[[#This Row],[RelativePath]])</f>
        <v>2 Пилорама поката\E33149364_7_20260128T150551Z.jpg</v>
      </c>
    </row>
    <row r="245" spans="1:13" x14ac:dyDescent="0.25">
      <c r="A245" s="2" t="s">
        <v>15</v>
      </c>
      <c r="B245" s="4">
        <v>46050</v>
      </c>
      <c r="C245" s="5">
        <v>0.64170138888888884</v>
      </c>
      <c r="D245" s="8" t="s">
        <v>158</v>
      </c>
      <c r="E245" s="8" t="s">
        <v>1607</v>
      </c>
      <c r="F245" s="8" t="s">
        <v>2929</v>
      </c>
      <c r="G245">
        <v>1</v>
      </c>
      <c r="H245" s="8" t="s">
        <v>3075</v>
      </c>
      <c r="I245" s="8" t="s">
        <v>10650</v>
      </c>
      <c r="J245" s="8" t="s">
        <v>2989</v>
      </c>
      <c r="K245" t="s">
        <v>10651</v>
      </c>
      <c r="L245" t="s">
        <v>10652</v>
      </c>
      <c r="M245" s="3" t="str">
        <f>HYPERLINK(склад2въезд14[[#This Row],[RelativePath]])</f>
        <v>2 Пилорама поката\E33149364_7_20260128T152403Z.jpg</v>
      </c>
    </row>
    <row r="246" spans="1:13" x14ac:dyDescent="0.25">
      <c r="A246" s="2" t="s">
        <v>16</v>
      </c>
      <c r="B246" s="4">
        <v>46051</v>
      </c>
      <c r="C246" s="5">
        <v>0.47310185185185183</v>
      </c>
      <c r="D246" s="8" t="s">
        <v>289</v>
      </c>
      <c r="E246" s="8" t="s">
        <v>10884</v>
      </c>
      <c r="F246" s="8" t="s">
        <v>2929</v>
      </c>
      <c r="G246">
        <v>1</v>
      </c>
      <c r="H246" s="8"/>
      <c r="I246" s="8" t="s">
        <v>10653</v>
      </c>
      <c r="J246" s="8" t="s">
        <v>2989</v>
      </c>
      <c r="K246" t="s">
        <v>10654</v>
      </c>
      <c r="L246" t="s">
        <v>10655</v>
      </c>
      <c r="M246" s="3" t="str">
        <f>HYPERLINK(склад2въезд14[[#This Row],[RelativePath]])</f>
        <v>2 Пилорама поката\E33149364_7_20260129T112116Z.jpg</v>
      </c>
    </row>
    <row r="247" spans="1:13" x14ac:dyDescent="0.25">
      <c r="A247" s="2" t="s">
        <v>16</v>
      </c>
      <c r="B247" s="4">
        <v>46051</v>
      </c>
      <c r="C247" s="5">
        <v>0.47327546296296297</v>
      </c>
      <c r="D247" s="8" t="s">
        <v>289</v>
      </c>
      <c r="E247" s="8" t="s">
        <v>10884</v>
      </c>
      <c r="F247" s="8" t="s">
        <v>2929</v>
      </c>
      <c r="G247">
        <v>1</v>
      </c>
      <c r="H247" s="8" t="s">
        <v>2936</v>
      </c>
      <c r="I247" s="8" t="s">
        <v>10656</v>
      </c>
      <c r="J247" s="8" t="s">
        <v>2989</v>
      </c>
      <c r="K247" t="s">
        <v>10657</v>
      </c>
      <c r="L247" t="s">
        <v>10658</v>
      </c>
      <c r="M247" s="3" t="str">
        <f>HYPERLINK(склад2въезд14[[#This Row],[RelativePath]])</f>
        <v>2 Пилорама поката\E33149364_7_20260129T112131Z.jpg</v>
      </c>
    </row>
    <row r="248" spans="1:13" x14ac:dyDescent="0.25">
      <c r="A248" s="2" t="s">
        <v>16</v>
      </c>
      <c r="B248" s="4">
        <v>46051</v>
      </c>
      <c r="C248" s="5">
        <v>0.47359953703703705</v>
      </c>
      <c r="D248" s="8" t="s">
        <v>289</v>
      </c>
      <c r="E248" s="8" t="s">
        <v>10884</v>
      </c>
      <c r="F248" s="8" t="s">
        <v>2929</v>
      </c>
      <c r="G248">
        <v>1</v>
      </c>
      <c r="H248" s="8" t="s">
        <v>2936</v>
      </c>
      <c r="I248" s="8" t="s">
        <v>10659</v>
      </c>
      <c r="J248" s="8" t="s">
        <v>2989</v>
      </c>
      <c r="K248" t="s">
        <v>10660</v>
      </c>
      <c r="L248" t="s">
        <v>10661</v>
      </c>
      <c r="M248" s="3" t="str">
        <f>HYPERLINK(склад2въезд14[[#This Row],[RelativePath]])</f>
        <v>2 Пилорама поката\E33149364_7_20260129T112159Z.jpg</v>
      </c>
    </row>
    <row r="249" spans="1:13" x14ac:dyDescent="0.25">
      <c r="A249" s="2" t="s">
        <v>16</v>
      </c>
      <c r="B249" s="4">
        <v>46051</v>
      </c>
      <c r="C249" s="5">
        <v>0.4737615740740741</v>
      </c>
      <c r="D249" s="8" t="s">
        <v>289</v>
      </c>
      <c r="E249" s="8" t="s">
        <v>10884</v>
      </c>
      <c r="F249" s="8" t="s">
        <v>2929</v>
      </c>
      <c r="G249">
        <v>1</v>
      </c>
      <c r="H249" s="8" t="s">
        <v>2936</v>
      </c>
      <c r="I249" s="8" t="s">
        <v>10662</v>
      </c>
      <c r="J249" s="8" t="s">
        <v>2989</v>
      </c>
      <c r="K249" t="s">
        <v>10663</v>
      </c>
      <c r="L249" t="s">
        <v>10664</v>
      </c>
      <c r="M249" s="3" t="str">
        <f>HYPERLINK(склад2въезд14[[#This Row],[RelativePath]])</f>
        <v>2 Пилорама поката\E33149364_7_20260129T112213Z.jpg</v>
      </c>
    </row>
    <row r="250" spans="1:13" x14ac:dyDescent="0.25">
      <c r="A250" s="2" t="s">
        <v>16</v>
      </c>
      <c r="B250" s="4">
        <v>46051</v>
      </c>
      <c r="C250" s="5">
        <v>0.47636574074074073</v>
      </c>
      <c r="D250" s="8" t="s">
        <v>650</v>
      </c>
      <c r="E250" s="8" t="s">
        <v>10884</v>
      </c>
      <c r="F250" s="8" t="s">
        <v>58</v>
      </c>
      <c r="H250" s="8" t="s">
        <v>9336</v>
      </c>
      <c r="I250" s="8" t="s">
        <v>10665</v>
      </c>
      <c r="J250" s="8" t="s">
        <v>2989</v>
      </c>
      <c r="K250" t="s">
        <v>10666</v>
      </c>
      <c r="L250" t="s">
        <v>10667</v>
      </c>
      <c r="M250" s="3" t="str">
        <f>HYPERLINK(склад2въезд14[[#This Row],[RelativePath]])</f>
        <v>2 Пилорама поката\E33149364_7_20260129T112558Z.jpg</v>
      </c>
    </row>
    <row r="251" spans="1:13" x14ac:dyDescent="0.25">
      <c r="A251" s="2" t="s">
        <v>16</v>
      </c>
      <c r="B251" s="4">
        <v>46051</v>
      </c>
      <c r="C251" s="5">
        <v>0.53287037037037033</v>
      </c>
      <c r="D251" s="8" t="s">
        <v>158</v>
      </c>
      <c r="E251" s="8" t="s">
        <v>1607</v>
      </c>
      <c r="F251" s="8" t="s">
        <v>2929</v>
      </c>
      <c r="G251">
        <v>1</v>
      </c>
      <c r="H251" s="8" t="s">
        <v>3075</v>
      </c>
      <c r="I251" s="8" t="s">
        <v>10668</v>
      </c>
      <c r="J251" s="8" t="s">
        <v>2989</v>
      </c>
      <c r="K251" t="s">
        <v>10669</v>
      </c>
      <c r="L251" t="s">
        <v>10670</v>
      </c>
      <c r="M251" s="3" t="str">
        <f>HYPERLINK(склад2въезд14[[#This Row],[RelativePath]])</f>
        <v>2 Пилорама поката\E33149364_7_20260129T124720Z.jpg</v>
      </c>
    </row>
    <row r="252" spans="1:13" x14ac:dyDescent="0.25">
      <c r="A252" s="2" t="s">
        <v>16</v>
      </c>
      <c r="B252" s="4">
        <v>46051</v>
      </c>
      <c r="C252" s="5">
        <v>0.58918981481481481</v>
      </c>
      <c r="D252" s="8" t="s">
        <v>158</v>
      </c>
      <c r="E252" s="8" t="s">
        <v>1607</v>
      </c>
      <c r="F252" s="8" t="s">
        <v>2929</v>
      </c>
      <c r="G252">
        <v>2</v>
      </c>
      <c r="H252" s="8" t="s">
        <v>3075</v>
      </c>
      <c r="I252" s="8" t="s">
        <v>10671</v>
      </c>
      <c r="J252" s="8" t="s">
        <v>2989</v>
      </c>
      <c r="K252" t="s">
        <v>10672</v>
      </c>
      <c r="L252" t="s">
        <v>10673</v>
      </c>
      <c r="M252" s="3" t="str">
        <f>HYPERLINK(склад2въезд14[[#This Row],[RelativePath]])</f>
        <v>2 Пилорама поката\E33149364_7_20260129T140826Z.jpg</v>
      </c>
    </row>
    <row r="253" spans="1:13" x14ac:dyDescent="0.25">
      <c r="A253" s="2" t="s">
        <v>16</v>
      </c>
      <c r="B253" s="4">
        <v>46051</v>
      </c>
      <c r="C253" s="5">
        <v>0.58928240740740745</v>
      </c>
      <c r="D253" s="8" t="s">
        <v>158</v>
      </c>
      <c r="E253" s="8" t="s">
        <v>1607</v>
      </c>
      <c r="F253" s="8" t="s">
        <v>2929</v>
      </c>
      <c r="G253">
        <v>2</v>
      </c>
      <c r="H253" s="8" t="s">
        <v>3075</v>
      </c>
      <c r="I253" s="8" t="s">
        <v>10674</v>
      </c>
      <c r="J253" s="8" t="s">
        <v>2989</v>
      </c>
      <c r="K253" t="s">
        <v>10675</v>
      </c>
      <c r="L253" t="s">
        <v>10676</v>
      </c>
      <c r="M253" s="3" t="str">
        <f>HYPERLINK(склад2въезд14[[#This Row],[RelativePath]])</f>
        <v>2 Пилорама поката\E33149364_7_20260129T140834Z.jpg</v>
      </c>
    </row>
    <row r="254" spans="1:13" x14ac:dyDescent="0.25">
      <c r="A254" s="2" t="s">
        <v>16</v>
      </c>
      <c r="B254" s="4">
        <v>46051</v>
      </c>
      <c r="C254" s="5">
        <v>0.59119212962962964</v>
      </c>
      <c r="D254" s="8" t="s">
        <v>158</v>
      </c>
      <c r="E254" s="8" t="s">
        <v>1607</v>
      </c>
      <c r="F254" s="8" t="s">
        <v>2929</v>
      </c>
      <c r="G254">
        <v>2</v>
      </c>
      <c r="H254" s="8" t="s">
        <v>3075</v>
      </c>
      <c r="I254" s="8" t="s">
        <v>10677</v>
      </c>
      <c r="J254" s="8" t="s">
        <v>2989</v>
      </c>
      <c r="K254" t="s">
        <v>10678</v>
      </c>
      <c r="L254" t="s">
        <v>10679</v>
      </c>
      <c r="M254" s="3" t="str">
        <f>HYPERLINK(склад2въезд14[[#This Row],[RelativePath]])</f>
        <v>2 Пилорама поката\E33149364_7_20260129T141119Z.jpg</v>
      </c>
    </row>
    <row r="255" spans="1:13" x14ac:dyDescent="0.25">
      <c r="A255" s="2" t="s">
        <v>16</v>
      </c>
      <c r="B255" s="4">
        <v>46051</v>
      </c>
      <c r="C255" s="5">
        <v>0.6272106481481482</v>
      </c>
      <c r="D255" s="8" t="s">
        <v>533</v>
      </c>
      <c r="E255" s="8" t="s">
        <v>531</v>
      </c>
      <c r="F255" s="8" t="s">
        <v>2929</v>
      </c>
      <c r="H255" s="8" t="s">
        <v>10885</v>
      </c>
      <c r="I255" s="8" t="s">
        <v>10683</v>
      </c>
      <c r="J255" s="8" t="s">
        <v>2989</v>
      </c>
      <c r="K255" t="s">
        <v>10684</v>
      </c>
      <c r="L255" t="s">
        <v>10685</v>
      </c>
      <c r="M255" s="3" t="str">
        <f>HYPERLINK(склад2въезд14[[#This Row],[RelativePath]])</f>
        <v>2 Пилорама поката\E33149364_7_20260129T150311Z.jpg</v>
      </c>
    </row>
    <row r="256" spans="1:13" x14ac:dyDescent="0.25">
      <c r="A256" s="2" t="s">
        <v>16</v>
      </c>
      <c r="B256" s="4">
        <v>46051</v>
      </c>
      <c r="C256" s="5">
        <v>0.6338773148148148</v>
      </c>
      <c r="D256" s="8" t="s">
        <v>533</v>
      </c>
      <c r="E256" s="8" t="s">
        <v>531</v>
      </c>
      <c r="F256" s="8" t="s">
        <v>2929</v>
      </c>
      <c r="H256" s="8" t="s">
        <v>10885</v>
      </c>
      <c r="I256" s="8" t="s">
        <v>10689</v>
      </c>
      <c r="J256" s="8" t="s">
        <v>2989</v>
      </c>
      <c r="K256" t="s">
        <v>10690</v>
      </c>
      <c r="L256" t="s">
        <v>10691</v>
      </c>
      <c r="M256" s="3" t="str">
        <f>HYPERLINK(склад2въезд14[[#This Row],[RelativePath]])</f>
        <v>2 Пилорама поката\E33149364_7_20260129T151247Z.jpg</v>
      </c>
    </row>
    <row r="257" spans="1:13" x14ac:dyDescent="0.25">
      <c r="A257" s="2" t="s">
        <v>16</v>
      </c>
      <c r="B257" s="4">
        <v>46051</v>
      </c>
      <c r="C257" s="5">
        <v>0.65055555555555555</v>
      </c>
      <c r="D257" s="8" t="s">
        <v>533</v>
      </c>
      <c r="E257" s="8" t="s">
        <v>531</v>
      </c>
      <c r="F257" s="8" t="s">
        <v>2929</v>
      </c>
      <c r="H257" s="8" t="s">
        <v>10885</v>
      </c>
      <c r="I257" s="8" t="s">
        <v>10692</v>
      </c>
      <c r="J257" s="8" t="s">
        <v>2989</v>
      </c>
      <c r="K257" t="s">
        <v>10693</v>
      </c>
      <c r="L257" t="s">
        <v>10694</v>
      </c>
      <c r="M257" s="3" t="str">
        <f>HYPERLINK(склад2въезд14[[#This Row],[RelativePath]])</f>
        <v>2 Пилорама поката\E33149364_7_20260129T153648Z.jpg</v>
      </c>
    </row>
    <row r="258" spans="1:13" x14ac:dyDescent="0.25">
      <c r="A258" s="2" t="s">
        <v>16</v>
      </c>
      <c r="B258" s="4">
        <v>46051</v>
      </c>
      <c r="C258" s="5">
        <v>0.66958333333333331</v>
      </c>
      <c r="D258" s="8" t="s">
        <v>533</v>
      </c>
      <c r="E258" s="8" t="s">
        <v>531</v>
      </c>
      <c r="F258" s="8" t="s">
        <v>2929</v>
      </c>
      <c r="H258" s="8" t="s">
        <v>10885</v>
      </c>
      <c r="I258" s="8" t="s">
        <v>10698</v>
      </c>
      <c r="J258" s="8" t="s">
        <v>2989</v>
      </c>
      <c r="K258" t="s">
        <v>10699</v>
      </c>
      <c r="L258" t="s">
        <v>10700</v>
      </c>
      <c r="M258" s="3" t="str">
        <f>HYPERLINK(склад2въезд14[[#This Row],[RelativePath]])</f>
        <v>2 Пилорама поката\E33149364_7_20260129T160412Z.jpg</v>
      </c>
    </row>
    <row r="259" spans="1:13" x14ac:dyDescent="0.25">
      <c r="A259" s="2" t="s">
        <v>16</v>
      </c>
      <c r="B259" s="4">
        <v>46051</v>
      </c>
      <c r="C259" s="5">
        <v>0.69520833333333332</v>
      </c>
      <c r="D259" s="8" t="s">
        <v>533</v>
      </c>
      <c r="E259" s="8" t="s">
        <v>531</v>
      </c>
      <c r="F259" s="8" t="s">
        <v>2929</v>
      </c>
      <c r="H259" s="8" t="s">
        <v>10885</v>
      </c>
      <c r="I259" s="8" t="s">
        <v>10701</v>
      </c>
      <c r="J259" s="8" t="s">
        <v>2989</v>
      </c>
      <c r="K259" t="s">
        <v>10702</v>
      </c>
      <c r="L259" t="s">
        <v>10703</v>
      </c>
      <c r="M259" s="3" t="str">
        <f>HYPERLINK(склад2въезд14[[#This Row],[RelativePath]])</f>
        <v>2 Пилорама поката\E33149364_7_20260129T164106Z.jpg</v>
      </c>
    </row>
    <row r="260" spans="1:13" x14ac:dyDescent="0.25">
      <c r="A260" s="2" t="s">
        <v>16</v>
      </c>
      <c r="B260" s="4">
        <v>46051</v>
      </c>
      <c r="C260" s="5">
        <v>0.69732638888888887</v>
      </c>
      <c r="D260" s="8" t="s">
        <v>533</v>
      </c>
      <c r="E260" s="8" t="s">
        <v>531</v>
      </c>
      <c r="F260" s="8" t="s">
        <v>2929</v>
      </c>
      <c r="H260" s="8" t="s">
        <v>10885</v>
      </c>
      <c r="I260" s="8" t="s">
        <v>10707</v>
      </c>
      <c r="J260" s="8" t="s">
        <v>2989</v>
      </c>
      <c r="K260" t="s">
        <v>10708</v>
      </c>
      <c r="L260" t="s">
        <v>10709</v>
      </c>
      <c r="M260" s="3" t="str">
        <f>HYPERLINK(склад2въезд14[[#This Row],[RelativePath]])</f>
        <v>2 Пилорама поката\E33149364_7_20260129T164409Z.jpg</v>
      </c>
    </row>
    <row r="261" spans="1:13" x14ac:dyDescent="0.25">
      <c r="A261" s="2" t="s">
        <v>16</v>
      </c>
      <c r="B261" s="4">
        <v>46051</v>
      </c>
      <c r="C261" s="5">
        <v>0.62516203703703699</v>
      </c>
      <c r="D261" s="8" t="s">
        <v>533</v>
      </c>
      <c r="E261" s="8" t="s">
        <v>531</v>
      </c>
      <c r="F261" s="8" t="s">
        <v>2929</v>
      </c>
      <c r="H261" s="8" t="s">
        <v>10885</v>
      </c>
      <c r="I261" s="8" t="s">
        <v>10680</v>
      </c>
      <c r="J261" s="8" t="s">
        <v>2989</v>
      </c>
      <c r="K261" t="s">
        <v>10681</v>
      </c>
      <c r="L261" t="s">
        <v>10682</v>
      </c>
      <c r="M261" s="3" t="str">
        <f>HYPERLINK(склад2въезд14[[#This Row],[RelativePath]])</f>
        <v>2 Пилорама поката\E33149364_7_20260129T150014Z.jpg</v>
      </c>
    </row>
    <row r="262" spans="1:13" x14ac:dyDescent="0.25">
      <c r="A262" s="2" t="s">
        <v>16</v>
      </c>
      <c r="B262" s="4">
        <v>46051</v>
      </c>
      <c r="C262" s="5">
        <v>0.63146990740740738</v>
      </c>
      <c r="D262" s="8" t="s">
        <v>533</v>
      </c>
      <c r="E262" s="8" t="s">
        <v>531</v>
      </c>
      <c r="F262" s="8" t="s">
        <v>2929</v>
      </c>
      <c r="H262" s="8" t="s">
        <v>10885</v>
      </c>
      <c r="I262" s="8" t="s">
        <v>10686</v>
      </c>
      <c r="J262" s="8" t="s">
        <v>2989</v>
      </c>
      <c r="K262" t="s">
        <v>10687</v>
      </c>
      <c r="L262" t="s">
        <v>10688</v>
      </c>
      <c r="M262" s="3" t="str">
        <f>HYPERLINK(склад2въезд14[[#This Row],[RelativePath]])</f>
        <v>2 Пилорама поката\E33149364_7_20260129T150919Z.jpg</v>
      </c>
    </row>
    <row r="263" spans="1:13" x14ac:dyDescent="0.25">
      <c r="A263" s="2" t="s">
        <v>16</v>
      </c>
      <c r="B263" s="4">
        <v>46051</v>
      </c>
      <c r="C263" s="5">
        <v>0.66751157407407402</v>
      </c>
      <c r="D263" s="8" t="s">
        <v>533</v>
      </c>
      <c r="E263" s="8" t="s">
        <v>531</v>
      </c>
      <c r="F263" s="8" t="s">
        <v>2929</v>
      </c>
      <c r="H263" s="8" t="s">
        <v>10885</v>
      </c>
      <c r="I263" s="8" t="s">
        <v>10695</v>
      </c>
      <c r="J263" s="8" t="s">
        <v>2989</v>
      </c>
      <c r="K263" t="s">
        <v>10696</v>
      </c>
      <c r="L263" t="s">
        <v>10697</v>
      </c>
      <c r="M263" s="3" t="str">
        <f>HYPERLINK(склад2въезд14[[#This Row],[RelativePath]])</f>
        <v>2 Пилорама поката\E33149364_7_20260129T160113Z.jpg</v>
      </c>
    </row>
    <row r="264" spans="1:13" x14ac:dyDescent="0.25">
      <c r="A264" s="2" t="s">
        <v>16</v>
      </c>
      <c r="B264" s="4">
        <v>46051</v>
      </c>
      <c r="C264" s="5">
        <v>0.69696759259259256</v>
      </c>
      <c r="D264" s="8" t="s">
        <v>533</v>
      </c>
      <c r="E264" s="8" t="s">
        <v>531</v>
      </c>
      <c r="F264" s="8" t="s">
        <v>2929</v>
      </c>
      <c r="H264" s="8" t="s">
        <v>10885</v>
      </c>
      <c r="I264" s="8" t="s">
        <v>10704</v>
      </c>
      <c r="J264" s="8" t="s">
        <v>2989</v>
      </c>
      <c r="K264" t="s">
        <v>10705</v>
      </c>
      <c r="L264" t="s">
        <v>10706</v>
      </c>
      <c r="M264" s="3" t="str">
        <f>HYPERLINK(склад2въезд14[[#This Row],[RelativePath]])</f>
        <v>2 Пилорама поката\E33149364_7_20260129T164338Z.jpg</v>
      </c>
    </row>
    <row r="265" spans="1:13" x14ac:dyDescent="0.25">
      <c r="A265" s="2" t="s">
        <v>17</v>
      </c>
      <c r="B265" s="4">
        <v>46052</v>
      </c>
      <c r="C265" s="5">
        <v>0.57103009259259263</v>
      </c>
      <c r="D265" s="8" t="s">
        <v>1606</v>
      </c>
      <c r="E265" s="8" t="s">
        <v>10140</v>
      </c>
      <c r="F265" s="8"/>
      <c r="H265" s="8"/>
      <c r="I265" s="8" t="s">
        <v>10890</v>
      </c>
      <c r="J265" s="8" t="s">
        <v>2989</v>
      </c>
      <c r="K265" t="s">
        <v>10891</v>
      </c>
      <c r="L265" t="s">
        <v>10892</v>
      </c>
      <c r="M265" s="3" t="str">
        <f>HYPERLINK(склад2въезд14[[#This Row],[RelativePath]])</f>
        <v>2 Пилорама поката\E33149364_7_20260130T134217Z.jpg</v>
      </c>
    </row>
    <row r="266" spans="1:13" x14ac:dyDescent="0.25">
      <c r="A266" s="2" t="s">
        <v>17</v>
      </c>
      <c r="B266" s="4">
        <v>46052</v>
      </c>
      <c r="C266" s="5">
        <v>0.5745717592592593</v>
      </c>
      <c r="D266" s="8" t="s">
        <v>650</v>
      </c>
      <c r="E266" s="8" t="s">
        <v>10140</v>
      </c>
      <c r="F266" s="8"/>
      <c r="H266" s="8"/>
      <c r="I266" s="8" t="s">
        <v>10893</v>
      </c>
      <c r="J266" s="8" t="s">
        <v>2989</v>
      </c>
      <c r="K266" t="s">
        <v>10894</v>
      </c>
      <c r="L266" t="s">
        <v>10895</v>
      </c>
      <c r="M266" s="3" t="str">
        <f>HYPERLINK(склад2въезд14[[#This Row],[RelativePath]])</f>
        <v>2 Пилорама поката\E33149364_7_20260130T134723Z.jpg</v>
      </c>
    </row>
    <row r="267" spans="1:13" x14ac:dyDescent="0.25">
      <c r="A267" s="2" t="s">
        <v>18</v>
      </c>
      <c r="B267" s="4">
        <v>46053</v>
      </c>
      <c r="C267" s="5">
        <v>0.36234953703703704</v>
      </c>
      <c r="D267" s="8" t="s">
        <v>2004</v>
      </c>
      <c r="E267" s="8" t="s">
        <v>8</v>
      </c>
      <c r="F267" s="8"/>
      <c r="H267" s="8"/>
      <c r="I267" s="8" t="s">
        <v>11022</v>
      </c>
      <c r="J267" s="8" t="s">
        <v>2989</v>
      </c>
      <c r="K267" t="s">
        <v>11023</v>
      </c>
      <c r="L267" t="s">
        <v>11024</v>
      </c>
      <c r="M267" s="3" t="str">
        <f>HYPERLINK(склад2въезд14[[#This Row],[RelativePath]])</f>
        <v>2 Пилорама поката\E33149364_7_20260131T084147Z.jpg</v>
      </c>
    </row>
    <row r="268" spans="1:13" x14ac:dyDescent="0.25">
      <c r="A268" s="2" t="s">
        <v>22</v>
      </c>
      <c r="B268" s="4">
        <v>46054</v>
      </c>
      <c r="C268" s="5">
        <v>0.72409722222222217</v>
      </c>
      <c r="D268" s="8" t="s">
        <v>2004</v>
      </c>
      <c r="E268" s="8" t="s">
        <v>8</v>
      </c>
      <c r="F268" s="8"/>
      <c r="H268" s="8"/>
      <c r="I268" s="8" t="s">
        <v>11025</v>
      </c>
      <c r="J268" s="8" t="s">
        <v>2989</v>
      </c>
      <c r="K268" t="s">
        <v>11026</v>
      </c>
      <c r="L268" t="s">
        <v>11027</v>
      </c>
      <c r="M268" s="3" t="str">
        <f>HYPERLINK(склад2въезд14[[#This Row],[RelativePath]])</f>
        <v>2 Пилорама поката\E33149364_7_20260201T172242Z.jpg</v>
      </c>
    </row>
    <row r="269" spans="1:13" x14ac:dyDescent="0.25">
      <c r="A269" s="2" t="s">
        <v>13</v>
      </c>
      <c r="B269" s="4">
        <v>46055</v>
      </c>
      <c r="C269" s="5">
        <v>0.66637731481481477</v>
      </c>
      <c r="D269" s="8" t="s">
        <v>2004</v>
      </c>
      <c r="E269" s="8" t="s">
        <v>8</v>
      </c>
      <c r="F269" s="8"/>
      <c r="H269" s="8"/>
      <c r="I269" s="8" t="s">
        <v>11139</v>
      </c>
      <c r="J269" s="8" t="s">
        <v>2989</v>
      </c>
      <c r="K269" t="s">
        <v>11140</v>
      </c>
      <c r="L269" t="s">
        <v>11141</v>
      </c>
      <c r="M269" s="3" t="str">
        <f>HYPERLINK(склад2въезд14[[#This Row],[RelativePath]])</f>
        <v>2 Пилорама поката\E33149364_7_20260202T155935Z.jpg</v>
      </c>
    </row>
    <row r="270" spans="1:13" x14ac:dyDescent="0.25">
      <c r="A270" s="2" t="s">
        <v>14</v>
      </c>
      <c r="B270" s="4">
        <v>46056</v>
      </c>
      <c r="C270" s="5">
        <v>0.61488425925925927</v>
      </c>
      <c r="D270" s="8" t="s">
        <v>4</v>
      </c>
      <c r="E270" s="8" t="s">
        <v>10140</v>
      </c>
      <c r="F270" s="8"/>
      <c r="H270" s="8"/>
      <c r="I270" s="8" t="s">
        <v>11142</v>
      </c>
      <c r="J270" s="8" t="s">
        <v>2989</v>
      </c>
      <c r="K270" t="s">
        <v>11143</v>
      </c>
      <c r="L270" t="s">
        <v>11144</v>
      </c>
      <c r="M270" s="3" t="str">
        <f>HYPERLINK(склад2въезд14[[#This Row],[RelativePath]])</f>
        <v>2 Пилорама поката\E33149364_7_20260203T144526Z.jpg</v>
      </c>
    </row>
    <row r="271" spans="1:13" x14ac:dyDescent="0.25">
      <c r="A271" s="2" t="s">
        <v>15</v>
      </c>
      <c r="B271" s="4">
        <v>46057</v>
      </c>
      <c r="C271" s="5">
        <v>0.60766203703703703</v>
      </c>
      <c r="D271" s="8" t="s">
        <v>158</v>
      </c>
      <c r="E271" s="8" t="s">
        <v>86</v>
      </c>
      <c r="F271" s="8" t="s">
        <v>60</v>
      </c>
      <c r="G271">
        <v>1</v>
      </c>
      <c r="H271" s="8" t="s">
        <v>3075</v>
      </c>
      <c r="I271" s="8" t="s">
        <v>11427</v>
      </c>
      <c r="J271" s="8" t="s">
        <v>2989</v>
      </c>
      <c r="K271" t="s">
        <v>11428</v>
      </c>
      <c r="L271" t="s">
        <v>11429</v>
      </c>
      <c r="M271" s="3" t="str">
        <f>HYPERLINK(склад2въезд14[[#This Row],[RelativePath]])</f>
        <v>2 Пилорама поката\E33149364_7_20260204T143502Z.jpg</v>
      </c>
    </row>
    <row r="272" spans="1:13" x14ac:dyDescent="0.25">
      <c r="A272" s="2" t="s">
        <v>16</v>
      </c>
      <c r="B272" s="4">
        <v>46058</v>
      </c>
      <c r="C272" s="5">
        <v>0.71621527777777783</v>
      </c>
      <c r="D272" s="8" t="s">
        <v>158</v>
      </c>
      <c r="E272" s="8" t="s">
        <v>86</v>
      </c>
      <c r="F272" s="8" t="s">
        <v>58</v>
      </c>
      <c r="H272" s="8" t="s">
        <v>3075</v>
      </c>
      <c r="I272" s="8" t="s">
        <v>11430</v>
      </c>
      <c r="J272" s="8" t="s">
        <v>2989</v>
      </c>
      <c r="K272" t="s">
        <v>11431</v>
      </c>
      <c r="L272" t="s">
        <v>11432</v>
      </c>
      <c r="M272" s="3" t="str">
        <f>HYPERLINK(склад2въезд14[[#This Row],[RelativePath]])</f>
        <v>2 Пилорама поката\E33149364_7_20260205T171121Z.jpg</v>
      </c>
    </row>
    <row r="273" spans="1:13" x14ac:dyDescent="0.25">
      <c r="A273" s="2" t="s">
        <v>17</v>
      </c>
      <c r="B273" s="4">
        <v>46059</v>
      </c>
      <c r="C273" s="5">
        <v>0.45594907407407409</v>
      </c>
      <c r="D273" s="8" t="s">
        <v>158</v>
      </c>
      <c r="E273" s="8" t="s">
        <v>86</v>
      </c>
      <c r="F273" s="8" t="s">
        <v>58</v>
      </c>
      <c r="H273" s="8" t="s">
        <v>3075</v>
      </c>
      <c r="I273" s="8" t="s">
        <v>11433</v>
      </c>
      <c r="J273" s="8" t="s">
        <v>2989</v>
      </c>
      <c r="K273" t="s">
        <v>11434</v>
      </c>
      <c r="L273" t="s">
        <v>11435</v>
      </c>
      <c r="M273" s="3" t="str">
        <f>HYPERLINK(склад2въезд14[[#This Row],[RelativePath]])</f>
        <v>2 Пилорама поката\E33149364_7_20260206T105634Z.jpg</v>
      </c>
    </row>
    <row r="274" spans="1:13" x14ac:dyDescent="0.25">
      <c r="A274" s="2" t="s">
        <v>17</v>
      </c>
      <c r="B274" s="4">
        <v>46059</v>
      </c>
      <c r="C274" s="5">
        <v>0.51763888888888887</v>
      </c>
      <c r="D274" s="8" t="s">
        <v>533</v>
      </c>
      <c r="E274" s="8" t="s">
        <v>531</v>
      </c>
      <c r="F274" s="8" t="s">
        <v>2929</v>
      </c>
      <c r="H274" s="8" t="s">
        <v>10885</v>
      </c>
      <c r="I274" s="8" t="s">
        <v>11436</v>
      </c>
      <c r="J274" s="8" t="s">
        <v>2989</v>
      </c>
      <c r="K274" t="s">
        <v>11437</v>
      </c>
      <c r="L274" t="s">
        <v>11438</v>
      </c>
      <c r="M274" s="3" t="str">
        <f>HYPERLINK(склад2въезд14[[#This Row],[RelativePath]])</f>
        <v>2 Пилорама поката\E33149364_7_20260206T122524Z.jpg</v>
      </c>
    </row>
    <row r="275" spans="1:13" x14ac:dyDescent="0.25">
      <c r="A275" s="2" t="s">
        <v>17</v>
      </c>
      <c r="B275" s="4">
        <v>46059</v>
      </c>
      <c r="C275" s="5">
        <v>0.5181365740740741</v>
      </c>
      <c r="D275" s="8" t="s">
        <v>533</v>
      </c>
      <c r="E275" s="8" t="s">
        <v>531</v>
      </c>
      <c r="F275" s="8" t="s">
        <v>2929</v>
      </c>
      <c r="H275" s="8" t="s">
        <v>10885</v>
      </c>
      <c r="I275" s="8" t="s">
        <v>11439</v>
      </c>
      <c r="J275" s="8" t="s">
        <v>2989</v>
      </c>
      <c r="K275" t="s">
        <v>11440</v>
      </c>
      <c r="L275" t="s">
        <v>11441</v>
      </c>
      <c r="M275" s="3" t="str">
        <f>HYPERLINK(склад2въезд14[[#This Row],[RelativePath]])</f>
        <v>2 Пилорама поката\E33149364_7_20260206T122607Z.jpg</v>
      </c>
    </row>
    <row r="276" spans="1:13" x14ac:dyDescent="0.25">
      <c r="A276" s="2" t="s">
        <v>17</v>
      </c>
      <c r="B276" s="4">
        <v>46059</v>
      </c>
      <c r="C276" s="5">
        <v>0.51836805555555554</v>
      </c>
      <c r="D276" s="8" t="s">
        <v>533</v>
      </c>
      <c r="E276" s="8" t="s">
        <v>531</v>
      </c>
      <c r="F276" s="8" t="s">
        <v>2929</v>
      </c>
      <c r="H276" s="8" t="s">
        <v>10885</v>
      </c>
      <c r="I276" s="8" t="s">
        <v>11442</v>
      </c>
      <c r="J276" s="8" t="s">
        <v>2989</v>
      </c>
      <c r="K276" t="s">
        <v>11443</v>
      </c>
      <c r="L276" t="s">
        <v>11444</v>
      </c>
      <c r="M276" s="3" t="str">
        <f>HYPERLINK(склад2въезд14[[#This Row],[RelativePath]])</f>
        <v>2 Пилорама поката\E33149364_7_20260206T122627Z.jpg</v>
      </c>
    </row>
    <row r="277" spans="1:13" x14ac:dyDescent="0.25">
      <c r="A277" s="2" t="s">
        <v>17</v>
      </c>
      <c r="B277" s="4">
        <v>46059</v>
      </c>
      <c r="C277" s="5">
        <v>0.60797453703703708</v>
      </c>
      <c r="D277" s="8" t="s">
        <v>533</v>
      </c>
      <c r="E277" s="8" t="s">
        <v>531</v>
      </c>
      <c r="F277" s="8" t="s">
        <v>2929</v>
      </c>
      <c r="H277" s="8" t="s">
        <v>10885</v>
      </c>
      <c r="I277" s="8" t="s">
        <v>11445</v>
      </c>
      <c r="J277" s="8" t="s">
        <v>2989</v>
      </c>
      <c r="K277" t="s">
        <v>11446</v>
      </c>
      <c r="L277" t="s">
        <v>11447</v>
      </c>
      <c r="M277" s="3" t="str">
        <f>HYPERLINK(склад2въезд14[[#This Row],[RelativePath]])</f>
        <v>2 Пилорама поката\E33149364_7_20260206T143529Z.jpg</v>
      </c>
    </row>
    <row r="278" spans="1:13" x14ac:dyDescent="0.25">
      <c r="A278" s="2" t="s">
        <v>18</v>
      </c>
      <c r="B278" s="4">
        <v>46060</v>
      </c>
      <c r="C278" s="5">
        <v>0.35494212962962962</v>
      </c>
      <c r="D278" s="8" t="s">
        <v>2004</v>
      </c>
      <c r="E278" s="8" t="s">
        <v>8</v>
      </c>
      <c r="F278" s="8"/>
      <c r="H278" s="8"/>
      <c r="I278" s="8" t="s">
        <v>11661</v>
      </c>
      <c r="J278" s="8" t="s">
        <v>2989</v>
      </c>
      <c r="K278" t="s">
        <v>11662</v>
      </c>
      <c r="L278" t="s">
        <v>11663</v>
      </c>
      <c r="M278" s="3" t="str">
        <f>HYPERLINK(склад2въезд14[[#This Row],[RelativePath]])</f>
        <v>2 Пилорама поката\E33149364_7_20260207T083107Z.jpg</v>
      </c>
    </row>
    <row r="279" spans="1:13" x14ac:dyDescent="0.25">
      <c r="A279" s="2" t="s">
        <v>22</v>
      </c>
      <c r="B279" s="4">
        <v>46061</v>
      </c>
      <c r="C279" s="5">
        <v>0.705474537037037</v>
      </c>
      <c r="D279" s="8" t="s">
        <v>2004</v>
      </c>
      <c r="E279" s="8" t="s">
        <v>8</v>
      </c>
      <c r="F279" s="8"/>
      <c r="H279" s="8"/>
      <c r="I279" s="8" t="s">
        <v>11773</v>
      </c>
      <c r="J279" s="8" t="s">
        <v>2989</v>
      </c>
      <c r="K279" t="s">
        <v>11774</v>
      </c>
      <c r="L279" t="s">
        <v>11775</v>
      </c>
      <c r="M279" s="3" t="str">
        <f>HYPERLINK(склад2въезд14[[#This Row],[RelativePath]])</f>
        <v>2 Пилорама поката\E33149364_7_20260208T165553Z.jpg</v>
      </c>
    </row>
  </sheetData>
  <conditionalFormatting sqref="D280:D290 E280:E293 G2:H279 D2:E279">
    <cfRule type="containsText" dxfId="754" priority="14" operator="containsText" text="Выезд с территории">
      <formula>NOT(ISERROR(SEARCH("Выезд с территории",D2)))</formula>
    </cfRule>
  </conditionalFormatting>
  <conditionalFormatting sqref="F2:F279">
    <cfRule type="notContainsText" dxfId="753" priority="13" operator="notContains" text="порожний">
      <formula>ISERROR(SEARCH("порожний",F2))</formula>
    </cfRule>
  </conditionalFormatting>
  <conditionalFormatting sqref="E2:E293">
    <cfRule type="containsText" dxfId="752" priority="11" operator="containsText" text="Газель базы">
      <formula>NOT(ISERROR(SEARCH("Газель базы",E2)))</formula>
    </cfRule>
    <cfRule type="containsText" dxfId="751" priority="12" operator="containsText" text="Погрузчик базы">
      <formula>NOT(ISERROR(SEARCH("Погрузчик базы",E2)))</formula>
    </cfRule>
  </conditionalFormatting>
  <conditionalFormatting sqref="E2:E293">
    <cfRule type="containsText" dxfId="750" priority="10" operator="containsText" text="Трактор базы">
      <formula>NOT(ISERROR(SEARCH("Трактор базы",E2)))</formula>
    </cfRule>
  </conditionalFormatting>
  <conditionalFormatting sqref="A2:C279">
    <cfRule type="expression" dxfId="749" priority="9">
      <formula>$A2="пн"</formula>
    </cfRule>
  </conditionalFormatting>
  <conditionalFormatting sqref="A2:C281">
    <cfRule type="expression" dxfId="748" priority="3">
      <formula>$A2="вс"</formula>
    </cfRule>
    <cfRule type="expression" dxfId="747" priority="4">
      <formula>$A2="сб"</formula>
    </cfRule>
    <cfRule type="expression" dxfId="746" priority="5">
      <formula>$A2="пт"</formula>
    </cfRule>
    <cfRule type="expression" dxfId="745" priority="6">
      <formula>$A2="чт"</formula>
    </cfRule>
    <cfRule type="expression" dxfId="744" priority="7">
      <formula>$A2="ср"</formula>
    </cfRule>
    <cfRule type="expression" dxfId="743" priority="8">
      <formula>$A2="вт"</formula>
    </cfRule>
  </conditionalFormatting>
  <conditionalFormatting sqref="D2:D290">
    <cfRule type="containsText" dxfId="74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0">
    <cfRule type="containsText" dxfId="74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61"/>
  <sheetViews>
    <sheetView zoomScale="90" zoomScaleNormal="90" workbookViewId="0">
      <pane ySplit="1" topLeftCell="A143" activePane="bottomLeft" state="frozen"/>
      <selection pane="bottomLeft" activeCell="I160" sqref="I160:I161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s="8" t="s">
        <v>4</v>
      </c>
      <c r="E2" s="8" t="s">
        <v>8</v>
      </c>
      <c r="F2" s="8"/>
      <c r="H2" s="8"/>
      <c r="I2" s="8" t="s">
        <v>203</v>
      </c>
      <c r="J2" s="8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s="8" t="s">
        <v>4</v>
      </c>
      <c r="E3" s="8" t="s">
        <v>8</v>
      </c>
      <c r="F3" s="8"/>
      <c r="H3" s="8"/>
      <c r="I3" s="8" t="s">
        <v>207</v>
      </c>
      <c r="J3" s="8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s="8" t="s">
        <v>4</v>
      </c>
      <c r="E4" s="8" t="s">
        <v>8</v>
      </c>
      <c r="F4" s="8"/>
      <c r="H4" s="8"/>
      <c r="I4" s="8" t="s">
        <v>210</v>
      </c>
      <c r="J4" s="8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s="8" t="s">
        <v>4</v>
      </c>
      <c r="E5" s="8" t="s">
        <v>8</v>
      </c>
      <c r="F5" s="8"/>
      <c r="H5" s="8"/>
      <c r="I5" s="8" t="s">
        <v>213</v>
      </c>
      <c r="J5" s="8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s="8" t="s">
        <v>4</v>
      </c>
      <c r="E6" s="8" t="s">
        <v>8</v>
      </c>
      <c r="F6" s="8"/>
      <c r="H6" s="8"/>
      <c r="I6" s="8" t="s">
        <v>216</v>
      </c>
      <c r="J6" s="8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s="8" t="s">
        <v>4</v>
      </c>
      <c r="E7" s="8" t="s">
        <v>8</v>
      </c>
      <c r="F7" s="8"/>
      <c r="H7" s="8"/>
      <c r="I7" s="8" t="s">
        <v>219</v>
      </c>
      <c r="J7" s="8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s="8" t="s">
        <v>4</v>
      </c>
      <c r="E8" s="8" t="s">
        <v>8</v>
      </c>
      <c r="F8" s="8"/>
      <c r="H8" s="8"/>
      <c r="I8" s="8" t="s">
        <v>222</v>
      </c>
      <c r="J8" s="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s="8" t="s">
        <v>4</v>
      </c>
      <c r="E9" s="8" t="s">
        <v>8</v>
      </c>
      <c r="F9" s="8"/>
      <c r="H9" s="8"/>
      <c r="I9" s="8" t="s">
        <v>225</v>
      </c>
      <c r="J9" s="8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s="8" t="s">
        <v>4</v>
      </c>
      <c r="E10" s="8" t="s">
        <v>8</v>
      </c>
      <c r="F10" s="8"/>
      <c r="H10" s="8"/>
      <c r="I10" s="8" t="s">
        <v>228</v>
      </c>
      <c r="J10" s="8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s="8" t="s">
        <v>4</v>
      </c>
      <c r="E11" s="8" t="s">
        <v>8</v>
      </c>
      <c r="F11" s="8"/>
      <c r="H11" s="8"/>
      <c r="I11" s="8" t="s">
        <v>231</v>
      </c>
      <c r="J11" s="8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s="8" t="s">
        <v>4</v>
      </c>
      <c r="E12" s="8" t="s">
        <v>8</v>
      </c>
      <c r="F12" s="8"/>
      <c r="H12" s="8"/>
      <c r="I12" s="8" t="s">
        <v>234</v>
      </c>
      <c r="J12" s="8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s="8" t="s">
        <v>4</v>
      </c>
      <c r="E13" s="8" t="s">
        <v>8</v>
      </c>
      <c r="F13" s="8"/>
      <c r="H13" s="8"/>
      <c r="I13" s="8" t="s">
        <v>237</v>
      </c>
      <c r="J13" s="8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s="8" t="s">
        <v>4</v>
      </c>
      <c r="E14" s="8" t="s">
        <v>8</v>
      </c>
      <c r="F14" s="8"/>
      <c r="H14" s="8"/>
      <c r="I14" s="8" t="s">
        <v>240</v>
      </c>
      <c r="J14" s="8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s="8" t="s">
        <v>4</v>
      </c>
      <c r="E15" s="8" t="s">
        <v>8</v>
      </c>
      <c r="F15" s="8"/>
      <c r="H15" s="8"/>
      <c r="I15" s="8" t="s">
        <v>243</v>
      </c>
      <c r="J15" s="8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s="8" t="s">
        <v>4</v>
      </c>
      <c r="E16" s="8" t="s">
        <v>8</v>
      </c>
      <c r="F16" s="8"/>
      <c r="H16" s="8"/>
      <c r="I16" s="8" t="s">
        <v>246</v>
      </c>
      <c r="J16" s="8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s="8" t="s">
        <v>289</v>
      </c>
      <c r="E17" s="8" t="s">
        <v>66</v>
      </c>
      <c r="F17" s="8" t="s">
        <v>288</v>
      </c>
      <c r="H17" s="8"/>
      <c r="I17" s="8" t="s">
        <v>249</v>
      </c>
      <c r="J17" s="8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s="8" t="s">
        <v>4</v>
      </c>
      <c r="E18" s="8" t="s">
        <v>8</v>
      </c>
      <c r="F18" s="8"/>
      <c r="H18" s="8"/>
      <c r="I18" s="8" t="s">
        <v>252</v>
      </c>
      <c r="J18" s="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s="8" t="s">
        <v>4</v>
      </c>
      <c r="E19" s="8" t="s">
        <v>8</v>
      </c>
      <c r="F19" s="8"/>
      <c r="H19" s="8"/>
      <c r="I19" s="8" t="s">
        <v>255</v>
      </c>
      <c r="J19" s="8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s="8" t="s">
        <v>4</v>
      </c>
      <c r="E20" s="8" t="s">
        <v>8</v>
      </c>
      <c r="F20" s="8"/>
      <c r="H20" s="8"/>
      <c r="I20" s="8" t="s">
        <v>258</v>
      </c>
      <c r="J20" s="8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s="8" t="s">
        <v>4</v>
      </c>
      <c r="E21" s="8" t="s">
        <v>8</v>
      </c>
      <c r="F21" s="8"/>
      <c r="H21" s="8"/>
      <c r="I21" s="8" t="s">
        <v>261</v>
      </c>
      <c r="J21" s="8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s="8" t="s">
        <v>4</v>
      </c>
      <c r="E22" s="8" t="s">
        <v>8</v>
      </c>
      <c r="F22" s="8"/>
      <c r="H22" s="8"/>
      <c r="I22" s="8" t="s">
        <v>264</v>
      </c>
      <c r="J22" s="8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s="8" t="s">
        <v>4</v>
      </c>
      <c r="E23" s="8" t="s">
        <v>8</v>
      </c>
      <c r="F23" s="8"/>
      <c r="H23" s="8"/>
      <c r="I23" s="8" t="s">
        <v>267</v>
      </c>
      <c r="J23" s="8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s="8" t="s">
        <v>4</v>
      </c>
      <c r="E24" s="8" t="s">
        <v>8</v>
      </c>
      <c r="F24" s="8"/>
      <c r="H24" s="8"/>
      <c r="I24" s="8" t="s">
        <v>270</v>
      </c>
      <c r="J24" s="8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s="8" t="s">
        <v>4</v>
      </c>
      <c r="E25" s="8" t="s">
        <v>8</v>
      </c>
      <c r="F25" s="8"/>
      <c r="H25" s="8"/>
      <c r="I25" s="8" t="s">
        <v>273</v>
      </c>
      <c r="J25" s="8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s="8" t="s">
        <v>4</v>
      </c>
      <c r="E26" s="8" t="s">
        <v>8</v>
      </c>
      <c r="F26" s="8"/>
      <c r="H26" s="8"/>
      <c r="I26" s="8" t="s">
        <v>276</v>
      </c>
      <c r="J26" s="8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s="8" t="s">
        <v>290</v>
      </c>
      <c r="E27" s="8" t="s">
        <v>66</v>
      </c>
      <c r="F27" s="8" t="s">
        <v>88</v>
      </c>
      <c r="H27" s="8"/>
      <c r="I27" s="8" t="s">
        <v>279</v>
      </c>
      <c r="J27" s="8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s="8" t="s">
        <v>4</v>
      </c>
      <c r="E28" s="8" t="s">
        <v>8</v>
      </c>
      <c r="F28" s="8"/>
      <c r="H28" s="8"/>
      <c r="I28" s="8" t="s">
        <v>282</v>
      </c>
      <c r="J28" s="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s="8" t="s">
        <v>4</v>
      </c>
      <c r="E29" s="8" t="s">
        <v>8</v>
      </c>
      <c r="F29" s="8"/>
      <c r="H29" s="8"/>
      <c r="I29" s="8" t="s">
        <v>285</v>
      </c>
      <c r="J29" s="8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s="8" t="s">
        <v>4</v>
      </c>
      <c r="E30" s="8" t="s">
        <v>8</v>
      </c>
      <c r="F30" s="8"/>
      <c r="H30" s="8"/>
      <c r="I30" s="8" t="s">
        <v>1211</v>
      </c>
      <c r="J30" s="8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s="8" t="s">
        <v>4</v>
      </c>
      <c r="E31" s="8" t="s">
        <v>2005</v>
      </c>
      <c r="F31" s="8"/>
      <c r="H31" s="8" t="s">
        <v>2006</v>
      </c>
      <c r="I31" s="8" t="s">
        <v>1214</v>
      </c>
      <c r="J31" s="8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s="8" t="s">
        <v>4</v>
      </c>
      <c r="E32" s="8" t="s">
        <v>2005</v>
      </c>
      <c r="F32" s="8"/>
      <c r="H32" s="8" t="s">
        <v>2007</v>
      </c>
      <c r="I32" s="8" t="s">
        <v>1217</v>
      </c>
      <c r="J32" s="8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s="8" t="s">
        <v>4</v>
      </c>
      <c r="E33" s="8" t="s">
        <v>56</v>
      </c>
      <c r="F33" s="8"/>
      <c r="H33" s="8" t="s">
        <v>2008</v>
      </c>
      <c r="I33" s="8" t="s">
        <v>1220</v>
      </c>
      <c r="J33" s="8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s="8" t="s">
        <v>4</v>
      </c>
      <c r="E34" s="8" t="s">
        <v>8</v>
      </c>
      <c r="F34" s="8"/>
      <c r="H34" s="8"/>
      <c r="I34" s="8" t="s">
        <v>1223</v>
      </c>
      <c r="J34" s="8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s="8" t="s">
        <v>4</v>
      </c>
      <c r="E35" s="8" t="s">
        <v>8</v>
      </c>
      <c r="F35" s="8"/>
      <c r="H35" s="8" t="s">
        <v>1625</v>
      </c>
      <c r="I35" s="8" t="s">
        <v>1226</v>
      </c>
      <c r="J35" s="8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s="8" t="s">
        <v>4</v>
      </c>
      <c r="E36" s="8" t="s">
        <v>8</v>
      </c>
      <c r="F36" s="8"/>
      <c r="H36" s="8" t="s">
        <v>2009</v>
      </c>
      <c r="I36" s="8" t="s">
        <v>1229</v>
      </c>
      <c r="J36" s="8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s="8" t="s">
        <v>4</v>
      </c>
      <c r="E37" s="8" t="s">
        <v>8</v>
      </c>
      <c r="F37" s="8"/>
      <c r="H37" s="8" t="s">
        <v>2004</v>
      </c>
      <c r="I37" s="8" t="s">
        <v>1232</v>
      </c>
      <c r="J37" s="8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s="8" t="s">
        <v>4</v>
      </c>
      <c r="E38" s="8" t="s">
        <v>8</v>
      </c>
      <c r="F38" s="8"/>
      <c r="H38" s="8" t="s">
        <v>1625</v>
      </c>
      <c r="I38" s="8" t="s">
        <v>1235</v>
      </c>
      <c r="J38" s="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s="8" t="s">
        <v>2004</v>
      </c>
      <c r="E39" s="8"/>
      <c r="F39" s="8"/>
      <c r="H39" s="8"/>
      <c r="I39" s="8" t="s">
        <v>2064</v>
      </c>
      <c r="J39" s="8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s="8" t="s">
        <v>4</v>
      </c>
      <c r="E40" s="8" t="s">
        <v>8</v>
      </c>
      <c r="F40" s="8"/>
      <c r="H40" s="8"/>
      <c r="I40" s="8" t="s">
        <v>2067</v>
      </c>
      <c r="J40" s="8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s="8" t="s">
        <v>289</v>
      </c>
      <c r="E41" s="8" t="s">
        <v>2927</v>
      </c>
      <c r="F41" s="8" t="s">
        <v>58</v>
      </c>
      <c r="H41" s="8" t="s">
        <v>2928</v>
      </c>
      <c r="I41" s="8" t="s">
        <v>2070</v>
      </c>
      <c r="J41" s="8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s="8" t="s">
        <v>4</v>
      </c>
      <c r="E42" s="8" t="s">
        <v>8</v>
      </c>
      <c r="F42" s="8"/>
      <c r="H42" s="8"/>
      <c r="I42" s="8" t="s">
        <v>2073</v>
      </c>
      <c r="J42" s="8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s="8" t="s">
        <v>4</v>
      </c>
      <c r="E43" s="8" t="s">
        <v>8</v>
      </c>
      <c r="F43" s="8"/>
      <c r="H43" s="8"/>
      <c r="I43" s="8" t="s">
        <v>2076</v>
      </c>
      <c r="J43" s="8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s="8" t="s">
        <v>4</v>
      </c>
      <c r="E44" s="8" t="s">
        <v>8</v>
      </c>
      <c r="F44" s="8"/>
      <c r="H44" s="8"/>
      <c r="I44" s="8" t="s">
        <v>2079</v>
      </c>
      <c r="J44" s="8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s="8" t="s">
        <v>289</v>
      </c>
      <c r="E45" s="8" t="s">
        <v>2927</v>
      </c>
      <c r="F45" s="8" t="s">
        <v>2929</v>
      </c>
      <c r="H45" s="8" t="s">
        <v>4203</v>
      </c>
      <c r="I45" s="8" t="s">
        <v>2082</v>
      </c>
      <c r="J45" s="8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s="8" t="s">
        <v>4</v>
      </c>
      <c r="E46" s="8" t="s">
        <v>8</v>
      </c>
      <c r="F46" s="8"/>
      <c r="H46" s="8"/>
      <c r="I46" s="8" t="s">
        <v>2085</v>
      </c>
      <c r="J46" s="8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s="8" t="s">
        <v>2004</v>
      </c>
      <c r="E47" s="8"/>
      <c r="F47" s="8"/>
      <c r="H47" s="8"/>
      <c r="I47" s="8" t="s">
        <v>2088</v>
      </c>
      <c r="J47" s="8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s="8" t="s">
        <v>2004</v>
      </c>
      <c r="E48" s="8"/>
      <c r="F48" s="8"/>
      <c r="H48" s="8"/>
      <c r="I48" s="8" t="s">
        <v>2091</v>
      </c>
      <c r="J48" s="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s="8" t="s">
        <v>4</v>
      </c>
      <c r="E49" s="8" t="s">
        <v>8</v>
      </c>
      <c r="F49" s="8"/>
      <c r="H49" s="8"/>
      <c r="I49" s="8" t="s">
        <v>3336</v>
      </c>
      <c r="J49" s="8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s="8" t="s">
        <v>4</v>
      </c>
      <c r="E50" s="8" t="s">
        <v>8</v>
      </c>
      <c r="F50" s="8"/>
      <c r="H50" s="8"/>
      <c r="I50" s="8" t="s">
        <v>3339</v>
      </c>
      <c r="J50" s="8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3342</v>
      </c>
      <c r="J51" s="8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s="8" t="s">
        <v>4</v>
      </c>
      <c r="E52" s="8" t="s">
        <v>70</v>
      </c>
      <c r="F52" s="8" t="s">
        <v>51</v>
      </c>
      <c r="H52" s="8" t="s">
        <v>4204</v>
      </c>
      <c r="I52" s="8" t="s">
        <v>3345</v>
      </c>
      <c r="J52" s="8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s="8" t="s">
        <v>4</v>
      </c>
      <c r="E53" s="8" t="s">
        <v>8</v>
      </c>
      <c r="F53" s="8"/>
      <c r="H53" s="8"/>
      <c r="I53" s="8" t="s">
        <v>3348</v>
      </c>
      <c r="J53" s="8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s="8" t="s">
        <v>2004</v>
      </c>
      <c r="E54" s="8"/>
      <c r="F54" s="8"/>
      <c r="H54" s="8"/>
      <c r="I54" s="8" t="s">
        <v>3351</v>
      </c>
      <c r="J54" s="8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s="8" t="s">
        <v>4</v>
      </c>
      <c r="E55" s="8" t="s">
        <v>4192</v>
      </c>
      <c r="F55" s="8" t="s">
        <v>58</v>
      </c>
      <c r="H55" s="8"/>
      <c r="I55" s="8" t="s">
        <v>3354</v>
      </c>
      <c r="J55" s="8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s="8" t="s">
        <v>4</v>
      </c>
      <c r="E56" s="8" t="s">
        <v>8</v>
      </c>
      <c r="F56" s="8"/>
      <c r="H56" s="8"/>
      <c r="I56" s="8" t="s">
        <v>3357</v>
      </c>
      <c r="J56" s="8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s="8" t="s">
        <v>4</v>
      </c>
      <c r="E57" s="8" t="s">
        <v>8</v>
      </c>
      <c r="F57" s="8"/>
      <c r="H57" s="8"/>
      <c r="I57" s="8" t="s">
        <v>3360</v>
      </c>
      <c r="J57" s="8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s="8" t="s">
        <v>2004</v>
      </c>
      <c r="E58" s="8"/>
      <c r="F58" s="8"/>
      <c r="H58" s="8"/>
      <c r="I58" s="8" t="s">
        <v>3363</v>
      </c>
      <c r="J58" s="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s="8" t="s">
        <v>4</v>
      </c>
      <c r="E59" s="8" t="s">
        <v>8</v>
      </c>
      <c r="F59" s="8"/>
      <c r="H59" s="8"/>
      <c r="I59" s="8" t="s">
        <v>3366</v>
      </c>
      <c r="J59" s="8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s="8" t="s">
        <v>2004</v>
      </c>
      <c r="E60" s="8"/>
      <c r="F60" s="8"/>
      <c r="H60" s="8"/>
      <c r="I60" s="8" t="s">
        <v>3369</v>
      </c>
      <c r="J60" s="8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s="8" t="s">
        <v>4</v>
      </c>
      <c r="E61" s="8" t="s">
        <v>8</v>
      </c>
      <c r="F61" s="8"/>
      <c r="H61" s="8"/>
      <c r="I61" s="8" t="s">
        <v>3372</v>
      </c>
      <c r="J61" s="8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s="8" t="s">
        <v>289</v>
      </c>
      <c r="E62" s="8" t="s">
        <v>2927</v>
      </c>
      <c r="F62" s="8" t="s">
        <v>53</v>
      </c>
      <c r="G62">
        <v>4</v>
      </c>
      <c r="H62" s="8"/>
      <c r="I62" s="8" t="s">
        <v>3375</v>
      </c>
      <c r="J62" s="8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s="8" t="s">
        <v>4</v>
      </c>
      <c r="E63" s="8" t="s">
        <v>4194</v>
      </c>
      <c r="F63" s="8" t="s">
        <v>4196</v>
      </c>
      <c r="H63" s="8"/>
      <c r="I63" s="8" t="s">
        <v>3378</v>
      </c>
      <c r="J63" s="8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s="8" t="s">
        <v>2004</v>
      </c>
      <c r="E64" s="8"/>
      <c r="F64" s="8"/>
      <c r="H64" s="8"/>
      <c r="I64" s="8" t="s">
        <v>4261</v>
      </c>
      <c r="J64" s="8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s="8" t="s">
        <v>4</v>
      </c>
      <c r="E65" s="8" t="s">
        <v>8</v>
      </c>
      <c r="F65" s="8"/>
      <c r="H65" s="8"/>
      <c r="I65" s="8" t="s">
        <v>4558</v>
      </c>
      <c r="J65" s="8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s="8" t="s">
        <v>4</v>
      </c>
      <c r="E66" s="8" t="s">
        <v>4194</v>
      </c>
      <c r="F66" s="8"/>
      <c r="H66" s="8" t="s">
        <v>5089</v>
      </c>
      <c r="I66" s="8" t="s">
        <v>4561</v>
      </c>
      <c r="J66" s="8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s="8" t="s">
        <v>4</v>
      </c>
      <c r="E67" s="8" t="s">
        <v>8</v>
      </c>
      <c r="F67" s="8"/>
      <c r="H67" s="8"/>
      <c r="I67" s="8" t="s">
        <v>4564</v>
      </c>
      <c r="J67" s="8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s="8" t="s">
        <v>4</v>
      </c>
      <c r="E68" s="8" t="s">
        <v>8</v>
      </c>
      <c r="F68" s="8"/>
      <c r="H68" s="8"/>
      <c r="I68" s="8" t="s">
        <v>4567</v>
      </c>
      <c r="J68" s="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s="8" t="s">
        <v>289</v>
      </c>
      <c r="E69" s="8" t="s">
        <v>2927</v>
      </c>
      <c r="F69" s="8" t="s">
        <v>53</v>
      </c>
      <c r="G69">
        <v>3</v>
      </c>
      <c r="H69" s="8"/>
      <c r="I69" s="8" t="s">
        <v>5086</v>
      </c>
      <c r="J69" s="8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s="8" t="s">
        <v>4</v>
      </c>
      <c r="E70" s="8" t="s">
        <v>8</v>
      </c>
      <c r="F70" s="8"/>
      <c r="H70" s="8"/>
      <c r="I70" s="8" t="s">
        <v>4570</v>
      </c>
      <c r="J70" s="8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s="8" t="s">
        <v>2004</v>
      </c>
      <c r="E71" s="8"/>
      <c r="F71" s="8"/>
      <c r="H71" s="8"/>
      <c r="I71" s="8" t="s">
        <v>4573</v>
      </c>
      <c r="J71" s="8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s="8" t="s">
        <v>4</v>
      </c>
      <c r="E72" s="8" t="s">
        <v>5262</v>
      </c>
      <c r="F72" s="8" t="s">
        <v>1609</v>
      </c>
      <c r="H72" s="8"/>
      <c r="I72" s="8" t="s">
        <v>5141</v>
      </c>
      <c r="J72" s="8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s="8" t="s">
        <v>4</v>
      </c>
      <c r="E73" s="8" t="s">
        <v>8</v>
      </c>
      <c r="F73" s="8"/>
      <c r="H73" s="8"/>
      <c r="I73" s="8" t="s">
        <v>5276</v>
      </c>
      <c r="J73" s="8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s="8" t="s">
        <v>2004</v>
      </c>
      <c r="E74" s="8"/>
      <c r="F74" s="8"/>
      <c r="H74" s="8"/>
      <c r="I74" s="8" t="s">
        <v>5279</v>
      </c>
      <c r="J74" s="8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s="8" t="s">
        <v>4</v>
      </c>
      <c r="E75" s="8" t="s">
        <v>8</v>
      </c>
      <c r="F75" s="8"/>
      <c r="H75" s="8"/>
      <c r="I75" s="8" t="s">
        <v>5684</v>
      </c>
      <c r="J75" s="8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s="8" t="s">
        <v>4</v>
      </c>
      <c r="E76" s="8" t="s">
        <v>8</v>
      </c>
      <c r="F76" s="8"/>
      <c r="H76" s="8"/>
      <c r="I76" s="8" t="s">
        <v>5687</v>
      </c>
      <c r="J76" s="8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s="8" t="s">
        <v>4</v>
      </c>
      <c r="E77" s="8" t="s">
        <v>8</v>
      </c>
      <c r="F77" s="8"/>
      <c r="H77" s="8"/>
      <c r="I77" s="8" t="s">
        <v>5690</v>
      </c>
      <c r="J77" s="8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s="8" t="s">
        <v>2004</v>
      </c>
      <c r="E78" s="8" t="s">
        <v>8</v>
      </c>
      <c r="F78" s="8"/>
      <c r="H78" s="8"/>
      <c r="I78" s="8" t="s">
        <v>5693</v>
      </c>
      <c r="J78" s="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s="8" t="s">
        <v>4</v>
      </c>
      <c r="E79" s="8" t="s">
        <v>8</v>
      </c>
      <c r="F79" s="8"/>
      <c r="H79" s="8"/>
      <c r="I79" s="8" t="s">
        <v>5846</v>
      </c>
      <c r="J79" s="8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s="8" t="s">
        <v>2004</v>
      </c>
      <c r="E80" s="8" t="s">
        <v>8</v>
      </c>
      <c r="F80" s="8"/>
      <c r="H80" s="8"/>
      <c r="I80" s="8" t="s">
        <v>5849</v>
      </c>
      <c r="J80" s="8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s="8" t="s">
        <v>2004</v>
      </c>
      <c r="E81" s="8" t="s">
        <v>8</v>
      </c>
      <c r="F81" s="8"/>
      <c r="H81" s="8"/>
      <c r="I81" s="8" t="s">
        <v>5852</v>
      </c>
      <c r="J81" s="8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s="8" t="s">
        <v>4</v>
      </c>
      <c r="E82" s="8" t="s">
        <v>8</v>
      </c>
      <c r="F82" s="8"/>
      <c r="H82" s="8"/>
      <c r="I82" s="8" t="s">
        <v>6065</v>
      </c>
      <c r="J82" s="8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s="8" t="s">
        <v>4</v>
      </c>
      <c r="E83" s="8" t="s">
        <v>8</v>
      </c>
      <c r="F83" s="8"/>
      <c r="H83" s="8"/>
      <c r="I83" s="8" t="s">
        <v>6068</v>
      </c>
      <c r="J83" s="8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s="8" t="s">
        <v>4</v>
      </c>
      <c r="E84" s="8" t="s">
        <v>8</v>
      </c>
      <c r="F84" s="8"/>
      <c r="H84" s="8"/>
      <c r="I84" s="8" t="s">
        <v>6071</v>
      </c>
      <c r="J84" s="8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s="8" t="s">
        <v>2004</v>
      </c>
      <c r="E85" s="8" t="s">
        <v>8</v>
      </c>
      <c r="F85" s="8"/>
      <c r="H85" s="8"/>
      <c r="I85" s="8" t="s">
        <v>6195</v>
      </c>
      <c r="J85" s="8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s="8" t="s">
        <v>4</v>
      </c>
      <c r="E86" s="8" t="s">
        <v>8</v>
      </c>
      <c r="F86" s="8"/>
      <c r="H86" s="8"/>
      <c r="I86" s="8" t="s">
        <v>6323</v>
      </c>
      <c r="J86" s="8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s="8" t="s">
        <v>4</v>
      </c>
      <c r="E87" s="8" t="s">
        <v>8</v>
      </c>
      <c r="F87" s="8"/>
      <c r="H87" s="8"/>
      <c r="I87" s="8" t="s">
        <v>6557</v>
      </c>
      <c r="J87" s="8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s="8" t="s">
        <v>2004</v>
      </c>
      <c r="E88" s="8" t="s">
        <v>8</v>
      </c>
      <c r="F88" s="8"/>
      <c r="H88" s="8"/>
      <c r="I88" s="8" t="s">
        <v>6658</v>
      </c>
      <c r="J88" s="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s="8" t="s">
        <v>2004</v>
      </c>
      <c r="E89" s="8" t="s">
        <v>8</v>
      </c>
      <c r="F89" s="8"/>
      <c r="H89" s="8"/>
      <c r="I89" s="8" t="s">
        <v>6661</v>
      </c>
      <c r="J89" s="8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s="8" t="s">
        <v>2004</v>
      </c>
      <c r="E90" s="8" t="s">
        <v>8</v>
      </c>
      <c r="F90" s="8"/>
      <c r="H90" s="8"/>
      <c r="I90" s="8" t="s">
        <v>6911</v>
      </c>
      <c r="J90" s="8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s="8" t="s">
        <v>2004</v>
      </c>
      <c r="E91" s="8" t="s">
        <v>8</v>
      </c>
      <c r="F91" s="8"/>
      <c r="H91" s="8"/>
      <c r="I91" s="8" t="s">
        <v>6914</v>
      </c>
      <c r="J91" s="8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s="8" t="s">
        <v>2004</v>
      </c>
      <c r="E92" s="8" t="s">
        <v>8</v>
      </c>
      <c r="F92" s="8"/>
      <c r="H92" s="8"/>
      <c r="I92" s="8" t="s">
        <v>7181</v>
      </c>
      <c r="J92" s="8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s="8" t="s">
        <v>2004</v>
      </c>
      <c r="E93" s="8" t="s">
        <v>8</v>
      </c>
      <c r="F93" s="8"/>
      <c r="H93" s="8"/>
      <c r="I93" s="8" t="s">
        <v>7260</v>
      </c>
      <c r="J93" s="8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s="8" t="s">
        <v>4</v>
      </c>
      <c r="E94" s="8" t="s">
        <v>8</v>
      </c>
      <c r="F94" s="8"/>
      <c r="H94" s="8"/>
      <c r="I94" s="8" t="s">
        <v>7263</v>
      </c>
      <c r="J94" s="8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s="8" t="s">
        <v>4</v>
      </c>
      <c r="E95" s="8" t="s">
        <v>7410</v>
      </c>
      <c r="F95" s="8" t="s">
        <v>51</v>
      </c>
      <c r="H95" s="8"/>
      <c r="I95" s="8" t="s">
        <v>7266</v>
      </c>
      <c r="J95" s="8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s="8" t="s">
        <v>2004</v>
      </c>
      <c r="E96" s="8" t="s">
        <v>8</v>
      </c>
      <c r="F96" s="8"/>
      <c r="H96" s="8"/>
      <c r="I96" s="8" t="s">
        <v>7478</v>
      </c>
      <c r="J96" s="8" t="s">
        <v>2990</v>
      </c>
      <c r="K96" t="s">
        <v>7479</v>
      </c>
      <c r="L96" t="s">
        <v>7480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s="8" t="s">
        <v>4</v>
      </c>
      <c r="E97" s="8" t="s">
        <v>7706</v>
      </c>
      <c r="F97" s="8" t="s">
        <v>60</v>
      </c>
      <c r="H97" s="8"/>
      <c r="I97" s="8" t="s">
        <v>7481</v>
      </c>
      <c r="J97" s="8" t="s">
        <v>2990</v>
      </c>
      <c r="K97" t="s">
        <v>7482</v>
      </c>
      <c r="L97" t="s">
        <v>7483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s="8" t="s">
        <v>4</v>
      </c>
      <c r="E98" s="8" t="s">
        <v>7706</v>
      </c>
      <c r="F98" s="8" t="s">
        <v>51</v>
      </c>
      <c r="H98" s="8"/>
      <c r="I98" s="8" t="s">
        <v>7484</v>
      </c>
      <c r="J98" s="8" t="s">
        <v>2990</v>
      </c>
      <c r="K98" t="s">
        <v>7485</v>
      </c>
      <c r="L98" t="s">
        <v>7486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s="8" t="s">
        <v>2004</v>
      </c>
      <c r="E99" s="8" t="s">
        <v>8</v>
      </c>
      <c r="F99" s="8"/>
      <c r="H99" s="8"/>
      <c r="I99" s="8" t="s">
        <v>7487</v>
      </c>
      <c r="J99" s="8" t="s">
        <v>2990</v>
      </c>
      <c r="K99" t="s">
        <v>7488</v>
      </c>
      <c r="L99" t="s">
        <v>7489</v>
      </c>
      <c r="M99" s="3" t="str">
        <f>HYPERLINK(склад2въезд18[[#This Row],[RelativePath]])</f>
        <v>3 Въезд на базу\E33149364_8_20251225T162713Z.jpg</v>
      </c>
    </row>
    <row r="100" spans="1:13" x14ac:dyDescent="0.25">
      <c r="A100" s="2" t="s">
        <v>17</v>
      </c>
      <c r="B100" s="4">
        <v>46017</v>
      </c>
      <c r="C100" s="5">
        <v>0.40710648148148149</v>
      </c>
      <c r="D100" s="8" t="s">
        <v>289</v>
      </c>
      <c r="E100" s="8" t="s">
        <v>2927</v>
      </c>
      <c r="F100" s="8" t="s">
        <v>7169</v>
      </c>
      <c r="H100" s="8"/>
      <c r="I100" s="8" t="s">
        <v>7819</v>
      </c>
      <c r="J100" s="8" t="s">
        <v>2990</v>
      </c>
      <c r="K100" t="s">
        <v>7820</v>
      </c>
      <c r="L100" t="s">
        <v>7821</v>
      </c>
      <c r="M100" s="3" t="str">
        <f>HYPERLINK(склад2въезд18[[#This Row],[RelativePath]])</f>
        <v>3 Въезд на базу\E33149364_8_20251226T094614Z.jpg</v>
      </c>
    </row>
    <row r="101" spans="1:13" x14ac:dyDescent="0.25">
      <c r="A101" s="2" t="s">
        <v>17</v>
      </c>
      <c r="B101" s="4">
        <v>46017</v>
      </c>
      <c r="C101" s="5">
        <v>0.40766203703703702</v>
      </c>
      <c r="D101" s="8" t="s">
        <v>289</v>
      </c>
      <c r="E101" s="8" t="s">
        <v>2927</v>
      </c>
      <c r="F101" s="8" t="s">
        <v>7169</v>
      </c>
      <c r="H101" s="8" t="s">
        <v>2936</v>
      </c>
      <c r="I101" s="8" t="s">
        <v>7822</v>
      </c>
      <c r="J101" s="8" t="s">
        <v>2990</v>
      </c>
      <c r="K101" t="s">
        <v>7823</v>
      </c>
      <c r="L101" t="s">
        <v>7824</v>
      </c>
      <c r="M101" s="3" t="str">
        <f>HYPERLINK(склад2въезд18[[#This Row],[RelativePath]])</f>
        <v>3 Въезд на базу\E33149364_8_20251226T094702Z.jpg</v>
      </c>
    </row>
    <row r="102" spans="1:13" x14ac:dyDescent="0.25">
      <c r="A102" s="2" t="s">
        <v>17</v>
      </c>
      <c r="B102" s="4">
        <v>46017</v>
      </c>
      <c r="C102" s="5">
        <v>0.40768518518518521</v>
      </c>
      <c r="D102" s="8" t="s">
        <v>289</v>
      </c>
      <c r="E102" s="8" t="s">
        <v>2927</v>
      </c>
      <c r="F102" s="8" t="s">
        <v>7169</v>
      </c>
      <c r="H102" s="8" t="s">
        <v>2936</v>
      </c>
      <c r="I102" s="8" t="s">
        <v>7825</v>
      </c>
      <c r="J102" s="8" t="s">
        <v>2990</v>
      </c>
      <c r="K102" t="s">
        <v>7826</v>
      </c>
      <c r="L102" t="s">
        <v>7827</v>
      </c>
      <c r="M102" s="3" t="str">
        <f>HYPERLINK(склад2въезд18[[#This Row],[RelativePath]])</f>
        <v>3 Въезд на базу\E33149364_8_20251226T094704Z.jpg</v>
      </c>
    </row>
    <row r="103" spans="1:13" x14ac:dyDescent="0.25">
      <c r="A103" s="2" t="s">
        <v>18</v>
      </c>
      <c r="B103" s="4">
        <v>46018</v>
      </c>
      <c r="C103" s="5">
        <v>0.4912037037037037</v>
      </c>
      <c r="D103" s="8" t="s">
        <v>2004</v>
      </c>
      <c r="E103" s="8" t="s">
        <v>8</v>
      </c>
      <c r="F103" s="8"/>
      <c r="H103" s="8"/>
      <c r="I103" s="8" t="s">
        <v>7944</v>
      </c>
      <c r="J103" s="8" t="s">
        <v>2990</v>
      </c>
      <c r="K103" t="s">
        <v>7945</v>
      </c>
      <c r="L103" t="s">
        <v>7946</v>
      </c>
      <c r="M103" s="3" t="str">
        <f>HYPERLINK(склад2въезд18[[#This Row],[RelativePath]])</f>
        <v>3 Въезд на базу\E33149364_8_20251227T114720Z.jpg</v>
      </c>
    </row>
    <row r="104" spans="1:13" x14ac:dyDescent="0.25">
      <c r="A104" s="2" t="s">
        <v>18</v>
      </c>
      <c r="B104" s="4">
        <v>46018</v>
      </c>
      <c r="C104" s="5">
        <v>0.57578703703703704</v>
      </c>
      <c r="D104" s="8" t="s">
        <v>2004</v>
      </c>
      <c r="E104" s="8" t="s">
        <v>8</v>
      </c>
      <c r="F104" s="8"/>
      <c r="H104" s="8"/>
      <c r="I104" s="8" t="s">
        <v>7947</v>
      </c>
      <c r="J104" s="8" t="s">
        <v>2990</v>
      </c>
      <c r="K104" t="s">
        <v>7948</v>
      </c>
      <c r="L104" t="s">
        <v>7949</v>
      </c>
      <c r="M104" s="3" t="str">
        <f>HYPERLINK(склад2въезд18[[#This Row],[RelativePath]])</f>
        <v>3 Въезд на базу\E33149364_8_20251227T134908Z.jpg</v>
      </c>
    </row>
    <row r="105" spans="1:13" x14ac:dyDescent="0.25">
      <c r="A105" s="2" t="s">
        <v>22</v>
      </c>
      <c r="B105" s="4">
        <v>46019</v>
      </c>
      <c r="C105" s="5">
        <v>0.53828703703703706</v>
      </c>
      <c r="D105" s="8" t="s">
        <v>4</v>
      </c>
      <c r="E105" s="8" t="s">
        <v>531</v>
      </c>
      <c r="F105" s="8"/>
      <c r="H105" s="8"/>
      <c r="I105" s="8" t="s">
        <v>7950</v>
      </c>
      <c r="J105" s="8" t="s">
        <v>2990</v>
      </c>
      <c r="K105" t="s">
        <v>7951</v>
      </c>
      <c r="L105" t="s">
        <v>7952</v>
      </c>
      <c r="M105" s="3" t="str">
        <f>HYPERLINK(склад2въезд18[[#This Row],[RelativePath]])</f>
        <v>3 Въезд на базу\E33149364_8_20251228T125508Z.jpg</v>
      </c>
    </row>
    <row r="106" spans="1:13" x14ac:dyDescent="0.25">
      <c r="A106" s="2" t="s">
        <v>22</v>
      </c>
      <c r="B106" s="4">
        <v>46019</v>
      </c>
      <c r="C106" s="5">
        <v>0.70148148148148148</v>
      </c>
      <c r="D106" s="8" t="s">
        <v>2004</v>
      </c>
      <c r="E106" s="8" t="s">
        <v>8</v>
      </c>
      <c r="F106" s="8"/>
      <c r="H106" s="8"/>
      <c r="I106" s="8" t="s">
        <v>7953</v>
      </c>
      <c r="J106" s="8" t="s">
        <v>2990</v>
      </c>
      <c r="K106" t="s">
        <v>7954</v>
      </c>
      <c r="L106" t="s">
        <v>7955</v>
      </c>
      <c r="M106" s="3" t="str">
        <f>HYPERLINK(склад2въезд18[[#This Row],[RelativePath]])</f>
        <v>3 Въезд на базу\E33149364_8_20251228T165008Z.jpg</v>
      </c>
    </row>
    <row r="107" spans="1:13" x14ac:dyDescent="0.25">
      <c r="A107" s="2" t="s">
        <v>13</v>
      </c>
      <c r="B107" s="4">
        <v>46020</v>
      </c>
      <c r="C107" s="5">
        <v>0.65512731481481479</v>
      </c>
      <c r="D107" s="8" t="s">
        <v>2004</v>
      </c>
      <c r="E107" s="8" t="s">
        <v>8</v>
      </c>
      <c r="F107" s="8"/>
      <c r="H107" s="8"/>
      <c r="I107" s="8" t="s">
        <v>8108</v>
      </c>
      <c r="J107" s="8" t="s">
        <v>2990</v>
      </c>
      <c r="K107" t="s">
        <v>8109</v>
      </c>
      <c r="L107" t="s">
        <v>8110</v>
      </c>
      <c r="M107" s="3" t="str">
        <f>HYPERLINK(склад2въезд18[[#This Row],[RelativePath]])</f>
        <v>3 Въезд на базу\E33149364_8_20251229T154323Z.jpg</v>
      </c>
    </row>
    <row r="108" spans="1:13" x14ac:dyDescent="0.25">
      <c r="A108" s="2" t="s">
        <v>14</v>
      </c>
      <c r="B108" s="4">
        <v>46021</v>
      </c>
      <c r="C108" s="5">
        <v>0.71135416666666662</v>
      </c>
      <c r="D108" s="8" t="s">
        <v>2004</v>
      </c>
      <c r="E108" s="8" t="s">
        <v>8</v>
      </c>
      <c r="F108" s="8"/>
      <c r="H108" s="8"/>
      <c r="I108" s="8" t="s">
        <v>8111</v>
      </c>
      <c r="J108" s="8" t="s">
        <v>2990</v>
      </c>
      <c r="K108" t="s">
        <v>8112</v>
      </c>
      <c r="L108" t="s">
        <v>8113</v>
      </c>
      <c r="M108" s="3" t="str">
        <f>HYPERLINK(склад2въезд18[[#This Row],[RelativePath]])</f>
        <v>3 Въезд на базу\E33149364_8_20251230T170421Z.jpg</v>
      </c>
    </row>
    <row r="109" spans="1:13" x14ac:dyDescent="0.25">
      <c r="A109" s="2" t="s">
        <v>15</v>
      </c>
      <c r="B109" s="4">
        <v>46022</v>
      </c>
      <c r="C109" s="5">
        <v>0.69041666666666668</v>
      </c>
      <c r="D109" s="8" t="s">
        <v>2004</v>
      </c>
      <c r="E109" s="8" t="s">
        <v>8</v>
      </c>
      <c r="F109" s="8"/>
      <c r="H109" s="8"/>
      <c r="I109" s="8" t="s">
        <v>8114</v>
      </c>
      <c r="J109" s="8" t="s">
        <v>2990</v>
      </c>
      <c r="K109" t="s">
        <v>8115</v>
      </c>
      <c r="L109" t="s">
        <v>8116</v>
      </c>
      <c r="M109" s="3" t="str">
        <f>HYPERLINK(склад2въезд18[[#This Row],[RelativePath]])</f>
        <v>3 Въезд на базу\E33149364_8_20251231T163412Z.jpg</v>
      </c>
    </row>
    <row r="110" spans="1:13" x14ac:dyDescent="0.25">
      <c r="A110" s="2" t="s">
        <v>16</v>
      </c>
      <c r="B110" s="4">
        <v>46023</v>
      </c>
      <c r="C110" s="5">
        <v>0.7181481481481482</v>
      </c>
      <c r="D110" s="8" t="s">
        <v>2004</v>
      </c>
      <c r="E110" s="8" t="s">
        <v>8</v>
      </c>
      <c r="F110" s="8"/>
      <c r="H110" s="8"/>
      <c r="I110" s="8" t="s">
        <v>8117</v>
      </c>
      <c r="J110" s="8" t="s">
        <v>2990</v>
      </c>
      <c r="K110" t="s">
        <v>8118</v>
      </c>
      <c r="L110" t="s">
        <v>8119</v>
      </c>
      <c r="M110" s="3" t="str">
        <f>HYPERLINK(склад2въезд18[[#This Row],[RelativePath]])</f>
        <v>3 Въезд на базу\E33149364_8_20260101T171408Z.jpg</v>
      </c>
    </row>
    <row r="111" spans="1:13" x14ac:dyDescent="0.25">
      <c r="A111" s="2" t="s">
        <v>17</v>
      </c>
      <c r="B111" s="4">
        <v>46024</v>
      </c>
      <c r="C111" s="5">
        <v>0.58773148148148147</v>
      </c>
      <c r="D111" s="8" t="s">
        <v>2004</v>
      </c>
      <c r="E111" s="8" t="s">
        <v>8</v>
      </c>
      <c r="F111" s="8"/>
      <c r="H111" s="8"/>
      <c r="I111" s="8" t="s">
        <v>8384</v>
      </c>
      <c r="J111" s="8" t="s">
        <v>2990</v>
      </c>
      <c r="K111" t="s">
        <v>8385</v>
      </c>
      <c r="L111" t="s">
        <v>8386</v>
      </c>
      <c r="M111" s="3" t="str">
        <f>HYPERLINK(склад2въезд18[[#This Row],[RelativePath]])</f>
        <v>3 Въезд на базу\E33149364_8_20260102T140620Z.jpg</v>
      </c>
    </row>
    <row r="112" spans="1:13" x14ac:dyDescent="0.25">
      <c r="A112" s="2" t="s">
        <v>18</v>
      </c>
      <c r="B112" s="4">
        <v>46025</v>
      </c>
      <c r="C112" s="5">
        <v>0.67395833333333333</v>
      </c>
      <c r="D112" s="8" t="s">
        <v>2004</v>
      </c>
      <c r="E112" s="8" t="s">
        <v>8</v>
      </c>
      <c r="F112" s="8"/>
      <c r="H112" s="8"/>
      <c r="I112" s="8" t="s">
        <v>8387</v>
      </c>
      <c r="J112" s="8" t="s">
        <v>2990</v>
      </c>
      <c r="K112" t="s">
        <v>8388</v>
      </c>
      <c r="L112" t="s">
        <v>8389</v>
      </c>
      <c r="M112" s="3" t="str">
        <f>HYPERLINK(склад2въезд18[[#This Row],[RelativePath]])</f>
        <v>3 Въезд на базу\E33149364_8_20260103T161030Z.jpg</v>
      </c>
    </row>
    <row r="113" spans="1:13" x14ac:dyDescent="0.25">
      <c r="A113" s="2" t="s">
        <v>22</v>
      </c>
      <c r="B113" s="4">
        <v>46026</v>
      </c>
      <c r="C113" s="5">
        <v>0.66596064814814815</v>
      </c>
      <c r="D113" s="8" t="s">
        <v>2004</v>
      </c>
      <c r="E113" s="8" t="s">
        <v>8</v>
      </c>
      <c r="F113" s="8"/>
      <c r="H113" s="8"/>
      <c r="I113" s="8" t="s">
        <v>8390</v>
      </c>
      <c r="J113" s="8" t="s">
        <v>2990</v>
      </c>
      <c r="K113" t="s">
        <v>8391</v>
      </c>
      <c r="L113" t="s">
        <v>8392</v>
      </c>
      <c r="M113" s="3" t="str">
        <f>HYPERLINK(склад2въезд18[[#This Row],[RelativePath]])</f>
        <v>3 Въезд на базу\E33149364_8_20260104T155859Z.jpg</v>
      </c>
    </row>
    <row r="114" spans="1:13" x14ac:dyDescent="0.25">
      <c r="A114" s="2" t="s">
        <v>13</v>
      </c>
      <c r="B114" s="4">
        <v>46027</v>
      </c>
      <c r="C114" s="5">
        <v>0.68270833333333336</v>
      </c>
      <c r="D114" s="8" t="s">
        <v>2004</v>
      </c>
      <c r="E114" s="8" t="s">
        <v>8</v>
      </c>
      <c r="F114" s="8"/>
      <c r="H114" s="8"/>
      <c r="I114" s="8" t="s">
        <v>8619</v>
      </c>
      <c r="J114" s="8" t="s">
        <v>2990</v>
      </c>
      <c r="K114" t="s">
        <v>8620</v>
      </c>
      <c r="L114" t="s">
        <v>8621</v>
      </c>
      <c r="M114" s="3" t="str">
        <f>HYPERLINK(склад2въезд18[[#This Row],[RelativePath]])</f>
        <v>3 Въезд на базу\E33149364_8_20260105T162306Z.jpg</v>
      </c>
    </row>
    <row r="115" spans="1:13" x14ac:dyDescent="0.25">
      <c r="A115" s="2" t="s">
        <v>14</v>
      </c>
      <c r="B115" s="4">
        <v>46028</v>
      </c>
      <c r="C115" s="5">
        <v>0.5844907407407407</v>
      </c>
      <c r="D115" s="8" t="s">
        <v>4</v>
      </c>
      <c r="E115" s="8" t="s">
        <v>8803</v>
      </c>
      <c r="F115" s="8"/>
      <c r="H115" s="8"/>
      <c r="I115" s="8" t="s">
        <v>8622</v>
      </c>
      <c r="J115" s="8" t="s">
        <v>2990</v>
      </c>
      <c r="K115" t="s">
        <v>8623</v>
      </c>
      <c r="L115" t="s">
        <v>8624</v>
      </c>
      <c r="M115" s="3" t="str">
        <f>HYPERLINK(склад2въезд18[[#This Row],[RelativePath]])</f>
        <v>3 Въезд на базу\E33149364_8_20260106T140140Z.jpg</v>
      </c>
    </row>
    <row r="116" spans="1:13" x14ac:dyDescent="0.25">
      <c r="A116" s="2" t="s">
        <v>15</v>
      </c>
      <c r="B116" s="4">
        <v>46029</v>
      </c>
      <c r="C116" s="5">
        <v>0.55185185185185182</v>
      </c>
      <c r="D116" s="8" t="s">
        <v>4</v>
      </c>
      <c r="E116" s="8" t="s">
        <v>8803</v>
      </c>
      <c r="F116" s="8"/>
      <c r="H116" s="8"/>
      <c r="I116" s="8" t="s">
        <v>8625</v>
      </c>
      <c r="J116" s="8" t="s">
        <v>2990</v>
      </c>
      <c r="K116" t="s">
        <v>8626</v>
      </c>
      <c r="L116" t="s">
        <v>8627</v>
      </c>
      <c r="M116" s="3" t="str">
        <f>HYPERLINK(склад2въезд18[[#This Row],[RelativePath]])</f>
        <v>3 Въезд на базу\E33149364_8_20260107T131440Z.jpg</v>
      </c>
    </row>
    <row r="117" spans="1:13" x14ac:dyDescent="0.25">
      <c r="A117" s="2" t="s">
        <v>16</v>
      </c>
      <c r="B117" s="4">
        <v>46030</v>
      </c>
      <c r="C117" s="5">
        <v>0.5615162037037037</v>
      </c>
      <c r="D117" s="8" t="s">
        <v>4</v>
      </c>
      <c r="E117" s="8" t="s">
        <v>8803</v>
      </c>
      <c r="F117" s="8"/>
      <c r="H117" s="8"/>
      <c r="I117" s="8" t="s">
        <v>8628</v>
      </c>
      <c r="J117" s="8" t="s">
        <v>2990</v>
      </c>
      <c r="K117" t="s">
        <v>8629</v>
      </c>
      <c r="L117" t="s">
        <v>8630</v>
      </c>
      <c r="M117" s="3" t="str">
        <f>HYPERLINK(склад2въезд18[[#This Row],[RelativePath]])</f>
        <v>3 Въезд на базу\E33149364_8_20260108T132835Z.jpg</v>
      </c>
    </row>
    <row r="118" spans="1:13" x14ac:dyDescent="0.25">
      <c r="A118" s="2" t="s">
        <v>17</v>
      </c>
      <c r="B118" s="4">
        <v>46031</v>
      </c>
      <c r="C118" s="5">
        <v>0.66920138888888892</v>
      </c>
      <c r="D118" s="8" t="s">
        <v>4</v>
      </c>
      <c r="E118" s="8" t="s">
        <v>8803</v>
      </c>
      <c r="F118" s="8"/>
      <c r="H118" s="8"/>
      <c r="I118" s="8" t="s">
        <v>8631</v>
      </c>
      <c r="J118" s="8" t="s">
        <v>2990</v>
      </c>
      <c r="K118" t="s">
        <v>8632</v>
      </c>
      <c r="L118" t="s">
        <v>8633</v>
      </c>
      <c r="M118" s="3" t="str">
        <f>HYPERLINK(склад2въезд18[[#This Row],[RelativePath]])</f>
        <v>3 Въезд на базу\E33149364_8_20260109T160339Z.jpg</v>
      </c>
    </row>
    <row r="119" spans="1:13" x14ac:dyDescent="0.25">
      <c r="A119" s="2" t="s">
        <v>18</v>
      </c>
      <c r="B119" s="4">
        <v>46032</v>
      </c>
      <c r="C119" s="5">
        <v>0.54787037037037034</v>
      </c>
      <c r="D119" s="8" t="s">
        <v>4</v>
      </c>
      <c r="E119" s="8" t="s">
        <v>8803</v>
      </c>
      <c r="F119" s="8"/>
      <c r="H119" s="8"/>
      <c r="I119" s="8" t="s">
        <v>8634</v>
      </c>
      <c r="J119" s="8" t="s">
        <v>2990</v>
      </c>
      <c r="K119" t="s">
        <v>8635</v>
      </c>
      <c r="L119" t="s">
        <v>8636</v>
      </c>
      <c r="M119" s="3" t="str">
        <f>HYPERLINK(склад2въезд18[[#This Row],[RelativePath]])</f>
        <v>3 Въезд на базу\E33149364_8_20260110T130856Z.jpg</v>
      </c>
    </row>
    <row r="120" spans="1:13" x14ac:dyDescent="0.25">
      <c r="A120" s="2" t="s">
        <v>22</v>
      </c>
      <c r="B120" s="4">
        <v>46033</v>
      </c>
      <c r="C120" s="5">
        <v>0.69499999999999995</v>
      </c>
      <c r="D120" s="8" t="s">
        <v>2004</v>
      </c>
      <c r="E120" s="8" t="s">
        <v>8</v>
      </c>
      <c r="F120" s="8"/>
      <c r="H120" s="8"/>
      <c r="I120" s="8" t="s">
        <v>8637</v>
      </c>
      <c r="J120" s="8" t="s">
        <v>2990</v>
      </c>
      <c r="K120" t="s">
        <v>8638</v>
      </c>
      <c r="L120" t="s">
        <v>8639</v>
      </c>
      <c r="M120" s="3" t="str">
        <f>HYPERLINK(склад2въезд18[[#This Row],[RelativePath]])</f>
        <v>3 Въезд на базу\E33149364_8_20260111T164048Z.jpg</v>
      </c>
    </row>
    <row r="121" spans="1:13" x14ac:dyDescent="0.25">
      <c r="A121" s="2" t="s">
        <v>13</v>
      </c>
      <c r="B121" s="4">
        <v>46034</v>
      </c>
      <c r="C121" s="5">
        <v>0.43590277777777775</v>
      </c>
      <c r="D121" s="8" t="s">
        <v>4</v>
      </c>
      <c r="E121" s="8" t="s">
        <v>8803</v>
      </c>
      <c r="F121" s="8"/>
      <c r="H121" s="8"/>
      <c r="I121" s="8" t="s">
        <v>8975</v>
      </c>
      <c r="J121" s="8" t="s">
        <v>2990</v>
      </c>
      <c r="K121" t="s">
        <v>8977</v>
      </c>
      <c r="L121" t="s">
        <v>8978</v>
      </c>
      <c r="M121" s="3" t="str">
        <f>HYPERLINK(склад2въезд18[[#This Row],[RelativePath]])</f>
        <v>3 Въезд на базу\E33149364_8_20260112T102742Z.jpg</v>
      </c>
    </row>
    <row r="122" spans="1:13" x14ac:dyDescent="0.25">
      <c r="A122" s="2" t="s">
        <v>14</v>
      </c>
      <c r="B122" s="4">
        <v>46035</v>
      </c>
      <c r="C122" s="5">
        <v>0.41223379629629631</v>
      </c>
      <c r="D122" s="8" t="s">
        <v>289</v>
      </c>
      <c r="E122" s="8" t="s">
        <v>9187</v>
      </c>
      <c r="F122" s="8" t="s">
        <v>9188</v>
      </c>
      <c r="H122" s="8"/>
      <c r="I122" s="8" t="s">
        <v>8979</v>
      </c>
      <c r="J122" s="8" t="s">
        <v>2990</v>
      </c>
      <c r="K122" t="s">
        <v>8980</v>
      </c>
      <c r="L122" t="s">
        <v>8981</v>
      </c>
      <c r="M122" s="3" t="str">
        <f>HYPERLINK(склад2въезд18[[#This Row],[RelativePath]])</f>
        <v>3 Въезд на базу\E33149364_8_20260113T095337Z.jpg</v>
      </c>
    </row>
    <row r="123" spans="1:13" x14ac:dyDescent="0.25">
      <c r="A123" s="2" t="s">
        <v>14</v>
      </c>
      <c r="B123" s="4">
        <v>46035</v>
      </c>
      <c r="C123" s="5">
        <v>0.41230324074074076</v>
      </c>
      <c r="D123" s="8" t="s">
        <v>289</v>
      </c>
      <c r="E123" s="8" t="s">
        <v>9187</v>
      </c>
      <c r="F123" s="8" t="s">
        <v>9188</v>
      </c>
      <c r="H123" s="8" t="s">
        <v>2936</v>
      </c>
      <c r="I123" s="8" t="s">
        <v>8982</v>
      </c>
      <c r="J123" s="8" t="s">
        <v>2990</v>
      </c>
      <c r="K123" t="s">
        <v>8983</v>
      </c>
      <c r="L123" t="s">
        <v>8984</v>
      </c>
      <c r="M123" s="3" t="str">
        <f>HYPERLINK(склад2въезд18[[#This Row],[RelativePath]])</f>
        <v>3 Въезд на базу\E33149364_8_20260113T095343Z.jpg</v>
      </c>
    </row>
    <row r="124" spans="1:13" x14ac:dyDescent="0.25">
      <c r="A124" s="2" t="s">
        <v>14</v>
      </c>
      <c r="B124" s="4">
        <v>46035</v>
      </c>
      <c r="C124" s="5">
        <v>0.48733796296296295</v>
      </c>
      <c r="D124" s="8" t="s">
        <v>4</v>
      </c>
      <c r="E124" s="8" t="s">
        <v>8803</v>
      </c>
      <c r="F124" s="8"/>
      <c r="H124" s="8"/>
      <c r="I124" s="8" t="s">
        <v>8985</v>
      </c>
      <c r="J124" s="8" t="s">
        <v>2990</v>
      </c>
      <c r="K124" t="s">
        <v>8986</v>
      </c>
      <c r="L124" t="s">
        <v>8987</v>
      </c>
      <c r="M124" s="3" t="str">
        <f>HYPERLINK(склад2въезд18[[#This Row],[RelativePath]])</f>
        <v>3 Въезд на базу\E33149364_8_20260113T114146Z.jpg</v>
      </c>
    </row>
    <row r="125" spans="1:13" x14ac:dyDescent="0.25">
      <c r="A125" s="2" t="s">
        <v>15</v>
      </c>
      <c r="B125" s="4">
        <v>46036</v>
      </c>
      <c r="C125" s="5">
        <v>0.64038194444444441</v>
      </c>
      <c r="D125" s="8" t="s">
        <v>4</v>
      </c>
      <c r="E125" s="8" t="s">
        <v>8803</v>
      </c>
      <c r="F125" s="8"/>
      <c r="H125" s="8"/>
      <c r="I125" s="8" t="s">
        <v>9240</v>
      </c>
      <c r="J125" s="8" t="s">
        <v>2990</v>
      </c>
      <c r="K125" t="s">
        <v>9241</v>
      </c>
      <c r="L125" t="s">
        <v>9242</v>
      </c>
      <c r="M125" s="3" t="str">
        <f>HYPERLINK(склад2въезд18[[#This Row],[RelativePath]])</f>
        <v>3 Въезд на базу\E33149364_8_20260114T152209Z.jpg</v>
      </c>
    </row>
    <row r="126" spans="1:13" x14ac:dyDescent="0.25">
      <c r="A126" s="2" t="s">
        <v>16</v>
      </c>
      <c r="B126" s="4">
        <v>46037</v>
      </c>
      <c r="C126" s="5">
        <v>0.43679398148148146</v>
      </c>
      <c r="D126" s="8" t="s">
        <v>4</v>
      </c>
      <c r="E126" s="8" t="s">
        <v>8803</v>
      </c>
      <c r="F126" s="8"/>
      <c r="H126" s="8"/>
      <c r="I126" s="8" t="s">
        <v>9343</v>
      </c>
      <c r="J126" s="8" t="s">
        <v>2990</v>
      </c>
      <c r="K126" t="s">
        <v>9344</v>
      </c>
      <c r="L126" t="s">
        <v>9345</v>
      </c>
      <c r="M126" s="3" t="str">
        <f>HYPERLINK(склад2въезд18[[#This Row],[RelativePath]])</f>
        <v>3 Въезд на базу\E33149364_8_20260115T102859Z.jpg</v>
      </c>
    </row>
    <row r="127" spans="1:13" x14ac:dyDescent="0.25">
      <c r="A127" s="2" t="s">
        <v>16</v>
      </c>
      <c r="B127" s="4">
        <v>46037</v>
      </c>
      <c r="C127" s="5">
        <v>0.67011574074074076</v>
      </c>
      <c r="D127" s="8" t="s">
        <v>4</v>
      </c>
      <c r="E127" s="8" t="s">
        <v>8803</v>
      </c>
      <c r="F127" s="8"/>
      <c r="H127" s="8"/>
      <c r="I127" s="8" t="s">
        <v>9346</v>
      </c>
      <c r="J127" s="8" t="s">
        <v>2990</v>
      </c>
      <c r="K127" t="s">
        <v>9347</v>
      </c>
      <c r="L127" t="s">
        <v>9348</v>
      </c>
      <c r="M127" s="3" t="str">
        <f>HYPERLINK(склад2въезд18[[#This Row],[RelativePath]])</f>
        <v>3 Въезд на базу\E33149364_8_20260115T160458Z.jpg</v>
      </c>
    </row>
    <row r="128" spans="1:13" x14ac:dyDescent="0.25">
      <c r="A128" s="2" t="s">
        <v>17</v>
      </c>
      <c r="B128" s="4">
        <v>46038</v>
      </c>
      <c r="C128" s="5">
        <v>0.57848379629629632</v>
      </c>
      <c r="D128" s="8" t="s">
        <v>4</v>
      </c>
      <c r="E128" s="8" t="s">
        <v>8803</v>
      </c>
      <c r="F128" s="8"/>
      <c r="H128" s="8"/>
      <c r="I128" s="8" t="s">
        <v>9349</v>
      </c>
      <c r="J128" s="8" t="s">
        <v>2990</v>
      </c>
      <c r="K128" t="s">
        <v>9350</v>
      </c>
      <c r="L128" t="s">
        <v>9351</v>
      </c>
      <c r="M128" s="3" t="str">
        <f>HYPERLINK(склад2въезд18[[#This Row],[RelativePath]])</f>
        <v>3 Въезд на базу\E33149364_8_20260116T135301Z.jpg</v>
      </c>
    </row>
    <row r="129" spans="1:13" x14ac:dyDescent="0.25">
      <c r="A129" s="2" t="s">
        <v>18</v>
      </c>
      <c r="B129" s="4">
        <v>46039</v>
      </c>
      <c r="C129" s="5">
        <v>0.62723379629629628</v>
      </c>
      <c r="D129" s="8" t="s">
        <v>4</v>
      </c>
      <c r="E129" s="8" t="s">
        <v>9685</v>
      </c>
      <c r="F129" s="8"/>
      <c r="H129" s="8"/>
      <c r="I129" s="8" t="s">
        <v>9585</v>
      </c>
      <c r="J129" s="8" t="s">
        <v>2990</v>
      </c>
      <c r="K129" t="s">
        <v>9586</v>
      </c>
      <c r="L129" t="s">
        <v>9587</v>
      </c>
      <c r="M129" s="3" t="str">
        <f>HYPERLINK(склад2въезд18[[#This Row],[RelativePath]])</f>
        <v>3 Въезд на базу\E33149364_8_20260117T150313Z.jpg</v>
      </c>
    </row>
    <row r="130" spans="1:13" x14ac:dyDescent="0.25">
      <c r="A130" s="2" t="s">
        <v>22</v>
      </c>
      <c r="B130" s="4">
        <v>46040</v>
      </c>
      <c r="C130" s="5">
        <v>0.68995370370370368</v>
      </c>
      <c r="D130" s="8" t="s">
        <v>2004</v>
      </c>
      <c r="E130" s="8" t="s">
        <v>8</v>
      </c>
      <c r="F130" s="8"/>
      <c r="H130" s="8"/>
      <c r="I130" s="8" t="s">
        <v>9588</v>
      </c>
      <c r="J130" s="8" t="s">
        <v>2990</v>
      </c>
      <c r="K130" t="s">
        <v>9589</v>
      </c>
      <c r="L130" t="s">
        <v>9590</v>
      </c>
      <c r="M130" s="3" t="str">
        <f>HYPERLINK(склад2въезд18[[#This Row],[RelativePath]])</f>
        <v>3 Въезд на базу\E33149364_8_20260118T163332Z.jpg</v>
      </c>
    </row>
    <row r="131" spans="1:13" x14ac:dyDescent="0.25">
      <c r="A131" s="2" t="s">
        <v>13</v>
      </c>
      <c r="B131" s="4">
        <v>46041</v>
      </c>
      <c r="C131" s="5">
        <v>0.6799884259259259</v>
      </c>
      <c r="D131" s="8" t="s">
        <v>4</v>
      </c>
      <c r="E131" s="8" t="s">
        <v>8803</v>
      </c>
      <c r="F131" s="8"/>
      <c r="H131" s="8"/>
      <c r="I131" s="8" t="s">
        <v>9720</v>
      </c>
      <c r="J131" s="8" t="s">
        <v>2990</v>
      </c>
      <c r="K131" t="s">
        <v>9721</v>
      </c>
      <c r="L131" t="s">
        <v>9722</v>
      </c>
      <c r="M131" s="3" t="str">
        <f>HYPERLINK(склад2въезд18[[#This Row],[RelativePath]])</f>
        <v>3 Въезд на базу\E33149364_8_20260119T161911Z.jpg</v>
      </c>
    </row>
    <row r="132" spans="1:13" x14ac:dyDescent="0.25">
      <c r="A132" s="2" t="s">
        <v>14</v>
      </c>
      <c r="B132" s="4">
        <v>46042</v>
      </c>
      <c r="C132" s="5">
        <v>0.57337962962962963</v>
      </c>
      <c r="D132" s="8" t="s">
        <v>4</v>
      </c>
      <c r="E132" s="8" t="s">
        <v>8803</v>
      </c>
      <c r="F132" s="8"/>
      <c r="H132" s="8"/>
      <c r="I132" s="8" t="s">
        <v>9723</v>
      </c>
      <c r="J132" s="8" t="s">
        <v>2990</v>
      </c>
      <c r="K132" t="s">
        <v>9724</v>
      </c>
      <c r="L132" t="s">
        <v>9725</v>
      </c>
      <c r="M132" s="3" t="str">
        <f>HYPERLINK(склад2въезд18[[#This Row],[RelativePath]])</f>
        <v>3 Въезд на базу\E33149364_8_20260120T134540Z.jpg</v>
      </c>
    </row>
    <row r="133" spans="1:13" x14ac:dyDescent="0.25">
      <c r="A133" s="2" t="s">
        <v>15</v>
      </c>
      <c r="B133" s="4">
        <v>46043</v>
      </c>
      <c r="C133" s="5">
        <v>0.52468749999999997</v>
      </c>
      <c r="D133" s="8" t="s">
        <v>4</v>
      </c>
      <c r="E133" s="8" t="s">
        <v>8803</v>
      </c>
      <c r="F133" s="8"/>
      <c r="H133" s="8"/>
      <c r="I133" s="8" t="s">
        <v>9951</v>
      </c>
      <c r="J133" s="8" t="s">
        <v>2990</v>
      </c>
      <c r="K133" t="s">
        <v>9952</v>
      </c>
      <c r="L133" t="s">
        <v>9953</v>
      </c>
      <c r="M133" s="3" t="str">
        <f>HYPERLINK(склад2въезд18[[#This Row],[RelativePath]])</f>
        <v>3 Въезд на базу\E33149364_8_20260121T123533Z.jpg</v>
      </c>
    </row>
    <row r="134" spans="1:13" x14ac:dyDescent="0.25">
      <c r="A134" s="2" t="s">
        <v>15</v>
      </c>
      <c r="B134" s="4">
        <v>46043</v>
      </c>
      <c r="C134" s="5">
        <v>0.69549768518518518</v>
      </c>
      <c r="D134" s="8" t="s">
        <v>4</v>
      </c>
      <c r="E134" s="8" t="s">
        <v>8803</v>
      </c>
      <c r="F134" s="8"/>
      <c r="H134" s="8"/>
      <c r="I134" s="8" t="s">
        <v>9954</v>
      </c>
      <c r="J134" s="8" t="s">
        <v>2990</v>
      </c>
      <c r="K134" t="s">
        <v>9955</v>
      </c>
      <c r="L134" t="s">
        <v>9956</v>
      </c>
      <c r="M134" s="3" t="str">
        <f>HYPERLINK(склад2въезд18[[#This Row],[RelativePath]])</f>
        <v>3 Въезд на базу\E33149364_8_20260121T164131Z.jpg</v>
      </c>
    </row>
    <row r="135" spans="1:13" x14ac:dyDescent="0.25">
      <c r="A135" s="2" t="s">
        <v>16</v>
      </c>
      <c r="B135" s="4">
        <v>46044</v>
      </c>
      <c r="C135" s="5">
        <v>0.48153935185185187</v>
      </c>
      <c r="D135" s="8" t="s">
        <v>4</v>
      </c>
      <c r="E135" s="8" t="s">
        <v>8803</v>
      </c>
      <c r="F135" s="8"/>
      <c r="H135" s="8"/>
      <c r="I135" s="8" t="s">
        <v>9957</v>
      </c>
      <c r="J135" s="8" t="s">
        <v>2990</v>
      </c>
      <c r="K135" t="s">
        <v>9958</v>
      </c>
      <c r="L135" t="s">
        <v>9959</v>
      </c>
      <c r="M135" s="3" t="str">
        <f>HYPERLINK(склад2въезд18[[#This Row],[RelativePath]])</f>
        <v>3 Въезд на базу\E33149364_8_20260122T113325Z.jpg</v>
      </c>
    </row>
    <row r="136" spans="1:13" x14ac:dyDescent="0.25">
      <c r="A136" s="2" t="s">
        <v>17</v>
      </c>
      <c r="B136" s="4">
        <v>46045</v>
      </c>
      <c r="C136" s="5">
        <v>0.45531250000000001</v>
      </c>
      <c r="D136" s="8" t="s">
        <v>4</v>
      </c>
      <c r="E136" s="8" t="s">
        <v>8803</v>
      </c>
      <c r="F136" s="8"/>
      <c r="H136" s="8"/>
      <c r="I136" s="8" t="s">
        <v>10177</v>
      </c>
      <c r="J136" s="8" t="s">
        <v>2990</v>
      </c>
      <c r="K136" t="s">
        <v>10178</v>
      </c>
      <c r="L136" t="s">
        <v>10179</v>
      </c>
      <c r="M136" s="3" t="str">
        <f>HYPERLINK(склад2въезд18[[#This Row],[RelativePath]])</f>
        <v>3 Въезд на базу\E33149364_8_20260123T105539Z.jpg</v>
      </c>
    </row>
    <row r="137" spans="1:13" x14ac:dyDescent="0.25">
      <c r="A137" s="2" t="s">
        <v>18</v>
      </c>
      <c r="B137" s="4">
        <v>46046</v>
      </c>
      <c r="C137" s="5">
        <v>0.67290509259259257</v>
      </c>
      <c r="D137" s="8" t="s">
        <v>2004</v>
      </c>
      <c r="E137" s="8" t="s">
        <v>8</v>
      </c>
      <c r="F137" s="8"/>
      <c r="H137" s="8"/>
      <c r="I137" s="8" t="s">
        <v>10525</v>
      </c>
      <c r="J137" s="8" t="s">
        <v>2990</v>
      </c>
      <c r="K137" t="s">
        <v>10526</v>
      </c>
      <c r="L137" t="s">
        <v>10527</v>
      </c>
      <c r="M137" s="3" t="str">
        <f>HYPERLINK(склад2въезд18[[#This Row],[RelativePath]])</f>
        <v>3 Въезд на базу\E33149364_8_20260124T160859Z.jpg</v>
      </c>
    </row>
    <row r="138" spans="1:13" x14ac:dyDescent="0.25">
      <c r="A138" s="2" t="s">
        <v>22</v>
      </c>
      <c r="B138" s="4">
        <v>46047</v>
      </c>
      <c r="C138" s="5">
        <v>0.70944444444444443</v>
      </c>
      <c r="D138" s="8" t="s">
        <v>2004</v>
      </c>
      <c r="E138" s="8" t="s">
        <v>8</v>
      </c>
      <c r="F138" s="8"/>
      <c r="H138" s="8"/>
      <c r="I138" s="8" t="s">
        <v>10491</v>
      </c>
      <c r="J138" s="8" t="s">
        <v>2990</v>
      </c>
      <c r="K138" t="s">
        <v>10492</v>
      </c>
      <c r="L138" t="s">
        <v>10493</v>
      </c>
      <c r="M138" s="3" t="str">
        <f>HYPERLINK(склад2въезд18[[#This Row],[RelativePath]])</f>
        <v>3 Въезд на базу\E33149364_8_20260125T170136Z.jpg</v>
      </c>
    </row>
    <row r="139" spans="1:13" x14ac:dyDescent="0.25">
      <c r="A139" s="2" t="s">
        <v>13</v>
      </c>
      <c r="B139" s="4">
        <v>46048</v>
      </c>
      <c r="C139" s="5">
        <v>0.64296296296296296</v>
      </c>
      <c r="D139" s="8" t="s">
        <v>4</v>
      </c>
      <c r="E139" s="8" t="s">
        <v>8803</v>
      </c>
      <c r="F139" s="8"/>
      <c r="H139" s="8"/>
      <c r="I139" s="8" t="s">
        <v>10558</v>
      </c>
      <c r="J139" s="8" t="s">
        <v>2990</v>
      </c>
      <c r="K139" t="s">
        <v>10559</v>
      </c>
      <c r="L139" t="s">
        <v>10560</v>
      </c>
      <c r="M139" s="3" t="str">
        <f>HYPERLINK(склад2въезд18[[#This Row],[RelativePath]])</f>
        <v>3 Въезд на базу\E33149364_8_20260126T152552Z.jpg</v>
      </c>
    </row>
    <row r="140" spans="1:13" x14ac:dyDescent="0.25">
      <c r="A140" s="2" t="s">
        <v>14</v>
      </c>
      <c r="B140" s="4">
        <v>46049</v>
      </c>
      <c r="C140" s="5">
        <v>0.6885648148148148</v>
      </c>
      <c r="D140" s="8" t="s">
        <v>4</v>
      </c>
      <c r="E140" s="8" t="s">
        <v>8803</v>
      </c>
      <c r="F140" s="8"/>
      <c r="H140" s="8"/>
      <c r="I140" s="8" t="s">
        <v>10561</v>
      </c>
      <c r="J140" s="8" t="s">
        <v>2990</v>
      </c>
      <c r="K140" t="s">
        <v>10562</v>
      </c>
      <c r="L140" t="s">
        <v>10563</v>
      </c>
      <c r="M140" s="3" t="str">
        <f>HYPERLINK(склад2въезд18[[#This Row],[RelativePath]])</f>
        <v>3 Въезд на базу\E33149364_8_20260127T163132Z.jpg</v>
      </c>
    </row>
    <row r="141" spans="1:13" x14ac:dyDescent="0.25">
      <c r="A141" s="2" t="s">
        <v>15</v>
      </c>
      <c r="B141" s="4">
        <v>46050</v>
      </c>
      <c r="C141" s="5">
        <v>0.54774305555555558</v>
      </c>
      <c r="D141" s="8" t="s">
        <v>4</v>
      </c>
      <c r="E141" s="8" t="s">
        <v>8803</v>
      </c>
      <c r="F141" s="8"/>
      <c r="H141" s="8"/>
      <c r="I141" s="8" t="s">
        <v>10737</v>
      </c>
      <c r="J141" s="8" t="s">
        <v>2990</v>
      </c>
      <c r="K141" t="s">
        <v>10738</v>
      </c>
      <c r="L141" t="s">
        <v>10739</v>
      </c>
      <c r="M141" s="3" t="str">
        <f>HYPERLINK(склад2въезд18[[#This Row],[RelativePath]])</f>
        <v>3 Въезд на базу\E33149364_8_20260128T130845Z.jpg</v>
      </c>
    </row>
    <row r="142" spans="1:13" x14ac:dyDescent="0.25">
      <c r="A142" s="2" t="s">
        <v>16</v>
      </c>
      <c r="B142" s="4">
        <v>46051</v>
      </c>
      <c r="C142" s="5">
        <v>0.51204861111111111</v>
      </c>
      <c r="D142" s="8" t="s">
        <v>4</v>
      </c>
      <c r="E142" s="8" t="s">
        <v>8803</v>
      </c>
      <c r="F142" s="8"/>
      <c r="H142" s="8"/>
      <c r="I142" s="8" t="s">
        <v>10740</v>
      </c>
      <c r="J142" s="8" t="s">
        <v>2990</v>
      </c>
      <c r="K142" t="s">
        <v>10741</v>
      </c>
      <c r="L142" t="s">
        <v>10742</v>
      </c>
      <c r="M142" s="3" t="str">
        <f>HYPERLINK(склад2въезд18[[#This Row],[RelativePath]])</f>
        <v>3 Въезд на базу\E33149364_8_20260129T121721Z.jpg</v>
      </c>
    </row>
    <row r="143" spans="1:13" x14ac:dyDescent="0.25">
      <c r="A143" s="2" t="s">
        <v>17</v>
      </c>
      <c r="B143" s="4">
        <v>46052</v>
      </c>
      <c r="C143" s="5">
        <v>0.4430324074074074</v>
      </c>
      <c r="D143" s="8" t="s">
        <v>4</v>
      </c>
      <c r="E143" s="8" t="s">
        <v>8803</v>
      </c>
      <c r="F143" s="8"/>
      <c r="H143" s="8"/>
      <c r="I143" s="8" t="s">
        <v>10896</v>
      </c>
      <c r="J143" s="8" t="s">
        <v>2990</v>
      </c>
      <c r="K143" t="s">
        <v>10897</v>
      </c>
      <c r="L143" t="s">
        <v>10898</v>
      </c>
      <c r="M143" s="3" t="str">
        <f>HYPERLINK(склад2въезд18[[#This Row],[RelativePath]])</f>
        <v>3 Въезд на базу\E33149364_8_20260130T103758Z.jpg</v>
      </c>
    </row>
    <row r="144" spans="1:13" x14ac:dyDescent="0.25">
      <c r="A144" s="2" t="s">
        <v>17</v>
      </c>
      <c r="B144" s="4">
        <v>46052</v>
      </c>
      <c r="C144" s="5">
        <v>0.74435185185185182</v>
      </c>
      <c r="D144" s="8" t="s">
        <v>4</v>
      </c>
      <c r="E144" s="8" t="s">
        <v>8803</v>
      </c>
      <c r="F144" s="8"/>
      <c r="H144" s="8"/>
      <c r="I144" s="8" t="s">
        <v>10899</v>
      </c>
      <c r="J144" s="8" t="s">
        <v>2990</v>
      </c>
      <c r="K144" t="s">
        <v>10900</v>
      </c>
      <c r="L144" t="s">
        <v>10901</v>
      </c>
      <c r="M144" s="3" t="str">
        <f>HYPERLINK(склад2въезд18[[#This Row],[RelativePath]])</f>
        <v>3 Въезд на базу\E33149364_8_20260130T175152Z.jpg</v>
      </c>
    </row>
    <row r="145" spans="1:13" x14ac:dyDescent="0.25">
      <c r="A145" s="2" t="s">
        <v>18</v>
      </c>
      <c r="B145" s="4">
        <v>46053</v>
      </c>
      <c r="C145" s="5">
        <v>0.4876388888888889</v>
      </c>
      <c r="D145" s="8" t="s">
        <v>4</v>
      </c>
      <c r="E145" s="8" t="s">
        <v>11124</v>
      </c>
      <c r="F145" s="8"/>
      <c r="H145" s="8"/>
      <c r="I145" s="8" t="s">
        <v>11061</v>
      </c>
      <c r="J145" s="8" t="s">
        <v>2990</v>
      </c>
      <c r="K145" t="s">
        <v>11062</v>
      </c>
      <c r="L145" t="s">
        <v>11063</v>
      </c>
      <c r="M145" s="3" t="str">
        <f>HYPERLINK(склад2въезд18[[#This Row],[RelativePath]])</f>
        <v>3 Въезд на базу\E33149364_8_20260131T114212Z.jpg</v>
      </c>
    </row>
    <row r="146" spans="1:13" x14ac:dyDescent="0.25">
      <c r="A146" s="2" t="s">
        <v>22</v>
      </c>
      <c r="B146" s="4">
        <v>46054</v>
      </c>
      <c r="C146" s="5">
        <v>0.72483796296296299</v>
      </c>
      <c r="D146" s="8" t="s">
        <v>2004</v>
      </c>
      <c r="E146" s="8" t="s">
        <v>8</v>
      </c>
      <c r="F146" s="8"/>
      <c r="H146" s="8"/>
      <c r="I146" s="8" t="s">
        <v>11064</v>
      </c>
      <c r="J146" s="8" t="s">
        <v>2990</v>
      </c>
      <c r="K146" t="s">
        <v>11065</v>
      </c>
      <c r="L146" t="s">
        <v>11066</v>
      </c>
      <c r="M146" s="3" t="str">
        <f>HYPERLINK(склад2въезд18[[#This Row],[RelativePath]])</f>
        <v>3 Въезд на базу\E33149364_8_20260201T172346Z.jpg</v>
      </c>
    </row>
    <row r="147" spans="1:13" x14ac:dyDescent="0.25">
      <c r="A147" s="2" t="s">
        <v>13</v>
      </c>
      <c r="B147" s="4">
        <v>46055</v>
      </c>
      <c r="C147" s="5">
        <v>0.42758101851851854</v>
      </c>
      <c r="D147" s="8" t="s">
        <v>4</v>
      </c>
      <c r="E147" s="8" t="s">
        <v>8803</v>
      </c>
      <c r="F147" s="8"/>
      <c r="H147" s="8"/>
      <c r="I147" s="8" t="s">
        <v>11172</v>
      </c>
      <c r="J147" s="8" t="s">
        <v>2990</v>
      </c>
      <c r="K147" t="s">
        <v>11173</v>
      </c>
      <c r="L147" t="s">
        <v>11174</v>
      </c>
      <c r="M147" s="3" t="str">
        <f>HYPERLINK(склад2въезд18[[#This Row],[RelativePath]])</f>
        <v>3 Въезд на базу\E33149364_8_20260202T101543Z.jpg</v>
      </c>
    </row>
    <row r="148" spans="1:13" x14ac:dyDescent="0.25">
      <c r="A148" s="2" t="s">
        <v>14</v>
      </c>
      <c r="B148" s="4">
        <v>46056</v>
      </c>
      <c r="C148" s="5">
        <v>0.44574074074074072</v>
      </c>
      <c r="D148" s="8" t="s">
        <v>4</v>
      </c>
      <c r="E148" s="8" t="s">
        <v>8803</v>
      </c>
      <c r="F148" s="8"/>
      <c r="H148" s="8"/>
      <c r="I148" s="8" t="s">
        <v>11175</v>
      </c>
      <c r="J148" s="8" t="s">
        <v>2990</v>
      </c>
      <c r="K148" t="s">
        <v>11176</v>
      </c>
      <c r="L148" t="s">
        <v>11177</v>
      </c>
      <c r="M148" s="3" t="str">
        <f>HYPERLINK(склад2въезд18[[#This Row],[RelativePath]])</f>
        <v>3 Въезд на базу\E33149364_8_20260203T104152Z.jpg</v>
      </c>
    </row>
    <row r="149" spans="1:13" x14ac:dyDescent="0.25">
      <c r="A149" s="2" t="s">
        <v>14</v>
      </c>
      <c r="B149" s="4">
        <v>46056</v>
      </c>
      <c r="C149" s="5">
        <v>0.70100694444444445</v>
      </c>
      <c r="D149" s="8" t="s">
        <v>4</v>
      </c>
      <c r="E149" s="8" t="s">
        <v>8803</v>
      </c>
      <c r="F149" s="8"/>
      <c r="H149" s="8"/>
      <c r="I149" s="8" t="s">
        <v>11178</v>
      </c>
      <c r="J149" s="8" t="s">
        <v>2990</v>
      </c>
      <c r="K149" t="s">
        <v>11179</v>
      </c>
      <c r="L149" t="s">
        <v>11180</v>
      </c>
      <c r="M149" s="3" t="str">
        <f>HYPERLINK(склад2въезд18[[#This Row],[RelativePath]])</f>
        <v>3 Въезд на базу\E33149364_8_20260203T164927Z.jpg</v>
      </c>
    </row>
    <row r="150" spans="1:13" x14ac:dyDescent="0.25">
      <c r="A150" s="2" t="s">
        <v>15</v>
      </c>
      <c r="B150" s="4">
        <v>46057</v>
      </c>
      <c r="C150" s="5">
        <v>0.52627314814814818</v>
      </c>
      <c r="D150" s="8" t="s">
        <v>4</v>
      </c>
      <c r="E150" s="8" t="s">
        <v>8803</v>
      </c>
      <c r="F150" s="8"/>
      <c r="H150" s="8"/>
      <c r="I150" s="8" t="s">
        <v>11574</v>
      </c>
      <c r="J150" s="8" t="s">
        <v>2990</v>
      </c>
      <c r="K150" t="s">
        <v>11575</v>
      </c>
      <c r="L150" t="s">
        <v>11576</v>
      </c>
      <c r="M150" s="3" t="str">
        <f>HYPERLINK(склад2въезд18[[#This Row],[RelativePath]])</f>
        <v>3 Въезд на базу\E33149364_8_20260204T123750Z.jpg</v>
      </c>
    </row>
    <row r="151" spans="1:13" x14ac:dyDescent="0.25">
      <c r="A151" s="2" t="s">
        <v>16</v>
      </c>
      <c r="B151" s="4">
        <v>46058</v>
      </c>
      <c r="C151" s="5">
        <v>0.54972222222222222</v>
      </c>
      <c r="D151" s="8" t="s">
        <v>289</v>
      </c>
      <c r="E151" s="8" t="s">
        <v>70</v>
      </c>
      <c r="F151" s="8" t="s">
        <v>11637</v>
      </c>
      <c r="G151">
        <v>2</v>
      </c>
      <c r="H151" s="8"/>
      <c r="I151" s="8" t="s">
        <v>11577</v>
      </c>
      <c r="J151" s="8" t="s">
        <v>2990</v>
      </c>
      <c r="K151" t="s">
        <v>11578</v>
      </c>
      <c r="L151" t="s">
        <v>11579</v>
      </c>
      <c r="M151" s="3" t="str">
        <f>HYPERLINK(склад2въезд18[[#This Row],[RelativePath]])</f>
        <v>3 Въезд на базу\E33149364_8_20260205T131136Z.jpg</v>
      </c>
    </row>
    <row r="152" spans="1:13" x14ac:dyDescent="0.25">
      <c r="A152" s="2" t="s">
        <v>16</v>
      </c>
      <c r="B152" s="4">
        <v>46058</v>
      </c>
      <c r="C152" s="5">
        <v>0.55296296296296299</v>
      </c>
      <c r="D152" s="8" t="s">
        <v>650</v>
      </c>
      <c r="E152" s="8" t="s">
        <v>70</v>
      </c>
      <c r="F152" s="8" t="s">
        <v>11637</v>
      </c>
      <c r="H152" s="8"/>
      <c r="I152" s="8" t="s">
        <v>11580</v>
      </c>
      <c r="J152" s="8" t="s">
        <v>2990</v>
      </c>
      <c r="K152" t="s">
        <v>11581</v>
      </c>
      <c r="L152" t="s">
        <v>11582</v>
      </c>
      <c r="M152" s="3" t="str">
        <f>HYPERLINK(склад2въезд18[[#This Row],[RelativePath]])</f>
        <v>3 Въезд на базу\E33149364_8_20260205T131616Z.jpg</v>
      </c>
    </row>
    <row r="153" spans="1:13" x14ac:dyDescent="0.25">
      <c r="A153" s="2" t="s">
        <v>16</v>
      </c>
      <c r="B153" s="4">
        <v>46058</v>
      </c>
      <c r="C153" s="5">
        <v>0.58545138888888892</v>
      </c>
      <c r="D153" s="8" t="s">
        <v>1606</v>
      </c>
      <c r="E153" s="8" t="s">
        <v>70</v>
      </c>
      <c r="F153" s="8"/>
      <c r="H153" s="8"/>
      <c r="I153" s="8" t="s">
        <v>11583</v>
      </c>
      <c r="J153" s="8" t="s">
        <v>2990</v>
      </c>
      <c r="K153" t="s">
        <v>11584</v>
      </c>
      <c r="L153" t="s">
        <v>11585</v>
      </c>
      <c r="M153" s="3" t="str">
        <f>HYPERLINK(склад2въезд18[[#This Row],[RelativePath]])</f>
        <v>3 Въезд на базу\E33149364_8_20260205T140303Z.jpg</v>
      </c>
    </row>
    <row r="154" spans="1:13" x14ac:dyDescent="0.25">
      <c r="A154" s="2" t="s">
        <v>16</v>
      </c>
      <c r="B154" s="4">
        <v>46058</v>
      </c>
      <c r="C154" s="5">
        <v>0.58771990740740743</v>
      </c>
      <c r="D154" s="8" t="s">
        <v>290</v>
      </c>
      <c r="E154" s="8" t="s">
        <v>70</v>
      </c>
      <c r="F154" s="8" t="s">
        <v>11637</v>
      </c>
      <c r="G154">
        <v>2</v>
      </c>
      <c r="H154" s="8"/>
      <c r="I154" s="8" t="s">
        <v>11586</v>
      </c>
      <c r="J154" s="8" t="s">
        <v>2990</v>
      </c>
      <c r="K154" t="s">
        <v>11587</v>
      </c>
      <c r="L154" t="s">
        <v>11588</v>
      </c>
      <c r="M154" s="3" t="str">
        <f>HYPERLINK(склад2въезд18[[#This Row],[RelativePath]])</f>
        <v>3 Въезд на базу\E33149364_8_20260205T140619Z.jpg</v>
      </c>
    </row>
    <row r="155" spans="1:13" x14ac:dyDescent="0.25">
      <c r="A155" s="2" t="s">
        <v>16</v>
      </c>
      <c r="B155" s="4">
        <v>46058</v>
      </c>
      <c r="C155" s="5">
        <v>0.60358796296296291</v>
      </c>
      <c r="D155" s="8" t="s">
        <v>650</v>
      </c>
      <c r="E155" s="8" t="s">
        <v>70</v>
      </c>
      <c r="F155" s="8"/>
      <c r="H155" s="8"/>
      <c r="I155" s="8" t="s">
        <v>11589</v>
      </c>
      <c r="J155" s="8" t="s">
        <v>2990</v>
      </c>
      <c r="K155" t="s">
        <v>11590</v>
      </c>
      <c r="L155" t="s">
        <v>11591</v>
      </c>
      <c r="M155" s="3" t="str">
        <f>HYPERLINK(склад2въезд18[[#This Row],[RelativePath]])</f>
        <v>3 Въезд на базу\E33149364_8_20260205T142910Z.jpg</v>
      </c>
    </row>
    <row r="156" spans="1:13" x14ac:dyDescent="0.25">
      <c r="A156" s="2" t="s">
        <v>16</v>
      </c>
      <c r="B156" s="4">
        <v>46058</v>
      </c>
      <c r="C156" s="5">
        <v>0.69644675925925925</v>
      </c>
      <c r="D156" s="8" t="s">
        <v>1606</v>
      </c>
      <c r="E156" s="8" t="s">
        <v>66</v>
      </c>
      <c r="F156" s="8"/>
      <c r="H156" s="8"/>
      <c r="I156" s="8" t="s">
        <v>11592</v>
      </c>
      <c r="J156" s="8" t="s">
        <v>2990</v>
      </c>
      <c r="K156" t="s">
        <v>11593</v>
      </c>
      <c r="L156" t="s">
        <v>11594</v>
      </c>
      <c r="M156" s="3" t="str">
        <f>HYPERLINK(склад2въезд18[[#This Row],[RelativePath]])</f>
        <v>3 Въезд на базу\E33149364_8_20260205T164253Z.jpg</v>
      </c>
    </row>
    <row r="157" spans="1:13" x14ac:dyDescent="0.25">
      <c r="A157" s="2" t="s">
        <v>16</v>
      </c>
      <c r="B157" s="4">
        <v>46058</v>
      </c>
      <c r="C157" s="5">
        <v>0.69665509259259262</v>
      </c>
      <c r="D157" s="8" t="s">
        <v>6171</v>
      </c>
      <c r="E157" s="8" t="s">
        <v>66</v>
      </c>
      <c r="F157" s="8"/>
      <c r="H157" s="8"/>
      <c r="I157" s="8" t="s">
        <v>11595</v>
      </c>
      <c r="J157" s="8" t="s">
        <v>2990</v>
      </c>
      <c r="K157" t="s">
        <v>11596</v>
      </c>
      <c r="L157" t="s">
        <v>11597</v>
      </c>
      <c r="M157" s="3" t="str">
        <f>HYPERLINK(склад2въезд18[[#This Row],[RelativePath]])</f>
        <v>3 Въезд на базу\E33149364_8_20260205T164311Z.jpg</v>
      </c>
    </row>
    <row r="158" spans="1:13" x14ac:dyDescent="0.25">
      <c r="A158" s="2" t="s">
        <v>16</v>
      </c>
      <c r="B158" s="4">
        <v>46058</v>
      </c>
      <c r="C158" s="5">
        <v>0.69680555555555557</v>
      </c>
      <c r="D158" s="8" t="s">
        <v>650</v>
      </c>
      <c r="E158" s="8" t="s">
        <v>66</v>
      </c>
      <c r="F158" s="8"/>
      <c r="H158" s="8"/>
      <c r="I158" s="8" t="s">
        <v>11598</v>
      </c>
      <c r="J158" s="8" t="s">
        <v>2990</v>
      </c>
      <c r="K158" t="s">
        <v>11599</v>
      </c>
      <c r="L158" t="s">
        <v>11600</v>
      </c>
      <c r="M158" s="3" t="str">
        <f>HYPERLINK(склад2въезд18[[#This Row],[RelativePath]])</f>
        <v>3 Въезд на базу\E33149364_8_20260205T164324Z.jpg</v>
      </c>
    </row>
    <row r="159" spans="1:13" x14ac:dyDescent="0.25">
      <c r="A159" s="2" t="s">
        <v>17</v>
      </c>
      <c r="B159" s="4">
        <v>46059</v>
      </c>
      <c r="C159" s="5">
        <v>0.55505787037037035</v>
      </c>
      <c r="D159" s="8" t="s">
        <v>4</v>
      </c>
      <c r="E159" s="8" t="s">
        <v>8803</v>
      </c>
      <c r="F159" s="8"/>
      <c r="H159" s="8"/>
      <c r="I159" s="8" t="s">
        <v>11601</v>
      </c>
      <c r="J159" s="8" t="s">
        <v>2990</v>
      </c>
      <c r="K159" t="s">
        <v>11602</v>
      </c>
      <c r="L159" t="s">
        <v>11603</v>
      </c>
      <c r="M159" s="3" t="str">
        <f>HYPERLINK(склад2въезд18[[#This Row],[RelativePath]])</f>
        <v>3 Въезд на базу\E33149364_8_20260206T131917Z.jpg</v>
      </c>
    </row>
    <row r="160" spans="1:13" x14ac:dyDescent="0.25">
      <c r="A160" s="2" t="s">
        <v>18</v>
      </c>
      <c r="B160" s="4">
        <v>46060</v>
      </c>
      <c r="C160" s="5">
        <v>0.66696759259259264</v>
      </c>
      <c r="D160" s="8" t="s">
        <v>6171</v>
      </c>
      <c r="E160" s="8" t="s">
        <v>11782</v>
      </c>
      <c r="F160" s="8"/>
      <c r="H160" s="8"/>
      <c r="I160" s="8" t="s">
        <v>11664</v>
      </c>
      <c r="J160" s="8" t="s">
        <v>2990</v>
      </c>
      <c r="K160" t="s">
        <v>11665</v>
      </c>
      <c r="L160" t="s">
        <v>11666</v>
      </c>
      <c r="M160" s="3" t="str">
        <f>HYPERLINK(склад2въезд18[[#This Row],[RelativePath]])</f>
        <v>3 Въезд на базу\E33149364_8_20260207T160026Z.jpg</v>
      </c>
    </row>
    <row r="161" spans="1:13" x14ac:dyDescent="0.25">
      <c r="A161" s="2" t="s">
        <v>22</v>
      </c>
      <c r="B161" s="4">
        <v>46061</v>
      </c>
      <c r="C161" s="5">
        <v>0.72521990740740738</v>
      </c>
      <c r="D161" s="8" t="s">
        <v>2004</v>
      </c>
      <c r="E161" s="8" t="s">
        <v>8</v>
      </c>
      <c r="F161" s="8"/>
      <c r="H161" s="8"/>
      <c r="I161" s="8" t="s">
        <v>11667</v>
      </c>
      <c r="J161" s="8" t="s">
        <v>2990</v>
      </c>
      <c r="K161" t="s">
        <v>11668</v>
      </c>
      <c r="L161" t="s">
        <v>11669</v>
      </c>
      <c r="M161" s="3" t="str">
        <f>HYPERLINK(склад2въезд18[[#This Row],[RelativePath]])</f>
        <v>3 Въезд на базу\E33149364_8_20260208T172419Z.jpg</v>
      </c>
    </row>
  </sheetData>
  <conditionalFormatting sqref="D162:D172 E162:E175 G2:H161 D2:E161">
    <cfRule type="containsText" dxfId="740" priority="14" operator="containsText" text="Выезд с территории">
      <formula>NOT(ISERROR(SEARCH("Выезд с территории",D2)))</formula>
    </cfRule>
  </conditionalFormatting>
  <conditionalFormatting sqref="F2:F161">
    <cfRule type="notContainsText" dxfId="739" priority="13" operator="notContains" text="порожний">
      <formula>ISERROR(SEARCH("порожний",F2))</formula>
    </cfRule>
  </conditionalFormatting>
  <conditionalFormatting sqref="E2:E175">
    <cfRule type="containsText" dxfId="738" priority="11" operator="containsText" text="Газель базы">
      <formula>NOT(ISERROR(SEARCH("Газель базы",E2)))</formula>
    </cfRule>
    <cfRule type="containsText" dxfId="737" priority="12" operator="containsText" text="Погрузчик базы">
      <formula>NOT(ISERROR(SEARCH("Погрузчик базы",E2)))</formula>
    </cfRule>
  </conditionalFormatting>
  <conditionalFormatting sqref="E2:E175">
    <cfRule type="containsText" dxfId="736" priority="10" operator="containsText" text="Трактор базы">
      <formula>NOT(ISERROR(SEARCH("Трактор базы",E2)))</formula>
    </cfRule>
  </conditionalFormatting>
  <conditionalFormatting sqref="A2:C161">
    <cfRule type="expression" dxfId="735" priority="9">
      <formula>$A2="пн"</formula>
    </cfRule>
  </conditionalFormatting>
  <conditionalFormatting sqref="A2:C163">
    <cfRule type="expression" dxfId="734" priority="3">
      <formula>$A2="вс"</formula>
    </cfRule>
    <cfRule type="expression" dxfId="733" priority="4">
      <formula>$A2="сб"</formula>
    </cfRule>
    <cfRule type="expression" dxfId="732" priority="5">
      <formula>$A2="пт"</formula>
    </cfRule>
    <cfRule type="expression" dxfId="731" priority="6">
      <formula>$A2="чт"</formula>
    </cfRule>
    <cfRule type="expression" dxfId="730" priority="7">
      <formula>$A2="ср"</formula>
    </cfRule>
    <cfRule type="expression" dxfId="729" priority="8">
      <formula>$A2="вт"</formula>
    </cfRule>
  </conditionalFormatting>
  <conditionalFormatting sqref="D2:D172">
    <cfRule type="containsText" dxfId="72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2">
    <cfRule type="containsText" dxfId="72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177"/>
  <sheetViews>
    <sheetView zoomScale="90" zoomScaleNormal="90" workbookViewId="0">
      <pane ySplit="1" topLeftCell="A164" activePane="bottomLeft" state="frozen"/>
      <selection pane="bottomLeft" activeCell="I176" sqref="I176:I17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42578125" bestFit="1" customWidth="1"/>
    <col min="5" max="5" width="41" bestFit="1" customWidth="1"/>
    <col min="6" max="6" width="20.140625" bestFit="1" customWidth="1"/>
    <col min="7" max="7" width="7.28515625" bestFit="1" customWidth="1"/>
    <col min="8" max="8" width="41.85546875" bestFit="1" customWidth="1"/>
    <col min="9" max="9" width="36.7109375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291</v>
      </c>
      <c r="J2" s="8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295</v>
      </c>
      <c r="J3" s="8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298</v>
      </c>
      <c r="J4" s="8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301</v>
      </c>
      <c r="J5" s="8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8" t="s">
        <v>4</v>
      </c>
      <c r="E6" s="8" t="s">
        <v>8</v>
      </c>
      <c r="F6" s="8"/>
      <c r="H6" s="8" t="s">
        <v>331</v>
      </c>
      <c r="I6" s="8" t="s">
        <v>304</v>
      </c>
      <c r="J6" s="8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8" t="s">
        <v>4</v>
      </c>
      <c r="E7" s="8" t="s">
        <v>8</v>
      </c>
      <c r="F7" s="8"/>
      <c r="H7" s="8" t="s">
        <v>331</v>
      </c>
      <c r="I7" s="8" t="s">
        <v>307</v>
      </c>
      <c r="J7" s="8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8" t="s">
        <v>4</v>
      </c>
      <c r="E8" s="8" t="s">
        <v>8</v>
      </c>
      <c r="F8" s="8"/>
      <c r="H8" s="8" t="s">
        <v>332</v>
      </c>
      <c r="I8" s="8" t="s">
        <v>310</v>
      </c>
      <c r="J8" s="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313</v>
      </c>
      <c r="J9" s="8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316</v>
      </c>
      <c r="J10" s="8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8" t="s">
        <v>4</v>
      </c>
      <c r="E11" s="8" t="s">
        <v>8</v>
      </c>
      <c r="F11" s="8"/>
      <c r="H11" s="8" t="s">
        <v>331</v>
      </c>
      <c r="I11" s="8" t="s">
        <v>319</v>
      </c>
      <c r="J11" s="8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322</v>
      </c>
      <c r="J12" s="8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325</v>
      </c>
      <c r="J13" s="8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328</v>
      </c>
      <c r="J14" s="8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8" t="s">
        <v>4</v>
      </c>
      <c r="E15" s="8" t="s">
        <v>8</v>
      </c>
      <c r="F15" s="8"/>
      <c r="H15" s="8" t="s">
        <v>2009</v>
      </c>
      <c r="I15" s="8" t="s">
        <v>1238</v>
      </c>
      <c r="J15" s="8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8" t="s">
        <v>1606</v>
      </c>
      <c r="E16" s="8" t="s">
        <v>56</v>
      </c>
      <c r="F16" s="8" t="s">
        <v>2010</v>
      </c>
      <c r="G16">
        <v>1</v>
      </c>
      <c r="H16" s="8"/>
      <c r="I16" s="8" t="s">
        <v>1241</v>
      </c>
      <c r="J16" s="8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8" t="s">
        <v>1094</v>
      </c>
      <c r="E17" s="8" t="s">
        <v>70</v>
      </c>
      <c r="F17" s="8" t="s">
        <v>2010</v>
      </c>
      <c r="H17" s="8" t="s">
        <v>2011</v>
      </c>
      <c r="I17" s="8" t="s">
        <v>1244</v>
      </c>
      <c r="J17" s="8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8" t="s">
        <v>2012</v>
      </c>
      <c r="E18" s="8" t="s">
        <v>70</v>
      </c>
      <c r="F18" s="8" t="s">
        <v>2010</v>
      </c>
      <c r="H18" s="8" t="s">
        <v>2011</v>
      </c>
      <c r="I18" s="8" t="s">
        <v>1247</v>
      </c>
      <c r="J18" s="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8" t="s">
        <v>650</v>
      </c>
      <c r="E19" s="8" t="s">
        <v>70</v>
      </c>
      <c r="F19" s="8" t="s">
        <v>2010</v>
      </c>
      <c r="H19" s="8"/>
      <c r="I19" s="8" t="s">
        <v>1250</v>
      </c>
      <c r="J19" s="8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8" t="s">
        <v>1606</v>
      </c>
      <c r="E20" s="8" t="s">
        <v>2001</v>
      </c>
      <c r="F20" s="8"/>
      <c r="H20" s="8"/>
      <c r="I20" s="8" t="s">
        <v>1253</v>
      </c>
      <c r="J20" s="8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8" t="s">
        <v>650</v>
      </c>
      <c r="E21" s="8" t="s">
        <v>2001</v>
      </c>
      <c r="F21" s="8"/>
      <c r="H21" s="8"/>
      <c r="I21" s="8" t="s">
        <v>1256</v>
      </c>
      <c r="J21" s="8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8" t="s">
        <v>1606</v>
      </c>
      <c r="E22" s="8" t="s">
        <v>2002</v>
      </c>
      <c r="F22" s="8"/>
      <c r="H22" s="8"/>
      <c r="I22" s="8" t="s">
        <v>1259</v>
      </c>
      <c r="J22" s="8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8" t="s">
        <v>1606</v>
      </c>
      <c r="E23" s="8" t="s">
        <v>70</v>
      </c>
      <c r="F23" s="8" t="s">
        <v>2010</v>
      </c>
      <c r="H23" s="8"/>
      <c r="I23" s="8" t="s">
        <v>1262</v>
      </c>
      <c r="J23" s="8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8" t="s">
        <v>4</v>
      </c>
      <c r="E24" s="8" t="s">
        <v>8</v>
      </c>
      <c r="F24" s="8"/>
      <c r="H24" s="8"/>
      <c r="I24" s="8" t="s">
        <v>1265</v>
      </c>
      <c r="J24" s="8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8" t="s">
        <v>2013</v>
      </c>
      <c r="E25" s="8" t="s">
        <v>56</v>
      </c>
      <c r="F25" s="8"/>
      <c r="H25" s="8"/>
      <c r="I25" s="8" t="s">
        <v>1268</v>
      </c>
      <c r="J25" s="8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8" t="s">
        <v>289</v>
      </c>
      <c r="E26" s="8" t="s">
        <v>56</v>
      </c>
      <c r="F26" s="8" t="s">
        <v>200</v>
      </c>
      <c r="H26" s="8"/>
      <c r="I26" s="8" t="s">
        <v>1271</v>
      </c>
      <c r="J26" s="8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8" t="s">
        <v>650</v>
      </c>
      <c r="E27" s="8" t="s">
        <v>2002</v>
      </c>
      <c r="F27" s="8"/>
      <c r="H27" s="8"/>
      <c r="I27" s="8" t="s">
        <v>1274</v>
      </c>
      <c r="J27" s="8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8" t="s">
        <v>650</v>
      </c>
      <c r="E28" s="8" t="s">
        <v>56</v>
      </c>
      <c r="F28" s="8" t="s">
        <v>200</v>
      </c>
      <c r="H28" s="8"/>
      <c r="I28" s="8" t="s">
        <v>1277</v>
      </c>
      <c r="J28" s="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8" t="s">
        <v>4</v>
      </c>
      <c r="E29" s="8" t="s">
        <v>8</v>
      </c>
      <c r="F29" s="8"/>
      <c r="H29" s="8"/>
      <c r="I29" s="8" t="s">
        <v>1280</v>
      </c>
      <c r="J29" s="8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8" t="s">
        <v>4</v>
      </c>
      <c r="E30" s="8" t="s">
        <v>8</v>
      </c>
      <c r="F30" s="8"/>
      <c r="H30" s="8" t="s">
        <v>1625</v>
      </c>
      <c r="I30" s="8" t="s">
        <v>1283</v>
      </c>
      <c r="J30" s="8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8" t="s">
        <v>4</v>
      </c>
      <c r="E31" s="8" t="s">
        <v>8</v>
      </c>
      <c r="F31" s="8"/>
      <c r="H31" s="8" t="s">
        <v>2009</v>
      </c>
      <c r="I31" s="8" t="s">
        <v>1286</v>
      </c>
      <c r="J31" s="8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8" t="s">
        <v>4</v>
      </c>
      <c r="E32" s="8" t="s">
        <v>8</v>
      </c>
      <c r="F32" s="8"/>
      <c r="H32" s="8" t="s">
        <v>2004</v>
      </c>
      <c r="I32" s="8" t="s">
        <v>1289</v>
      </c>
      <c r="J32" s="8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8" t="s">
        <v>4</v>
      </c>
      <c r="E33" s="8" t="s">
        <v>8</v>
      </c>
      <c r="F33" s="8"/>
      <c r="H33" s="8" t="s">
        <v>1625</v>
      </c>
      <c r="I33" s="8" t="s">
        <v>1292</v>
      </c>
      <c r="J33" s="8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8" t="s">
        <v>2004</v>
      </c>
      <c r="E34" s="8"/>
      <c r="F34" s="8"/>
      <c r="H34" s="8"/>
      <c r="I34" s="8" t="s">
        <v>2133</v>
      </c>
      <c r="J34" s="8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8" t="s">
        <v>4</v>
      </c>
      <c r="E35" s="8" t="s">
        <v>2927</v>
      </c>
      <c r="F35" s="8" t="s">
        <v>58</v>
      </c>
      <c r="H35" s="8"/>
      <c r="I35" s="8" t="s">
        <v>2136</v>
      </c>
      <c r="J35" s="8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8" t="s">
        <v>4</v>
      </c>
      <c r="E36" s="8" t="s">
        <v>8</v>
      </c>
      <c r="F36" s="8"/>
      <c r="H36" s="8" t="s">
        <v>2931</v>
      </c>
      <c r="I36" s="8" t="s">
        <v>2139</v>
      </c>
      <c r="J36" s="8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8" t="s">
        <v>2004</v>
      </c>
      <c r="E37" s="8"/>
      <c r="F37" s="8"/>
      <c r="H37" s="8"/>
      <c r="I37" s="8" t="s">
        <v>2142</v>
      </c>
      <c r="J37" s="8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8" t="s">
        <v>2004</v>
      </c>
      <c r="E38" s="8"/>
      <c r="F38" s="8"/>
      <c r="H38" s="8"/>
      <c r="I38" s="8" t="s">
        <v>2145</v>
      </c>
      <c r="J38" s="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8" t="s">
        <v>2004</v>
      </c>
      <c r="E39" s="8"/>
      <c r="F39" s="8"/>
      <c r="H39" s="8"/>
      <c r="I39" s="8" t="s">
        <v>2148</v>
      </c>
      <c r="J39" s="8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8" t="s">
        <v>2004</v>
      </c>
      <c r="E40" s="8"/>
      <c r="F40" s="8"/>
      <c r="H40" s="8"/>
      <c r="I40" s="8" t="s">
        <v>2151</v>
      </c>
      <c r="J40" s="8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8" t="s">
        <v>4</v>
      </c>
      <c r="E41" s="8" t="s">
        <v>8</v>
      </c>
      <c r="F41" s="8"/>
      <c r="H41" s="8"/>
      <c r="I41" s="8" t="s">
        <v>3381</v>
      </c>
      <c r="J41" s="8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3384</v>
      </c>
      <c r="J42" s="8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3387</v>
      </c>
      <c r="J43" s="8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8" t="s">
        <v>4</v>
      </c>
      <c r="E44" s="8" t="s">
        <v>8</v>
      </c>
      <c r="F44" s="8"/>
      <c r="H44" s="8"/>
      <c r="I44" s="8" t="s">
        <v>3390</v>
      </c>
      <c r="J44" s="8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8" t="s">
        <v>4</v>
      </c>
      <c r="E45" s="8" t="s">
        <v>8</v>
      </c>
      <c r="F45" s="8"/>
      <c r="H45" s="8"/>
      <c r="I45" s="8" t="s">
        <v>3393</v>
      </c>
      <c r="J45" s="8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8" t="s">
        <v>4</v>
      </c>
      <c r="E46" s="8" t="s">
        <v>8</v>
      </c>
      <c r="F46" s="8"/>
      <c r="H46" s="8"/>
      <c r="I46" s="8" t="s">
        <v>3396</v>
      </c>
      <c r="J46" s="8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8" t="s">
        <v>4</v>
      </c>
      <c r="E47" s="8" t="s">
        <v>8</v>
      </c>
      <c r="F47" s="8"/>
      <c r="H47" s="8"/>
      <c r="I47" s="8" t="s">
        <v>3399</v>
      </c>
      <c r="J47" s="8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8" t="s">
        <v>4</v>
      </c>
      <c r="E48" s="8" t="s">
        <v>4194</v>
      </c>
      <c r="F48" s="8" t="s">
        <v>4196</v>
      </c>
      <c r="H48" s="8" t="s">
        <v>4205</v>
      </c>
      <c r="I48" s="8" t="s">
        <v>3402</v>
      </c>
      <c r="J48" s="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8" t="s">
        <v>650</v>
      </c>
      <c r="E49" s="8" t="s">
        <v>55</v>
      </c>
      <c r="F49" s="8" t="s">
        <v>51</v>
      </c>
      <c r="H49" s="8"/>
      <c r="I49" s="8" t="s">
        <v>4264</v>
      </c>
      <c r="J49" s="8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8" t="s">
        <v>1606</v>
      </c>
      <c r="E50" s="8" t="s">
        <v>55</v>
      </c>
      <c r="F50" s="8" t="s">
        <v>51</v>
      </c>
      <c r="H50" s="8"/>
      <c r="I50" s="8" t="s">
        <v>4267</v>
      </c>
      <c r="J50" s="8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8" t="s">
        <v>290</v>
      </c>
      <c r="E51" s="8" t="s">
        <v>4194</v>
      </c>
      <c r="F51" s="8" t="s">
        <v>5093</v>
      </c>
      <c r="H51" s="8"/>
      <c r="I51" s="8" t="s">
        <v>4450</v>
      </c>
      <c r="J51" s="8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8" t="s">
        <v>290</v>
      </c>
      <c r="E52" s="8" t="s">
        <v>4194</v>
      </c>
      <c r="F52" s="8" t="s">
        <v>5093</v>
      </c>
      <c r="H52" s="8"/>
      <c r="I52" s="8" t="s">
        <v>4453</v>
      </c>
      <c r="J52" s="8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8" t="s">
        <v>650</v>
      </c>
      <c r="E53" s="8" t="s">
        <v>4194</v>
      </c>
      <c r="F53" s="8"/>
      <c r="H53" s="8"/>
      <c r="I53" s="8" t="s">
        <v>4456</v>
      </c>
      <c r="J53" s="8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8" t="s">
        <v>289</v>
      </c>
      <c r="E54" s="8" t="s">
        <v>70</v>
      </c>
      <c r="F54" s="8" t="s">
        <v>5093</v>
      </c>
      <c r="H54" s="8" t="s">
        <v>5094</v>
      </c>
      <c r="I54" s="8" t="s">
        <v>4459</v>
      </c>
      <c r="J54" s="8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8" t="s">
        <v>290</v>
      </c>
      <c r="E55" s="8" t="s">
        <v>70</v>
      </c>
      <c r="F55" s="8" t="s">
        <v>5093</v>
      </c>
      <c r="H55" s="8" t="s">
        <v>5094</v>
      </c>
      <c r="I55" s="8" t="s">
        <v>5090</v>
      </c>
      <c r="J55" s="8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8" t="s">
        <v>650</v>
      </c>
      <c r="E56" s="8" t="s">
        <v>70</v>
      </c>
      <c r="F56" s="8"/>
      <c r="H56" s="8"/>
      <c r="I56" s="8" t="s">
        <v>4462</v>
      </c>
      <c r="J56" s="8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8" t="s">
        <v>2004</v>
      </c>
      <c r="E57" s="8" t="s">
        <v>8</v>
      </c>
      <c r="F57" s="8"/>
      <c r="H57" s="8"/>
      <c r="I57" s="8" t="s">
        <v>4465</v>
      </c>
      <c r="J57" s="8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8" t="s">
        <v>289</v>
      </c>
      <c r="E58" s="8" t="s">
        <v>70</v>
      </c>
      <c r="F58" s="8" t="s">
        <v>5093</v>
      </c>
      <c r="H58" s="8" t="s">
        <v>5095</v>
      </c>
      <c r="I58" s="8" t="s">
        <v>4468</v>
      </c>
      <c r="J58" s="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8" t="s">
        <v>289</v>
      </c>
      <c r="E59" s="8" t="s">
        <v>70</v>
      </c>
      <c r="F59" s="8" t="s">
        <v>5093</v>
      </c>
      <c r="H59" s="8" t="s">
        <v>2936</v>
      </c>
      <c r="I59" s="8" t="s">
        <v>4471</v>
      </c>
      <c r="J59" s="8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8" t="s">
        <v>289</v>
      </c>
      <c r="E60" s="8" t="s">
        <v>70</v>
      </c>
      <c r="F60" s="8" t="s">
        <v>5093</v>
      </c>
      <c r="H60" s="8" t="s">
        <v>2936</v>
      </c>
      <c r="I60" s="8" t="s">
        <v>4474</v>
      </c>
      <c r="J60" s="8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8" t="s">
        <v>289</v>
      </c>
      <c r="E61" s="8" t="s">
        <v>70</v>
      </c>
      <c r="F61" s="8" t="s">
        <v>5093</v>
      </c>
      <c r="H61" s="8" t="s">
        <v>5096</v>
      </c>
      <c r="I61" s="8" t="s">
        <v>4477</v>
      </c>
      <c r="J61" s="8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8" t="s">
        <v>650</v>
      </c>
      <c r="E62" s="8" t="s">
        <v>70</v>
      </c>
      <c r="F62" s="8"/>
      <c r="H62" s="8"/>
      <c r="I62" s="8" t="s">
        <v>4480</v>
      </c>
      <c r="J62" s="8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8" t="s">
        <v>4</v>
      </c>
      <c r="E63" s="8" t="s">
        <v>8</v>
      </c>
      <c r="F63" s="8"/>
      <c r="H63" s="8"/>
      <c r="I63" s="8" t="s">
        <v>4483</v>
      </c>
      <c r="J63" s="8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8" t="s">
        <v>2004</v>
      </c>
      <c r="E64" s="8" t="s">
        <v>8</v>
      </c>
      <c r="F64" s="8"/>
      <c r="H64" s="8"/>
      <c r="I64" s="8" t="s">
        <v>4486</v>
      </c>
      <c r="J64" s="8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8" t="s">
        <v>4</v>
      </c>
      <c r="E65" s="8" t="s">
        <v>8</v>
      </c>
      <c r="F65" s="8"/>
      <c r="H65" s="8"/>
      <c r="I65" s="8" t="s">
        <v>5226</v>
      </c>
      <c r="J65" s="8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8" t="s">
        <v>2004</v>
      </c>
      <c r="E66" s="8" t="s">
        <v>8</v>
      </c>
      <c r="F66" s="8"/>
      <c r="H66" s="8"/>
      <c r="I66" s="8" t="s">
        <v>5297</v>
      </c>
      <c r="J66" s="8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8" t="s">
        <v>290</v>
      </c>
      <c r="E67" s="8" t="s">
        <v>5505</v>
      </c>
      <c r="F67" s="8" t="s">
        <v>6173</v>
      </c>
      <c r="H67" s="8"/>
      <c r="I67" s="8" t="s">
        <v>5696</v>
      </c>
      <c r="J67" s="8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8" t="s">
        <v>290</v>
      </c>
      <c r="E68" s="8" t="s">
        <v>5505</v>
      </c>
      <c r="F68" s="8" t="s">
        <v>6173</v>
      </c>
      <c r="H68" s="8" t="s">
        <v>2936</v>
      </c>
      <c r="I68" s="8" t="s">
        <v>5699</v>
      </c>
      <c r="J68" s="8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8" t="s">
        <v>290</v>
      </c>
      <c r="E69" s="8" t="s">
        <v>5505</v>
      </c>
      <c r="F69" s="8" t="s">
        <v>6173</v>
      </c>
      <c r="H69" s="8" t="s">
        <v>2936</v>
      </c>
      <c r="I69" s="8" t="s">
        <v>5702</v>
      </c>
      <c r="J69" s="8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8" t="s">
        <v>2004</v>
      </c>
      <c r="E70" s="8" t="s">
        <v>8</v>
      </c>
      <c r="F70" s="8"/>
      <c r="H70" s="8"/>
      <c r="I70" s="8" t="s">
        <v>5705</v>
      </c>
      <c r="J70" s="8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8" t="s">
        <v>4</v>
      </c>
      <c r="E71" s="8" t="s">
        <v>8</v>
      </c>
      <c r="F71" s="8"/>
      <c r="H71" s="8"/>
      <c r="I71" s="8" t="s">
        <v>5828</v>
      </c>
      <c r="J71" s="8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8" t="s">
        <v>4</v>
      </c>
      <c r="E72" s="8" t="s">
        <v>8</v>
      </c>
      <c r="F72" s="8"/>
      <c r="H72" s="8"/>
      <c r="I72" s="8" t="s">
        <v>5831</v>
      </c>
      <c r="J72" s="8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8" t="s">
        <v>4</v>
      </c>
      <c r="E73" s="8" t="s">
        <v>8</v>
      </c>
      <c r="F73" s="8"/>
      <c r="H73" s="8"/>
      <c r="I73" s="8" t="s">
        <v>5834</v>
      </c>
      <c r="J73" s="8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8" t="s">
        <v>1606</v>
      </c>
      <c r="E74" s="8" t="s">
        <v>55</v>
      </c>
      <c r="F74" s="8" t="s">
        <v>51</v>
      </c>
      <c r="H74" s="8"/>
      <c r="I74" s="8" t="s">
        <v>5837</v>
      </c>
      <c r="J74" s="8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8" t="s">
        <v>4</v>
      </c>
      <c r="E75" s="8" t="s">
        <v>6167</v>
      </c>
      <c r="F75" s="8" t="s">
        <v>58</v>
      </c>
      <c r="H75" s="8"/>
      <c r="I75" s="8" t="s">
        <v>6044</v>
      </c>
      <c r="J75" s="8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8" t="s">
        <v>4</v>
      </c>
      <c r="E76" s="8" t="s">
        <v>6167</v>
      </c>
      <c r="F76" s="8" t="s">
        <v>58</v>
      </c>
      <c r="H76" s="8" t="s">
        <v>4205</v>
      </c>
      <c r="I76" s="8" t="s">
        <v>6047</v>
      </c>
      <c r="J76" s="8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8" t="s">
        <v>1606</v>
      </c>
      <c r="E77" s="8" t="s">
        <v>6166</v>
      </c>
      <c r="F77" s="8" t="s">
        <v>51</v>
      </c>
      <c r="H77" s="8"/>
      <c r="I77" s="8" t="s">
        <v>6050</v>
      </c>
      <c r="J77" s="8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8" t="s">
        <v>1606</v>
      </c>
      <c r="E78" s="8" t="s">
        <v>6165</v>
      </c>
      <c r="F78" s="8" t="s">
        <v>51</v>
      </c>
      <c r="H78" s="8"/>
      <c r="I78" s="8" t="s">
        <v>6053</v>
      </c>
      <c r="J78" s="8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8" t="s">
        <v>650</v>
      </c>
      <c r="E79" s="8" t="s">
        <v>6166</v>
      </c>
      <c r="F79" s="8" t="s">
        <v>51</v>
      </c>
      <c r="H79" s="8"/>
      <c r="I79" s="8" t="s">
        <v>6056</v>
      </c>
      <c r="J79" s="8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8" t="s">
        <v>650</v>
      </c>
      <c r="E80" s="8" t="s">
        <v>6165</v>
      </c>
      <c r="F80" s="8" t="s">
        <v>51</v>
      </c>
      <c r="H80" s="8"/>
      <c r="I80" s="8" t="s">
        <v>6059</v>
      </c>
      <c r="J80" s="8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8" t="s">
        <v>1606</v>
      </c>
      <c r="E81" s="8" t="s">
        <v>6167</v>
      </c>
      <c r="F81" s="8" t="s">
        <v>58</v>
      </c>
      <c r="H81" s="8"/>
      <c r="I81" s="8" t="s">
        <v>6062</v>
      </c>
      <c r="J81" s="8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8" t="s">
        <v>6174</v>
      </c>
      <c r="E82" s="8" t="s">
        <v>6167</v>
      </c>
      <c r="F82" s="8" t="s">
        <v>58</v>
      </c>
      <c r="H82" s="8"/>
      <c r="I82" s="8" t="s">
        <v>6161</v>
      </c>
      <c r="J82" s="8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8" t="s">
        <v>2004</v>
      </c>
      <c r="E83" s="8" t="s">
        <v>8</v>
      </c>
      <c r="F83" s="8"/>
      <c r="H83" s="8"/>
      <c r="I83" s="8" t="s">
        <v>6201</v>
      </c>
      <c r="J83" s="8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8" t="s">
        <v>4</v>
      </c>
      <c r="E84" s="8" t="s">
        <v>8</v>
      </c>
      <c r="F84" s="8"/>
      <c r="H84" s="8"/>
      <c r="I84" s="8" t="s">
        <v>6346</v>
      </c>
      <c r="J84" s="8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8" t="s">
        <v>289</v>
      </c>
      <c r="E85" s="8" t="s">
        <v>70</v>
      </c>
      <c r="F85" s="8" t="s">
        <v>6342</v>
      </c>
      <c r="H85" s="8"/>
      <c r="I85" s="8" t="s">
        <v>6310</v>
      </c>
      <c r="J85" s="8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s="8" t="s">
        <v>1606</v>
      </c>
      <c r="E86" s="8" t="s">
        <v>6656</v>
      </c>
      <c r="F86" s="8" t="s">
        <v>51</v>
      </c>
      <c r="H86" s="8"/>
      <c r="I86" s="8" t="s">
        <v>6545</v>
      </c>
      <c r="J86" s="8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s="8" t="s">
        <v>289</v>
      </c>
      <c r="E87" s="8" t="s">
        <v>6656</v>
      </c>
      <c r="F87" s="8" t="s">
        <v>6657</v>
      </c>
      <c r="H87" s="8"/>
      <c r="I87" s="8" t="s">
        <v>6548</v>
      </c>
      <c r="J87" s="8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s="8" t="s">
        <v>4</v>
      </c>
      <c r="E88" s="8" t="s">
        <v>6867</v>
      </c>
      <c r="F88" s="8"/>
      <c r="H88" s="8"/>
      <c r="I88" s="8" t="s">
        <v>6703</v>
      </c>
      <c r="J88" s="8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s="8" t="s">
        <v>650</v>
      </c>
      <c r="E89" s="8" t="s">
        <v>6190</v>
      </c>
      <c r="F89" s="8" t="s">
        <v>51</v>
      </c>
      <c r="H89" s="8"/>
      <c r="I89" s="8" t="s">
        <v>6706</v>
      </c>
      <c r="J89" s="8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s="8" t="s">
        <v>1606</v>
      </c>
      <c r="E90" s="8" t="s">
        <v>6190</v>
      </c>
      <c r="F90" s="8" t="s">
        <v>51</v>
      </c>
      <c r="H90" s="8"/>
      <c r="I90" s="8" t="s">
        <v>6709</v>
      </c>
      <c r="J90" s="8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s="8" t="s">
        <v>2004</v>
      </c>
      <c r="E91" s="8" t="s">
        <v>8</v>
      </c>
      <c r="F91" s="8"/>
      <c r="H91" s="8"/>
      <c r="I91" s="8" t="s">
        <v>6905</v>
      </c>
      <c r="J91" s="8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s="8" t="s">
        <v>2004</v>
      </c>
      <c r="E92" s="8" t="s">
        <v>8</v>
      </c>
      <c r="F92" s="8"/>
      <c r="H92" s="8"/>
      <c r="I92" s="8" t="s">
        <v>6908</v>
      </c>
      <c r="J92" s="8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s="8" t="s">
        <v>2004</v>
      </c>
      <c r="E93" s="8" t="s">
        <v>8</v>
      </c>
      <c r="F93" s="8"/>
      <c r="H93" s="8"/>
      <c r="I93" s="8" t="s">
        <v>7184</v>
      </c>
      <c r="J93" s="8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s="8" t="s">
        <v>2004</v>
      </c>
      <c r="E94" s="8" t="s">
        <v>8</v>
      </c>
      <c r="F94" s="8"/>
      <c r="H94" s="8"/>
      <c r="I94" s="8" t="s">
        <v>7227</v>
      </c>
      <c r="J94" s="8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s="8" t="s">
        <v>1606</v>
      </c>
      <c r="E95" s="8" t="s">
        <v>7410</v>
      </c>
      <c r="F95" s="8" t="s">
        <v>60</v>
      </c>
      <c r="H95" s="8"/>
      <c r="I95" s="8" t="s">
        <v>7230</v>
      </c>
      <c r="J95" s="8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s="8" t="s">
        <v>4216</v>
      </c>
      <c r="E96" s="8" t="s">
        <v>7410</v>
      </c>
      <c r="F96" s="8" t="s">
        <v>60</v>
      </c>
      <c r="H96" s="8"/>
      <c r="I96" s="8" t="s">
        <v>7233</v>
      </c>
      <c r="J96" s="8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s="8" t="s">
        <v>290</v>
      </c>
      <c r="E97" s="8" t="s">
        <v>7410</v>
      </c>
      <c r="F97" s="8" t="s">
        <v>60</v>
      </c>
      <c r="H97" s="8"/>
      <c r="I97" s="8" t="s">
        <v>7236</v>
      </c>
      <c r="J97" s="8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s="8" t="s">
        <v>650</v>
      </c>
      <c r="E98" s="8" t="s">
        <v>7410</v>
      </c>
      <c r="F98" s="8" t="s">
        <v>51</v>
      </c>
      <c r="H98" s="8"/>
      <c r="I98" s="8" t="s">
        <v>7239</v>
      </c>
      <c r="J98" s="8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s="8" t="s">
        <v>2004</v>
      </c>
      <c r="E99" s="8" t="s">
        <v>8</v>
      </c>
      <c r="F99" s="8"/>
      <c r="H99" s="8"/>
      <c r="I99" s="8" t="s">
        <v>7568</v>
      </c>
      <c r="J99" s="8" t="s">
        <v>2991</v>
      </c>
      <c r="K99" t="s">
        <v>7569</v>
      </c>
      <c r="L99" t="s">
        <v>7570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s="8" t="s">
        <v>1606</v>
      </c>
      <c r="E100" s="8" t="s">
        <v>7706</v>
      </c>
      <c r="F100" s="8" t="s">
        <v>60</v>
      </c>
      <c r="H100" s="8"/>
      <c r="I100" s="8" t="s">
        <v>7571</v>
      </c>
      <c r="J100" s="8" t="s">
        <v>2991</v>
      </c>
      <c r="K100" t="s">
        <v>7572</v>
      </c>
      <c r="L100" t="s">
        <v>7573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s="8" t="s">
        <v>6171</v>
      </c>
      <c r="E101" s="8" t="s">
        <v>7706</v>
      </c>
      <c r="F101" s="8" t="s">
        <v>60</v>
      </c>
      <c r="H101" s="8"/>
      <c r="I101" s="8" t="s">
        <v>7574</v>
      </c>
      <c r="J101" s="8" t="s">
        <v>2991</v>
      </c>
      <c r="K101" t="s">
        <v>7575</v>
      </c>
      <c r="L101" t="s">
        <v>7576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s="8" t="s">
        <v>650</v>
      </c>
      <c r="E102" s="8" t="s">
        <v>7706</v>
      </c>
      <c r="F102" s="8" t="s">
        <v>51</v>
      </c>
      <c r="H102" s="8"/>
      <c r="I102" s="8" t="s">
        <v>7577</v>
      </c>
      <c r="J102" s="8" t="s">
        <v>2991</v>
      </c>
      <c r="K102" t="s">
        <v>7578</v>
      </c>
      <c r="L102" t="s">
        <v>7579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s="8" t="s">
        <v>2004</v>
      </c>
      <c r="E103" s="8" t="s">
        <v>8</v>
      </c>
      <c r="F103" s="8"/>
      <c r="H103" s="8"/>
      <c r="I103" s="8" t="s">
        <v>7580</v>
      </c>
      <c r="J103" s="8" t="s">
        <v>2991</v>
      </c>
      <c r="K103" t="s">
        <v>7581</v>
      </c>
      <c r="L103" t="s">
        <v>7582</v>
      </c>
      <c r="M103" s="3" t="str">
        <f>HYPERLINK(склад2въезд13[[#This Row],[RelativePath]])</f>
        <v>4 Крыльцо офиса\K07156189_21_20251225T170100Z.jpg</v>
      </c>
    </row>
    <row r="104" spans="1:13" x14ac:dyDescent="0.25">
      <c r="A104" s="2" t="s">
        <v>17</v>
      </c>
      <c r="B104" s="4">
        <v>46017</v>
      </c>
      <c r="C104" s="5">
        <v>0.69949074074074069</v>
      </c>
      <c r="D104" s="8" t="s">
        <v>2004</v>
      </c>
      <c r="E104" s="8" t="s">
        <v>8</v>
      </c>
      <c r="F104" s="8"/>
      <c r="H104" s="8"/>
      <c r="I104" s="8" t="s">
        <v>7828</v>
      </c>
      <c r="J104" s="8" t="s">
        <v>2991</v>
      </c>
      <c r="K104" t="s">
        <v>7829</v>
      </c>
      <c r="L104" t="s">
        <v>7830</v>
      </c>
      <c r="M104" s="3" t="str">
        <f>HYPERLINK(склад2въезд13[[#This Row],[RelativePath]])</f>
        <v>4 Крыльцо офиса\K07156189_21_20251226T164716Z.jpg</v>
      </c>
    </row>
    <row r="105" spans="1:13" x14ac:dyDescent="0.25">
      <c r="A105" s="2" t="s">
        <v>18</v>
      </c>
      <c r="B105" s="4">
        <v>46018</v>
      </c>
      <c r="C105" s="5">
        <v>0.5920023148148148</v>
      </c>
      <c r="D105" s="8" t="s">
        <v>8042</v>
      </c>
      <c r="E105" s="8" t="s">
        <v>6656</v>
      </c>
      <c r="F105" s="8" t="s">
        <v>5076</v>
      </c>
      <c r="H105" s="8"/>
      <c r="I105" s="8" t="s">
        <v>7992</v>
      </c>
      <c r="J105" s="8" t="s">
        <v>2991</v>
      </c>
      <c r="K105" t="s">
        <v>7993</v>
      </c>
      <c r="L105" t="s">
        <v>7994</v>
      </c>
      <c r="M105" s="3" t="str">
        <f>HYPERLINK(склад2въезд13[[#This Row],[RelativePath]])</f>
        <v>4 Крыльцо офиса\K07156189_21_20251227T141229Z.jpg</v>
      </c>
    </row>
    <row r="106" spans="1:13" x14ac:dyDescent="0.25">
      <c r="A106" s="2" t="s">
        <v>18</v>
      </c>
      <c r="B106" s="4">
        <v>46018</v>
      </c>
      <c r="C106" s="5">
        <v>0.60925925925925928</v>
      </c>
      <c r="D106" s="8" t="s">
        <v>4</v>
      </c>
      <c r="E106" s="8" t="s">
        <v>6656</v>
      </c>
      <c r="F106" s="8" t="s">
        <v>5076</v>
      </c>
      <c r="H106" s="8" t="s">
        <v>8043</v>
      </c>
      <c r="I106" s="8" t="s">
        <v>7995</v>
      </c>
      <c r="J106" s="8" t="s">
        <v>2991</v>
      </c>
      <c r="K106" t="s">
        <v>7996</v>
      </c>
      <c r="L106" t="s">
        <v>7997</v>
      </c>
      <c r="M106" s="3" t="str">
        <f>HYPERLINK(склад2въезд13[[#This Row],[RelativePath]])</f>
        <v>4 Крыльцо офиса\K07156189_21_20251227T143720Z.jpg</v>
      </c>
    </row>
    <row r="107" spans="1:13" x14ac:dyDescent="0.25">
      <c r="A107" s="2" t="s">
        <v>22</v>
      </c>
      <c r="B107" s="4">
        <v>46019</v>
      </c>
      <c r="C107" s="5">
        <v>0.50564814814814818</v>
      </c>
      <c r="D107" s="8" t="s">
        <v>4</v>
      </c>
      <c r="E107" s="8" t="s">
        <v>4193</v>
      </c>
      <c r="F107" s="8" t="s">
        <v>5076</v>
      </c>
      <c r="H107" s="8"/>
      <c r="I107" s="8" t="s">
        <v>7998</v>
      </c>
      <c r="J107" s="8" t="s">
        <v>2991</v>
      </c>
      <c r="K107" t="s">
        <v>7999</v>
      </c>
      <c r="L107" t="s">
        <v>8000</v>
      </c>
      <c r="M107" s="3" t="str">
        <f>HYPERLINK(склад2въезд13[[#This Row],[RelativePath]])</f>
        <v>4 Крыльцо офиса\K07156189_21_20251228T120808Z.jpg</v>
      </c>
    </row>
    <row r="108" spans="1:13" x14ac:dyDescent="0.25">
      <c r="A108" s="2" t="s">
        <v>22</v>
      </c>
      <c r="B108" s="4">
        <v>46019</v>
      </c>
      <c r="C108" s="5">
        <v>0.54252314814814817</v>
      </c>
      <c r="D108" s="8" t="s">
        <v>4</v>
      </c>
      <c r="E108" s="8" t="s">
        <v>8</v>
      </c>
      <c r="F108" s="8"/>
      <c r="H108" s="8" t="s">
        <v>8044</v>
      </c>
      <c r="I108" s="8" t="s">
        <v>8001</v>
      </c>
      <c r="J108" s="8" t="s">
        <v>2991</v>
      </c>
      <c r="K108" t="s">
        <v>8002</v>
      </c>
      <c r="L108" t="s">
        <v>8003</v>
      </c>
      <c r="M108" s="3" t="str">
        <f>HYPERLINK(склад2въезд13[[#This Row],[RelativePath]])</f>
        <v>4 Крыльцо офиса\K07156189_21_20251228T130114Z.jpg</v>
      </c>
    </row>
    <row r="109" spans="1:13" x14ac:dyDescent="0.25">
      <c r="A109" s="2" t="s">
        <v>22</v>
      </c>
      <c r="B109" s="4">
        <v>46019</v>
      </c>
      <c r="C109" s="5">
        <v>0.55581018518518521</v>
      </c>
      <c r="D109" s="8" t="s">
        <v>650</v>
      </c>
      <c r="E109" s="8" t="s">
        <v>6190</v>
      </c>
      <c r="F109" s="8" t="s">
        <v>51</v>
      </c>
      <c r="H109" s="8"/>
      <c r="I109" s="8" t="s">
        <v>8004</v>
      </c>
      <c r="J109" s="8" t="s">
        <v>2991</v>
      </c>
      <c r="K109" t="s">
        <v>8005</v>
      </c>
      <c r="L109" t="s">
        <v>8006</v>
      </c>
      <c r="M109" s="3" t="str">
        <f>HYPERLINK(склад2въезд13[[#This Row],[RelativePath]])</f>
        <v>4 Крыльцо офиса\K07156189_21_20251228T132022Z.jpg</v>
      </c>
    </row>
    <row r="110" spans="1:13" x14ac:dyDescent="0.25">
      <c r="A110" s="2" t="s">
        <v>22</v>
      </c>
      <c r="B110" s="4">
        <v>46019</v>
      </c>
      <c r="C110" s="5">
        <v>0.66861111111111116</v>
      </c>
      <c r="D110" s="8" t="s">
        <v>1606</v>
      </c>
      <c r="E110" s="8" t="s">
        <v>8041</v>
      </c>
      <c r="F110" s="8"/>
      <c r="H110" s="8"/>
      <c r="I110" s="8" t="s">
        <v>8007</v>
      </c>
      <c r="J110" s="8" t="s">
        <v>2991</v>
      </c>
      <c r="K110" t="s">
        <v>8008</v>
      </c>
      <c r="L110" t="s">
        <v>8009</v>
      </c>
      <c r="M110" s="3" t="str">
        <f>HYPERLINK(склад2въезд13[[#This Row],[RelativePath]])</f>
        <v>4 Крыльцо офиса\K07156189_21_20251228T160248Z.jpg</v>
      </c>
    </row>
    <row r="111" spans="1:13" x14ac:dyDescent="0.25">
      <c r="A111" s="2" t="s">
        <v>22</v>
      </c>
      <c r="B111" s="4">
        <v>46019</v>
      </c>
      <c r="C111" s="5">
        <v>0.66954861111111108</v>
      </c>
      <c r="D111" s="8" t="s">
        <v>650</v>
      </c>
      <c r="E111" s="8" t="s">
        <v>8041</v>
      </c>
      <c r="F111" s="8"/>
      <c r="H111" s="8"/>
      <c r="I111" s="8" t="s">
        <v>8010</v>
      </c>
      <c r="J111" s="8" t="s">
        <v>2991</v>
      </c>
      <c r="K111" t="s">
        <v>8011</v>
      </c>
      <c r="L111" t="s">
        <v>8012</v>
      </c>
      <c r="M111" s="3" t="str">
        <f>HYPERLINK(склад2въезд13[[#This Row],[RelativePath]])</f>
        <v>4 Крыльцо офиса\K07156189_21_20251228T160409Z.jpg</v>
      </c>
    </row>
    <row r="112" spans="1:13" x14ac:dyDescent="0.25">
      <c r="A112" s="2" t="s">
        <v>22</v>
      </c>
      <c r="B112" s="4">
        <v>46019</v>
      </c>
      <c r="C112" s="5">
        <v>0.8888773148148148</v>
      </c>
      <c r="D112" s="8" t="s">
        <v>1606</v>
      </c>
      <c r="E112" s="8" t="s">
        <v>6190</v>
      </c>
      <c r="F112" s="8"/>
      <c r="H112" s="8"/>
      <c r="I112" s="8" t="s">
        <v>8013</v>
      </c>
      <c r="J112" s="8" t="s">
        <v>2991</v>
      </c>
      <c r="K112" t="s">
        <v>8014</v>
      </c>
      <c r="L112" t="s">
        <v>8015</v>
      </c>
      <c r="M112" s="3" t="str">
        <f>HYPERLINK(склад2въезд13[[#This Row],[RelativePath]])</f>
        <v>4 Крыльцо офиса\K07156189_21_20251228T211959Z.jpg</v>
      </c>
    </row>
    <row r="113" spans="1:13" x14ac:dyDescent="0.25">
      <c r="A113" s="2" t="s">
        <v>13</v>
      </c>
      <c r="B113" s="4">
        <v>46020</v>
      </c>
      <c r="C113" s="5">
        <v>0.61657407407407405</v>
      </c>
      <c r="D113" s="8" t="s">
        <v>4</v>
      </c>
      <c r="E113" s="8" t="s">
        <v>1607</v>
      </c>
      <c r="F113" s="8" t="s">
        <v>8330</v>
      </c>
      <c r="H113" s="8"/>
      <c r="I113" s="8" t="s">
        <v>8090</v>
      </c>
      <c r="J113" s="8" t="s">
        <v>2991</v>
      </c>
      <c r="K113" t="s">
        <v>8091</v>
      </c>
      <c r="L113" t="s">
        <v>8092</v>
      </c>
      <c r="M113" s="3" t="str">
        <f>HYPERLINK(склад2въезд13[[#This Row],[RelativePath]])</f>
        <v>4 Крыльцо офиса\K07156189_21_20251229T144752Z.jpg</v>
      </c>
    </row>
    <row r="114" spans="1:13" x14ac:dyDescent="0.25">
      <c r="A114" s="2" t="s">
        <v>13</v>
      </c>
      <c r="B114" s="4">
        <v>46020</v>
      </c>
      <c r="C114" s="5">
        <v>0.68255787037037041</v>
      </c>
      <c r="D114" s="8" t="s">
        <v>4</v>
      </c>
      <c r="E114" s="8" t="s">
        <v>8</v>
      </c>
      <c r="F114" s="8"/>
      <c r="H114" s="8"/>
      <c r="I114" s="8" t="s">
        <v>8093</v>
      </c>
      <c r="J114" s="8" t="s">
        <v>2991</v>
      </c>
      <c r="K114" t="s">
        <v>8094</v>
      </c>
      <c r="L114" t="s">
        <v>8095</v>
      </c>
      <c r="M114" s="3" t="str">
        <f>HYPERLINK(склад2въезд13[[#This Row],[RelativePath]])</f>
        <v>4 Крыльцо офиса\K07156189_21_20251229T162253Z.jpg</v>
      </c>
    </row>
    <row r="115" spans="1:13" x14ac:dyDescent="0.25">
      <c r="A115" s="2" t="s">
        <v>14</v>
      </c>
      <c r="B115" s="4">
        <v>46021</v>
      </c>
      <c r="C115" s="5">
        <v>0.52613425925925927</v>
      </c>
      <c r="D115" s="8" t="s">
        <v>2004</v>
      </c>
      <c r="E115" s="8" t="s">
        <v>8</v>
      </c>
      <c r="F115" s="8"/>
      <c r="H115" s="8"/>
      <c r="I115" s="8" t="s">
        <v>8096</v>
      </c>
      <c r="J115" s="8" t="s">
        <v>2991</v>
      </c>
      <c r="K115" t="s">
        <v>8097</v>
      </c>
      <c r="L115" t="s">
        <v>8098</v>
      </c>
      <c r="M115" s="3" t="str">
        <f>HYPERLINK(склад2въезд13[[#This Row],[RelativePath]])</f>
        <v>4 Крыльцо офиса\K07156189_21_20251230T123738Z.jpg</v>
      </c>
    </row>
    <row r="116" spans="1:13" x14ac:dyDescent="0.25">
      <c r="A116" s="2" t="s">
        <v>14</v>
      </c>
      <c r="B116" s="4">
        <v>46021</v>
      </c>
      <c r="C116" s="5">
        <v>0.7348958333333333</v>
      </c>
      <c r="D116" s="8" t="s">
        <v>2004</v>
      </c>
      <c r="E116" s="8" t="s">
        <v>8</v>
      </c>
      <c r="F116" s="8"/>
      <c r="H116" s="8"/>
      <c r="I116" s="8" t="s">
        <v>8099</v>
      </c>
      <c r="J116" s="8" t="s">
        <v>2991</v>
      </c>
      <c r="K116" t="s">
        <v>8100</v>
      </c>
      <c r="L116" t="s">
        <v>8101</v>
      </c>
      <c r="M116" s="3" t="str">
        <f>HYPERLINK(склад2въезд13[[#This Row],[RelativePath]])</f>
        <v>4 Крыльцо офиса\K07156189_21_20251230T173815Z.jpg</v>
      </c>
    </row>
    <row r="117" spans="1:13" x14ac:dyDescent="0.25">
      <c r="A117" s="2" t="s">
        <v>15</v>
      </c>
      <c r="B117" s="4">
        <v>46022</v>
      </c>
      <c r="C117" s="5">
        <v>0.71327546296296296</v>
      </c>
      <c r="D117" s="8" t="s">
        <v>2004</v>
      </c>
      <c r="E117" s="8" t="s">
        <v>8</v>
      </c>
      <c r="F117" s="8"/>
      <c r="H117" s="8"/>
      <c r="I117" s="8" t="s">
        <v>8102</v>
      </c>
      <c r="J117" s="8" t="s">
        <v>2991</v>
      </c>
      <c r="K117" t="s">
        <v>8103</v>
      </c>
      <c r="L117" t="s">
        <v>8104</v>
      </c>
      <c r="M117" s="3" t="str">
        <f>HYPERLINK(склад2въезд13[[#This Row],[RelativePath]])</f>
        <v>4 Крыльцо офиса\K07156189_21_20251231T170707Z.jpg</v>
      </c>
    </row>
    <row r="118" spans="1:13" x14ac:dyDescent="0.25">
      <c r="A118" s="2" t="s">
        <v>16</v>
      </c>
      <c r="B118" s="4">
        <v>46023</v>
      </c>
      <c r="C118" s="5">
        <v>0.71423611111111107</v>
      </c>
      <c r="D118" s="8" t="s">
        <v>2004</v>
      </c>
      <c r="E118" s="8" t="s">
        <v>8</v>
      </c>
      <c r="F118" s="8"/>
      <c r="H118" s="8"/>
      <c r="I118" s="8" t="s">
        <v>8105</v>
      </c>
      <c r="J118" s="8" t="s">
        <v>2991</v>
      </c>
      <c r="K118" t="s">
        <v>8106</v>
      </c>
      <c r="L118" t="s">
        <v>8107</v>
      </c>
      <c r="M118" s="3" t="str">
        <f>HYPERLINK(склад2въезд13[[#This Row],[RelativePath]])</f>
        <v>4 Крыльцо офиса\K07156189_21_20260101T170830Z.jpg</v>
      </c>
    </row>
    <row r="119" spans="1:13" x14ac:dyDescent="0.25">
      <c r="A119" s="2" t="s">
        <v>17</v>
      </c>
      <c r="B119" s="4">
        <v>46024</v>
      </c>
      <c r="C119" s="5">
        <v>0.51469907407407411</v>
      </c>
      <c r="D119" s="8" t="s">
        <v>2004</v>
      </c>
      <c r="E119" s="8" t="s">
        <v>8</v>
      </c>
      <c r="F119" s="8"/>
      <c r="H119" s="8"/>
      <c r="I119" s="8" t="s">
        <v>8402</v>
      </c>
      <c r="J119" s="8" t="s">
        <v>2991</v>
      </c>
      <c r="K119" t="s">
        <v>8403</v>
      </c>
      <c r="L119" t="s">
        <v>8404</v>
      </c>
      <c r="M119" s="3" t="str">
        <f>HYPERLINK(склад2въезд13[[#This Row],[RelativePath]])</f>
        <v>4 Крыльцо офиса\K07156189_21_20260102T122110Z.jpg</v>
      </c>
    </row>
    <row r="120" spans="1:13" x14ac:dyDescent="0.25">
      <c r="A120" s="2" t="s">
        <v>18</v>
      </c>
      <c r="B120" s="4">
        <v>46025</v>
      </c>
      <c r="C120" s="5">
        <v>0.67857638888888894</v>
      </c>
      <c r="D120" s="8" t="s">
        <v>2004</v>
      </c>
      <c r="E120" s="8" t="s">
        <v>8</v>
      </c>
      <c r="F120" s="8"/>
      <c r="H120" s="8"/>
      <c r="I120" s="8" t="s">
        <v>8405</v>
      </c>
      <c r="J120" s="8" t="s">
        <v>2991</v>
      </c>
      <c r="K120" t="s">
        <v>8406</v>
      </c>
      <c r="L120" t="s">
        <v>8407</v>
      </c>
      <c r="M120" s="3" t="str">
        <f>HYPERLINK(склад2въезд13[[#This Row],[RelativePath]])</f>
        <v>4 Крыльцо офиса\K07156189_21_20260103T161709Z.jpg</v>
      </c>
    </row>
    <row r="121" spans="1:13" x14ac:dyDescent="0.25">
      <c r="A121" s="2" t="s">
        <v>22</v>
      </c>
      <c r="B121" s="4">
        <v>46026</v>
      </c>
      <c r="C121" s="5">
        <v>0.67975694444444446</v>
      </c>
      <c r="D121" s="8" t="s">
        <v>2004</v>
      </c>
      <c r="E121" s="8" t="s">
        <v>8</v>
      </c>
      <c r="F121" s="8"/>
      <c r="H121" s="8"/>
      <c r="I121" s="8" t="s">
        <v>8408</v>
      </c>
      <c r="J121" s="8" t="s">
        <v>2991</v>
      </c>
      <c r="K121" t="s">
        <v>8409</v>
      </c>
      <c r="L121" t="s">
        <v>8410</v>
      </c>
      <c r="M121" s="3" t="str">
        <f>HYPERLINK(склад2въезд13[[#This Row],[RelativePath]])</f>
        <v>4 Крыльцо офиса\K07156189_21_20260104T161851Z.jpg</v>
      </c>
    </row>
    <row r="122" spans="1:13" x14ac:dyDescent="0.25">
      <c r="A122" s="2" t="s">
        <v>13</v>
      </c>
      <c r="B122" s="4">
        <v>46027</v>
      </c>
      <c r="C122" s="5">
        <v>0.67423611111111115</v>
      </c>
      <c r="D122" s="8" t="s">
        <v>2004</v>
      </c>
      <c r="E122" s="8" t="s">
        <v>8</v>
      </c>
      <c r="F122" s="8"/>
      <c r="H122" s="8"/>
      <c r="I122" s="8" t="s">
        <v>8640</v>
      </c>
      <c r="J122" s="8" t="s">
        <v>2991</v>
      </c>
      <c r="K122" t="s">
        <v>8641</v>
      </c>
      <c r="L122" t="s">
        <v>8642</v>
      </c>
      <c r="M122" s="3" t="str">
        <f>HYPERLINK(склад2въезд13[[#This Row],[RelativePath]])</f>
        <v>4 Крыльцо офиса\K07156189_21_20260105T161054Z.jpg</v>
      </c>
    </row>
    <row r="123" spans="1:13" x14ac:dyDescent="0.25">
      <c r="A123" s="2" t="s">
        <v>14</v>
      </c>
      <c r="B123" s="4">
        <v>46028</v>
      </c>
      <c r="C123" s="5">
        <v>0.58508101851851857</v>
      </c>
      <c r="D123" s="8" t="s">
        <v>4</v>
      </c>
      <c r="E123" s="8" t="s">
        <v>8</v>
      </c>
      <c r="F123" s="8"/>
      <c r="H123" s="8"/>
      <c r="I123" s="8" t="s">
        <v>8643</v>
      </c>
      <c r="J123" s="8" t="s">
        <v>2991</v>
      </c>
      <c r="K123" t="s">
        <v>8644</v>
      </c>
      <c r="L123" t="s">
        <v>8645</v>
      </c>
      <c r="M123" s="3" t="str">
        <f>HYPERLINK(склад2въезд13[[#This Row],[RelativePath]])</f>
        <v>4 Крыльцо офиса\K07156189_21_20260106T140231Z.jpg</v>
      </c>
    </row>
    <row r="124" spans="1:13" x14ac:dyDescent="0.25">
      <c r="A124" s="2" t="s">
        <v>15</v>
      </c>
      <c r="B124" s="4">
        <v>46029</v>
      </c>
      <c r="C124" s="5">
        <v>0.52965277777777775</v>
      </c>
      <c r="D124" s="8" t="s">
        <v>4</v>
      </c>
      <c r="E124" s="8" t="s">
        <v>8</v>
      </c>
      <c r="F124" s="8"/>
      <c r="H124" s="8"/>
      <c r="I124" s="8" t="s">
        <v>8646</v>
      </c>
      <c r="J124" s="8" t="s">
        <v>2991</v>
      </c>
      <c r="K124" t="s">
        <v>8647</v>
      </c>
      <c r="L124" t="s">
        <v>8648</v>
      </c>
      <c r="M124" s="3" t="str">
        <f>HYPERLINK(склад2въезд13[[#This Row],[RelativePath]])</f>
        <v>4 Крыльцо офиса\K07156189_21_20260107T124242Z.jpg</v>
      </c>
    </row>
    <row r="125" spans="1:13" x14ac:dyDescent="0.25">
      <c r="A125" s="2" t="s">
        <v>16</v>
      </c>
      <c r="B125" s="4">
        <v>46030</v>
      </c>
      <c r="C125" s="5">
        <v>0.56579861111111107</v>
      </c>
      <c r="D125" s="8" t="s">
        <v>4</v>
      </c>
      <c r="E125" s="8" t="s">
        <v>8</v>
      </c>
      <c r="F125" s="8"/>
      <c r="H125" s="8"/>
      <c r="I125" s="8" t="s">
        <v>8649</v>
      </c>
      <c r="J125" s="8" t="s">
        <v>2991</v>
      </c>
      <c r="K125" t="s">
        <v>8650</v>
      </c>
      <c r="L125" t="s">
        <v>8651</v>
      </c>
      <c r="M125" s="3" t="str">
        <f>HYPERLINK(склад2въезд13[[#This Row],[RelativePath]])</f>
        <v>4 Крыльцо офиса\K07156189_21_20260108T133445Z.jpg</v>
      </c>
    </row>
    <row r="126" spans="1:13" x14ac:dyDescent="0.25">
      <c r="A126" s="2" t="s">
        <v>16</v>
      </c>
      <c r="B126" s="4">
        <v>46030</v>
      </c>
      <c r="C126" s="5">
        <v>0.74836805555555552</v>
      </c>
      <c r="D126" s="8" t="s">
        <v>4</v>
      </c>
      <c r="E126" s="8" t="s">
        <v>1607</v>
      </c>
      <c r="F126" s="8"/>
      <c r="H126" s="8"/>
      <c r="I126" s="8" t="s">
        <v>8652</v>
      </c>
      <c r="J126" s="8" t="s">
        <v>2991</v>
      </c>
      <c r="K126" t="s">
        <v>8653</v>
      </c>
      <c r="L126" t="s">
        <v>8654</v>
      </c>
      <c r="M126" s="3" t="str">
        <f>HYPERLINK(склад2въезд13[[#This Row],[RelativePath]])</f>
        <v>4 Крыльцо офиса\K07156189_21_20260108T175739Z.jpg</v>
      </c>
    </row>
    <row r="127" spans="1:13" x14ac:dyDescent="0.25">
      <c r="A127" s="2" t="s">
        <v>17</v>
      </c>
      <c r="B127" s="4">
        <v>46031</v>
      </c>
      <c r="C127" s="5">
        <v>0.66954861111111108</v>
      </c>
      <c r="D127" s="8" t="s">
        <v>4</v>
      </c>
      <c r="E127" s="8" t="s">
        <v>8803</v>
      </c>
      <c r="F127" s="8"/>
      <c r="H127" s="8"/>
      <c r="I127" s="8" t="s">
        <v>8655</v>
      </c>
      <c r="J127" s="8" t="s">
        <v>2991</v>
      </c>
      <c r="K127" t="s">
        <v>8656</v>
      </c>
      <c r="L127" t="s">
        <v>8657</v>
      </c>
      <c r="M127" s="3" t="str">
        <f>HYPERLINK(склад2въезд13[[#This Row],[RelativePath]])</f>
        <v>4 Крыльцо офиса\K07156189_21_20260109T160409Z.jpg</v>
      </c>
    </row>
    <row r="128" spans="1:13" x14ac:dyDescent="0.25">
      <c r="A128" s="2" t="s">
        <v>17</v>
      </c>
      <c r="B128" s="4">
        <v>46031</v>
      </c>
      <c r="C128" s="5">
        <v>0.67434027777777783</v>
      </c>
      <c r="D128" s="8" t="s">
        <v>4</v>
      </c>
      <c r="E128" s="8" t="s">
        <v>8803</v>
      </c>
      <c r="F128" s="8"/>
      <c r="H128" s="8"/>
      <c r="I128" s="8" t="s">
        <v>8658</v>
      </c>
      <c r="J128" s="8" t="s">
        <v>2991</v>
      </c>
      <c r="K128" t="s">
        <v>8659</v>
      </c>
      <c r="L128" t="s">
        <v>8660</v>
      </c>
      <c r="M128" s="3" t="str">
        <f>HYPERLINK(склад2въезд13[[#This Row],[RelativePath]])</f>
        <v>4 Крыльцо офиса\K07156189_21_20260109T161103Z.jpg</v>
      </c>
    </row>
    <row r="129" spans="1:13" x14ac:dyDescent="0.25">
      <c r="A129" s="2" t="s">
        <v>18</v>
      </c>
      <c r="B129" s="4">
        <v>46032</v>
      </c>
      <c r="C129" s="5">
        <v>0.52968749999999998</v>
      </c>
      <c r="D129" s="8" t="s">
        <v>1606</v>
      </c>
      <c r="E129" s="8" t="s">
        <v>8801</v>
      </c>
      <c r="F129" s="8"/>
      <c r="H129" s="8"/>
      <c r="I129" s="8" t="s">
        <v>8661</v>
      </c>
      <c r="J129" s="8" t="s">
        <v>2991</v>
      </c>
      <c r="K129" t="s">
        <v>8662</v>
      </c>
      <c r="L129" t="s">
        <v>8663</v>
      </c>
      <c r="M129" s="3" t="str">
        <f>HYPERLINK(склад2въезд13[[#This Row],[RelativePath]])</f>
        <v>4 Крыльцо офиса\K07156189_21_20260110T124245Z.jpg</v>
      </c>
    </row>
    <row r="130" spans="1:13" x14ac:dyDescent="0.25">
      <c r="A130" s="2" t="s">
        <v>18</v>
      </c>
      <c r="B130" s="4">
        <v>46032</v>
      </c>
      <c r="C130" s="5">
        <v>0.54754629629629625</v>
      </c>
      <c r="D130" s="8" t="s">
        <v>1606</v>
      </c>
      <c r="E130" s="8" t="s">
        <v>8802</v>
      </c>
      <c r="F130" s="8"/>
      <c r="H130" s="8"/>
      <c r="I130" s="8" t="s">
        <v>8664</v>
      </c>
      <c r="J130" s="8" t="s">
        <v>2991</v>
      </c>
      <c r="K130" t="s">
        <v>8665</v>
      </c>
      <c r="L130" t="s">
        <v>8666</v>
      </c>
      <c r="M130" s="3" t="str">
        <f>HYPERLINK(склад2въезд13[[#This Row],[RelativePath]])</f>
        <v>4 Крыльцо офиса\K07156189_21_20260110T130828Z.jpg</v>
      </c>
    </row>
    <row r="131" spans="1:13" x14ac:dyDescent="0.25">
      <c r="A131" s="2" t="s">
        <v>18</v>
      </c>
      <c r="B131" s="4">
        <v>46032</v>
      </c>
      <c r="C131" s="5">
        <v>0.68979166666666669</v>
      </c>
      <c r="D131" s="8" t="s">
        <v>650</v>
      </c>
      <c r="E131" s="8" t="s">
        <v>8802</v>
      </c>
      <c r="F131" s="8"/>
      <c r="H131" s="8"/>
      <c r="I131" s="8" t="s">
        <v>8667</v>
      </c>
      <c r="J131" s="8" t="s">
        <v>2991</v>
      </c>
      <c r="K131" t="s">
        <v>8668</v>
      </c>
      <c r="L131" t="s">
        <v>8669</v>
      </c>
      <c r="M131" s="3" t="str">
        <f>HYPERLINK(склад2въезд13[[#This Row],[RelativePath]])</f>
        <v>4 Крыльцо офиса\K07156189_21_20260110T163318Z.jpg</v>
      </c>
    </row>
    <row r="132" spans="1:13" x14ac:dyDescent="0.25">
      <c r="A132" s="2" t="s">
        <v>18</v>
      </c>
      <c r="B132" s="4">
        <v>46032</v>
      </c>
      <c r="C132" s="5">
        <v>0.71287037037037038</v>
      </c>
      <c r="D132" s="8" t="s">
        <v>650</v>
      </c>
      <c r="E132" s="8" t="s">
        <v>8801</v>
      </c>
      <c r="F132" s="8"/>
      <c r="H132" s="8"/>
      <c r="I132" s="8" t="s">
        <v>8670</v>
      </c>
      <c r="J132" s="8" t="s">
        <v>2991</v>
      </c>
      <c r="K132" t="s">
        <v>8671</v>
      </c>
      <c r="L132" t="s">
        <v>8672</v>
      </c>
      <c r="M132" s="3" t="str">
        <f>HYPERLINK(склад2въезд13[[#This Row],[RelativePath]])</f>
        <v>4 Крыльцо офиса\K07156189_21_20260110T170632Z.jpg</v>
      </c>
    </row>
    <row r="133" spans="1:13" x14ac:dyDescent="0.25">
      <c r="A133" s="2" t="s">
        <v>22</v>
      </c>
      <c r="B133" s="4">
        <v>46033</v>
      </c>
      <c r="C133" s="5">
        <v>0.67136574074074074</v>
      </c>
      <c r="D133" s="8" t="s">
        <v>2004</v>
      </c>
      <c r="E133" s="8" t="s">
        <v>8</v>
      </c>
      <c r="F133" s="8"/>
      <c r="H133" s="8"/>
      <c r="I133" s="8" t="s">
        <v>8673</v>
      </c>
      <c r="J133" s="8" t="s">
        <v>2991</v>
      </c>
      <c r="K133" t="s">
        <v>8674</v>
      </c>
      <c r="L133" t="s">
        <v>8675</v>
      </c>
      <c r="M133" s="3" t="str">
        <f>HYPERLINK(склад2въезд13[[#This Row],[RelativePath]])</f>
        <v>4 Крыльцо офиса\K07156189_21_20260111T160646Z.jpg</v>
      </c>
    </row>
    <row r="134" spans="1:13" x14ac:dyDescent="0.25">
      <c r="A134" s="2" t="s">
        <v>22</v>
      </c>
      <c r="B134" s="4">
        <v>46033</v>
      </c>
      <c r="C134" s="5">
        <v>0.78637731481481477</v>
      </c>
      <c r="D134" s="8" t="s">
        <v>4</v>
      </c>
      <c r="E134" s="8" t="s">
        <v>8804</v>
      </c>
      <c r="F134" s="8"/>
      <c r="H134" s="8"/>
      <c r="I134" s="8" t="s">
        <v>8676</v>
      </c>
      <c r="J134" s="8" t="s">
        <v>2991</v>
      </c>
      <c r="K134" t="s">
        <v>8677</v>
      </c>
      <c r="L134" t="s">
        <v>8678</v>
      </c>
      <c r="M134" s="3" t="str">
        <f>HYPERLINK(склад2въезд13[[#This Row],[RelativePath]])</f>
        <v>4 Крыльцо офиса\K07156189_21_20260111T185223Z.jpg</v>
      </c>
    </row>
    <row r="135" spans="1:13" x14ac:dyDescent="0.25">
      <c r="A135" s="2" t="s">
        <v>18</v>
      </c>
      <c r="B135" s="4">
        <v>46004</v>
      </c>
      <c r="C135" s="5">
        <v>0.54593749999999996</v>
      </c>
      <c r="D135" s="8" t="s">
        <v>2004</v>
      </c>
      <c r="E135" s="8" t="s">
        <v>8</v>
      </c>
      <c r="F135" s="8"/>
      <c r="H135" s="8"/>
      <c r="I135" s="8" t="s">
        <v>6161</v>
      </c>
      <c r="J135" s="8" t="s">
        <v>2991</v>
      </c>
      <c r="K135" t="s">
        <v>6162</v>
      </c>
      <c r="L135" t="s">
        <v>6163</v>
      </c>
      <c r="M135" s="3" t="str">
        <f>HYPERLINK(склад2въезд13[[#This Row],[RelativePath]])</f>
        <v>4 Крыльцо офиса\K07156189_21_20251213T130609Z.jpg</v>
      </c>
    </row>
    <row r="136" spans="1:13" x14ac:dyDescent="0.25">
      <c r="A136" s="2" t="s">
        <v>22</v>
      </c>
      <c r="B136" s="4">
        <v>46019</v>
      </c>
      <c r="C136" s="5">
        <v>0.50564814814814818</v>
      </c>
      <c r="D136" s="8" t="s">
        <v>2004</v>
      </c>
      <c r="E136" s="8" t="s">
        <v>8</v>
      </c>
      <c r="F136" s="8"/>
      <c r="H136" s="8"/>
      <c r="I136" s="8" t="s">
        <v>7998</v>
      </c>
      <c r="J136" s="8" t="s">
        <v>2991</v>
      </c>
      <c r="K136" t="s">
        <v>7999</v>
      </c>
      <c r="L136" t="s">
        <v>8000</v>
      </c>
      <c r="M136" s="3" t="str">
        <f>HYPERLINK(склад2въезд13[[#This Row],[RelativePath]])</f>
        <v>4 Крыльцо офиса\K07156189_21_20251228T120808Z.jpg</v>
      </c>
    </row>
    <row r="137" spans="1:13" x14ac:dyDescent="0.25">
      <c r="A137" s="2" t="s">
        <v>13</v>
      </c>
      <c r="B137" s="4">
        <v>46034</v>
      </c>
      <c r="C137" s="5">
        <v>0.44019675925925927</v>
      </c>
      <c r="D137" s="8" t="s">
        <v>4</v>
      </c>
      <c r="E137" s="8" t="s">
        <v>8803</v>
      </c>
      <c r="F137" s="8"/>
      <c r="H137" s="8"/>
      <c r="I137" s="8" t="s">
        <v>8988</v>
      </c>
      <c r="J137" s="8" t="s">
        <v>2991</v>
      </c>
      <c r="K137" t="s">
        <v>8989</v>
      </c>
      <c r="L137" t="s">
        <v>8990</v>
      </c>
      <c r="M137" s="3" t="str">
        <f>HYPERLINK(склад2въезд13[[#This Row],[RelativePath]])</f>
        <v>4 Крыльцо офиса\K07156189_21_20260112T103353Z.jpg</v>
      </c>
    </row>
    <row r="138" spans="1:13" x14ac:dyDescent="0.25">
      <c r="A138" s="2" t="s">
        <v>14</v>
      </c>
      <c r="B138" s="4">
        <v>46035</v>
      </c>
      <c r="C138" s="5">
        <v>0.62951388888888893</v>
      </c>
      <c r="D138" s="8" t="s">
        <v>4</v>
      </c>
      <c r="E138" s="8" t="s">
        <v>8803</v>
      </c>
      <c r="F138" s="8"/>
      <c r="H138" s="8"/>
      <c r="I138" s="8" t="s">
        <v>8991</v>
      </c>
      <c r="J138" s="8" t="s">
        <v>2991</v>
      </c>
      <c r="K138" t="s">
        <v>8992</v>
      </c>
      <c r="L138" t="s">
        <v>8993</v>
      </c>
      <c r="M138" s="3" t="str">
        <f>HYPERLINK(склад2въезд13[[#This Row],[RelativePath]])</f>
        <v>4 Крыльцо офиса\K07156189_21_20260113T150630Z.jpg</v>
      </c>
    </row>
    <row r="139" spans="1:13" x14ac:dyDescent="0.25">
      <c r="A139" s="2" t="s">
        <v>15</v>
      </c>
      <c r="B139" s="4">
        <v>46036</v>
      </c>
      <c r="C139" s="5">
        <v>0.68820601851851848</v>
      </c>
      <c r="D139" s="8" t="s">
        <v>4</v>
      </c>
      <c r="E139" s="8" t="s">
        <v>8803</v>
      </c>
      <c r="F139" s="8"/>
      <c r="H139" s="8"/>
      <c r="I139" s="8" t="s">
        <v>9255</v>
      </c>
      <c r="J139" s="8" t="s">
        <v>2991</v>
      </c>
      <c r="K139" t="s">
        <v>9256</v>
      </c>
      <c r="L139" t="s">
        <v>9257</v>
      </c>
      <c r="M139" s="3" t="str">
        <f>HYPERLINK(склад2въезд13[[#This Row],[RelativePath]])</f>
        <v>4 Крыльцо офиса\K07156189_21_20260114T163101Z.jpg</v>
      </c>
    </row>
    <row r="140" spans="1:13" x14ac:dyDescent="0.25">
      <c r="A140" s="2" t="s">
        <v>16</v>
      </c>
      <c r="B140" s="4">
        <v>46037</v>
      </c>
      <c r="C140" s="5">
        <v>0.60546296296296298</v>
      </c>
      <c r="D140" s="8" t="s">
        <v>4</v>
      </c>
      <c r="E140" s="8" t="s">
        <v>8803</v>
      </c>
      <c r="F140" s="8"/>
      <c r="H140" s="8"/>
      <c r="I140" s="8" t="s">
        <v>9352</v>
      </c>
      <c r="J140" s="8" t="s">
        <v>2991</v>
      </c>
      <c r="K140" t="s">
        <v>9353</v>
      </c>
      <c r="L140" t="s">
        <v>9354</v>
      </c>
      <c r="M140" s="3" t="str">
        <f>HYPERLINK(склад2въезд13[[#This Row],[RelativePath]])</f>
        <v>4 Крыльцо офиса\K07156189_21_20260115T143152Z.jpg</v>
      </c>
    </row>
    <row r="141" spans="1:13" x14ac:dyDescent="0.25">
      <c r="A141" s="2" t="s">
        <v>17</v>
      </c>
      <c r="B141" s="4">
        <v>46038</v>
      </c>
      <c r="C141" s="5">
        <v>0.40539351851851851</v>
      </c>
      <c r="D141" s="8" t="s">
        <v>4</v>
      </c>
      <c r="E141" s="8" t="s">
        <v>9367</v>
      </c>
      <c r="F141" s="8"/>
      <c r="H141" s="8"/>
      <c r="I141" s="8" t="s">
        <v>9355</v>
      </c>
      <c r="J141" s="8" t="s">
        <v>2991</v>
      </c>
      <c r="K141" t="s">
        <v>9356</v>
      </c>
      <c r="L141" t="s">
        <v>9357</v>
      </c>
      <c r="M141" s="3" t="str">
        <f>HYPERLINK(склад2въезд13[[#This Row],[RelativePath]])</f>
        <v>4 Крыльцо офиса\K07156189_21_20260116T094346Z.jpg</v>
      </c>
    </row>
    <row r="142" spans="1:13" x14ac:dyDescent="0.25">
      <c r="A142" s="2" t="s">
        <v>17</v>
      </c>
      <c r="B142" s="4">
        <v>46038</v>
      </c>
      <c r="C142" s="5">
        <v>0.45834490740740741</v>
      </c>
      <c r="D142" s="8" t="s">
        <v>158</v>
      </c>
      <c r="E142" s="8" t="s">
        <v>5480</v>
      </c>
      <c r="F142" s="8" t="s">
        <v>528</v>
      </c>
      <c r="H142" s="8"/>
      <c r="I142" s="8" t="s">
        <v>9358</v>
      </c>
      <c r="J142" s="8" t="s">
        <v>2991</v>
      </c>
      <c r="K142" t="s">
        <v>9359</v>
      </c>
      <c r="L142" t="s">
        <v>9360</v>
      </c>
      <c r="M142" s="3" t="str">
        <f>HYPERLINK(склад2въезд13[[#This Row],[RelativePath]])</f>
        <v>4 Крыльцо офиса\K07156189_21_20260116T110001Z.jpg</v>
      </c>
    </row>
    <row r="143" spans="1:13" x14ac:dyDescent="0.25">
      <c r="A143" s="2" t="s">
        <v>17</v>
      </c>
      <c r="B143" s="4">
        <v>46038</v>
      </c>
      <c r="C143" s="5">
        <v>0.51648148148148143</v>
      </c>
      <c r="D143" s="8" t="s">
        <v>158</v>
      </c>
      <c r="E143" s="8" t="s">
        <v>5480</v>
      </c>
      <c r="F143" s="8" t="s">
        <v>528</v>
      </c>
      <c r="H143" s="8" t="s">
        <v>2936</v>
      </c>
      <c r="I143" s="8" t="s">
        <v>9361</v>
      </c>
      <c r="J143" s="8" t="s">
        <v>2991</v>
      </c>
      <c r="K143" t="s">
        <v>9362</v>
      </c>
      <c r="L143" t="s">
        <v>9363</v>
      </c>
      <c r="M143" s="3" t="str">
        <f>HYPERLINK(склад2въезд13[[#This Row],[RelativePath]])</f>
        <v>4 Крыльцо офиса\K07156189_21_20260116T122344Z.jpg</v>
      </c>
    </row>
    <row r="144" spans="1:13" x14ac:dyDescent="0.25">
      <c r="A144" s="2" t="s">
        <v>17</v>
      </c>
      <c r="B144" s="4">
        <v>46038</v>
      </c>
      <c r="C144" s="5">
        <v>0.705474537037037</v>
      </c>
      <c r="D144" s="8" t="s">
        <v>4</v>
      </c>
      <c r="E144" s="8" t="s">
        <v>9368</v>
      </c>
      <c r="F144" s="8"/>
      <c r="H144" s="8"/>
      <c r="I144" s="8" t="s">
        <v>9364</v>
      </c>
      <c r="J144" s="8" t="s">
        <v>2991</v>
      </c>
      <c r="K144" t="s">
        <v>9365</v>
      </c>
      <c r="L144" t="s">
        <v>9366</v>
      </c>
      <c r="M144" s="3" t="str">
        <f>HYPERLINK(склад2въезд13[[#This Row],[RelativePath]])</f>
        <v>4 Крыльцо офиса\K07156189_21_20260116T165553Z.jpg</v>
      </c>
    </row>
    <row r="145" spans="1:13" x14ac:dyDescent="0.25">
      <c r="A145" s="2" t="s">
        <v>18</v>
      </c>
      <c r="B145" s="4">
        <v>46039</v>
      </c>
      <c r="C145" s="5">
        <v>0.64023148148148146</v>
      </c>
      <c r="D145" s="8" t="s">
        <v>4</v>
      </c>
      <c r="E145" s="8" t="s">
        <v>8803</v>
      </c>
      <c r="F145" s="8"/>
      <c r="H145" s="8"/>
      <c r="I145" s="8" t="s">
        <v>9633</v>
      </c>
      <c r="J145" s="8" t="s">
        <v>2991</v>
      </c>
      <c r="K145" t="s">
        <v>9634</v>
      </c>
      <c r="L145" t="s">
        <v>9635</v>
      </c>
      <c r="M145" s="3" t="str">
        <f>HYPERLINK(склад2въезд13[[#This Row],[RelativePath]])</f>
        <v>4 Крыльцо офиса\K07156189_21_20260117T152156Z.jpg</v>
      </c>
    </row>
    <row r="146" spans="1:13" x14ac:dyDescent="0.25">
      <c r="A146" s="2" t="s">
        <v>22</v>
      </c>
      <c r="B146" s="4">
        <v>46040</v>
      </c>
      <c r="C146" s="5">
        <v>0.69824074074074072</v>
      </c>
      <c r="D146" s="8" t="s">
        <v>2004</v>
      </c>
      <c r="E146" s="8" t="s">
        <v>8</v>
      </c>
      <c r="F146" s="8"/>
      <c r="H146" s="8"/>
      <c r="I146" s="8" t="s">
        <v>9636</v>
      </c>
      <c r="J146" s="8" t="s">
        <v>2991</v>
      </c>
      <c r="K146" t="s">
        <v>9637</v>
      </c>
      <c r="L146" t="s">
        <v>9638</v>
      </c>
      <c r="M146" s="3" t="str">
        <f>HYPERLINK(склад2въезд13[[#This Row],[RelativePath]])</f>
        <v>4 Крыльцо офиса\K07156189_21_20260118T164528Z.jpg</v>
      </c>
    </row>
    <row r="147" spans="1:13" x14ac:dyDescent="0.25">
      <c r="A147" s="2" t="s">
        <v>13</v>
      </c>
      <c r="B147" s="4">
        <v>46041</v>
      </c>
      <c r="C147" s="5">
        <v>0.69586805555555553</v>
      </c>
      <c r="D147" s="8" t="s">
        <v>4</v>
      </c>
      <c r="E147" s="8" t="s">
        <v>8803</v>
      </c>
      <c r="F147" s="8"/>
      <c r="H147" s="8"/>
      <c r="I147" s="8" t="s">
        <v>9726</v>
      </c>
      <c r="J147" s="8" t="s">
        <v>2991</v>
      </c>
      <c r="K147" t="s">
        <v>9727</v>
      </c>
      <c r="L147" t="s">
        <v>9728</v>
      </c>
      <c r="M147" s="3" t="str">
        <f>HYPERLINK(склад2въезд13[[#This Row],[RelativePath]])</f>
        <v>4 Крыльцо офиса\K07156189_21_20260119T164203Z.jpg</v>
      </c>
    </row>
    <row r="148" spans="1:13" x14ac:dyDescent="0.25">
      <c r="A148" s="2" t="s">
        <v>14</v>
      </c>
      <c r="B148" s="4">
        <v>46042</v>
      </c>
      <c r="C148" s="5">
        <v>0.50453703703703701</v>
      </c>
      <c r="D148" s="8" t="s">
        <v>4</v>
      </c>
      <c r="E148" s="8" t="s">
        <v>8803</v>
      </c>
      <c r="F148" s="8"/>
      <c r="H148" s="8"/>
      <c r="I148" s="8" t="s">
        <v>9729</v>
      </c>
      <c r="J148" s="8" t="s">
        <v>2991</v>
      </c>
      <c r="K148" t="s">
        <v>9730</v>
      </c>
      <c r="L148" t="s">
        <v>9731</v>
      </c>
      <c r="M148" s="3" t="str">
        <f>HYPERLINK(склад2въезд13[[#This Row],[RelativePath]])</f>
        <v>4 Крыльцо офиса\K07156189_21_20260120T120632Z.jpg</v>
      </c>
    </row>
    <row r="149" spans="1:13" x14ac:dyDescent="0.25">
      <c r="A149" s="2" t="s">
        <v>14</v>
      </c>
      <c r="B149" s="4">
        <v>46042</v>
      </c>
      <c r="C149" s="5">
        <v>0.67519675925925926</v>
      </c>
      <c r="D149" s="8" t="s">
        <v>4</v>
      </c>
      <c r="E149" s="8" t="s">
        <v>8803</v>
      </c>
      <c r="F149" s="8"/>
      <c r="H149" s="8"/>
      <c r="I149" s="8" t="s">
        <v>9732</v>
      </c>
      <c r="J149" s="8" t="s">
        <v>2991</v>
      </c>
      <c r="K149" t="s">
        <v>9733</v>
      </c>
      <c r="L149" t="s">
        <v>9734</v>
      </c>
      <c r="M149" s="3" t="str">
        <f>HYPERLINK(склад2въезд13[[#This Row],[RelativePath]])</f>
        <v>4 Крыльцо офиса\K07156189_21_20260120T161217Z.jpg</v>
      </c>
    </row>
    <row r="150" spans="1:13" x14ac:dyDescent="0.25">
      <c r="A150" s="2" t="s">
        <v>15</v>
      </c>
      <c r="B150" s="4">
        <v>46043</v>
      </c>
      <c r="C150" s="5">
        <v>0.65590277777777772</v>
      </c>
      <c r="D150" s="8" t="s">
        <v>4</v>
      </c>
      <c r="E150" s="8" t="s">
        <v>8803</v>
      </c>
      <c r="F150" s="8"/>
      <c r="H150" s="8"/>
      <c r="I150" s="8" t="s">
        <v>10122</v>
      </c>
      <c r="J150" s="8" t="s">
        <v>2991</v>
      </c>
      <c r="K150" t="s">
        <v>10123</v>
      </c>
      <c r="L150" t="s">
        <v>10124</v>
      </c>
      <c r="M150" s="3" t="str">
        <f>HYPERLINK(склад2въезд13[[#This Row],[RelativePath]])</f>
        <v>4 Крыльцо офиса\K07156189_21_20260121T154430Z.jpg</v>
      </c>
    </row>
    <row r="151" spans="1:13" x14ac:dyDescent="0.25">
      <c r="A151" s="2" t="s">
        <v>15</v>
      </c>
      <c r="B151" s="4">
        <v>46043</v>
      </c>
      <c r="C151" s="5">
        <v>0.695775462962963</v>
      </c>
      <c r="D151" s="8" t="s">
        <v>4</v>
      </c>
      <c r="E151" s="8" t="s">
        <v>8803</v>
      </c>
      <c r="F151" s="8"/>
      <c r="H151" s="8"/>
      <c r="I151" s="8" t="s">
        <v>9960</v>
      </c>
      <c r="J151" s="8" t="s">
        <v>2991</v>
      </c>
      <c r="K151" t="s">
        <v>9961</v>
      </c>
      <c r="L151" t="s">
        <v>9962</v>
      </c>
      <c r="M151" s="3" t="str">
        <f>HYPERLINK(склад2въезд13[[#This Row],[RelativePath]])</f>
        <v>4 Крыльцо офиса\K07156189_21_20260121T164155Z.jpg</v>
      </c>
    </row>
    <row r="152" spans="1:13" x14ac:dyDescent="0.25">
      <c r="A152" s="2" t="s">
        <v>16</v>
      </c>
      <c r="B152" s="4">
        <v>46044</v>
      </c>
      <c r="C152" s="5">
        <v>0.45400462962962962</v>
      </c>
      <c r="D152" s="8" t="s">
        <v>4</v>
      </c>
      <c r="E152" s="8" t="s">
        <v>8803</v>
      </c>
      <c r="F152" s="8"/>
      <c r="H152" s="8"/>
      <c r="I152" s="8" t="s">
        <v>9963</v>
      </c>
      <c r="J152" s="8" t="s">
        <v>2991</v>
      </c>
      <c r="K152" t="s">
        <v>9964</v>
      </c>
      <c r="L152" t="s">
        <v>9965</v>
      </c>
      <c r="M152" s="3" t="str">
        <f>HYPERLINK(склад2въезд13[[#This Row],[RelativePath]])</f>
        <v>4 Крыльцо офиса\K07156189_21_20260122T105346Z.jpg</v>
      </c>
    </row>
    <row r="153" spans="1:13" x14ac:dyDescent="0.25">
      <c r="A153" s="2" t="s">
        <v>16</v>
      </c>
      <c r="B153" s="4">
        <v>46044</v>
      </c>
      <c r="C153" s="5">
        <v>0.71195601851851853</v>
      </c>
      <c r="D153" s="8" t="s">
        <v>4</v>
      </c>
      <c r="E153" s="8" t="s">
        <v>8803</v>
      </c>
      <c r="F153" s="8"/>
      <c r="H153" s="8"/>
      <c r="I153" s="8" t="s">
        <v>9966</v>
      </c>
      <c r="J153" s="8" t="s">
        <v>2991</v>
      </c>
      <c r="K153" t="s">
        <v>9967</v>
      </c>
      <c r="L153" t="s">
        <v>9968</v>
      </c>
      <c r="M153" s="3" t="str">
        <f>HYPERLINK(склад2въезд13[[#This Row],[RelativePath]])</f>
        <v>4 Крыльцо офиса\K07156189_21_20260122T170513Z.jpg</v>
      </c>
    </row>
    <row r="154" spans="1:13" x14ac:dyDescent="0.25">
      <c r="A154" s="2" t="s">
        <v>16</v>
      </c>
      <c r="B154" s="4">
        <v>46044</v>
      </c>
      <c r="C154" s="5">
        <v>0.97177083333333336</v>
      </c>
      <c r="D154" s="8" t="s">
        <v>4</v>
      </c>
      <c r="E154" s="8" t="s">
        <v>10164</v>
      </c>
      <c r="F154" s="8"/>
      <c r="H154" s="8"/>
      <c r="I154" s="8" t="s">
        <v>10186</v>
      </c>
      <c r="J154" s="8" t="s">
        <v>2991</v>
      </c>
      <c r="K154" t="s">
        <v>10187</v>
      </c>
      <c r="L154" t="s">
        <v>10188</v>
      </c>
      <c r="M154" s="3" t="str">
        <f>HYPERLINK(склад2въезд13[[#This Row],[RelativePath]])</f>
        <v>4 Крыльцо офиса\K07156189_21_20260122T231921Z.jpg</v>
      </c>
    </row>
    <row r="155" spans="1:13" x14ac:dyDescent="0.25">
      <c r="A155" s="2" t="s">
        <v>16</v>
      </c>
      <c r="B155" s="4">
        <v>46044</v>
      </c>
      <c r="C155" s="5">
        <v>0.98876157407407406</v>
      </c>
      <c r="D155" s="8" t="s">
        <v>4</v>
      </c>
      <c r="E155" s="8" t="s">
        <v>10164</v>
      </c>
      <c r="F155" s="8"/>
      <c r="H155" s="8" t="s">
        <v>10280</v>
      </c>
      <c r="I155" s="8" t="s">
        <v>10268</v>
      </c>
      <c r="J155" s="8" t="s">
        <v>2991</v>
      </c>
      <c r="K155" t="s">
        <v>10269</v>
      </c>
      <c r="L155" t="s">
        <v>10270</v>
      </c>
      <c r="M155" s="3" t="str">
        <f>HYPERLINK(склад2въезд13[[#This Row],[RelativePath]])</f>
        <v>4 Крыльцо офиса\K07156189_21_20260122T234349Z.jpg</v>
      </c>
    </row>
    <row r="156" spans="1:13" x14ac:dyDescent="0.25">
      <c r="A156" s="2" t="s">
        <v>17</v>
      </c>
      <c r="B156" s="4">
        <v>46045</v>
      </c>
      <c r="C156" s="5">
        <v>4.1898148148148146E-3</v>
      </c>
      <c r="D156" s="8" t="s">
        <v>4</v>
      </c>
      <c r="E156" s="8" t="s">
        <v>10164</v>
      </c>
      <c r="F156" s="8"/>
      <c r="H156" s="8" t="s">
        <v>10280</v>
      </c>
      <c r="I156" s="8" t="s">
        <v>10271</v>
      </c>
      <c r="J156" s="8" t="s">
        <v>2991</v>
      </c>
      <c r="K156" t="s">
        <v>10272</v>
      </c>
      <c r="L156" t="s">
        <v>10273</v>
      </c>
      <c r="M156" s="3" t="str">
        <f>HYPERLINK(склад2въезд13[[#This Row],[RelativePath]])</f>
        <v>4 Крыльцо офиса\K07156189_21_20260123T000602Z.jpg</v>
      </c>
    </row>
    <row r="157" spans="1:13" x14ac:dyDescent="0.25">
      <c r="A157" s="2" t="s">
        <v>17</v>
      </c>
      <c r="B157" s="4">
        <v>46045</v>
      </c>
      <c r="C157" s="5">
        <v>4.760416666666667E-2</v>
      </c>
      <c r="D157" s="8" t="s">
        <v>1606</v>
      </c>
      <c r="E157" s="8" t="s">
        <v>10165</v>
      </c>
      <c r="F157" s="8" t="s">
        <v>60</v>
      </c>
      <c r="H157" s="8"/>
      <c r="I157" s="8" t="s">
        <v>10274</v>
      </c>
      <c r="J157" s="8" t="s">
        <v>2991</v>
      </c>
      <c r="K157" t="s">
        <v>10275</v>
      </c>
      <c r="L157" t="s">
        <v>10276</v>
      </c>
      <c r="M157" s="3" t="str">
        <f>HYPERLINK(склад2въезд13[[#This Row],[RelativePath]])</f>
        <v>4 Крыльцо офиса\K07156189_21_20260123T010833Z.jpg</v>
      </c>
    </row>
    <row r="158" spans="1:13" x14ac:dyDescent="0.25">
      <c r="A158" s="2" t="s">
        <v>17</v>
      </c>
      <c r="B158" s="4">
        <v>46045</v>
      </c>
      <c r="C158" s="5">
        <v>0.44877314814814817</v>
      </c>
      <c r="D158" s="8" t="s">
        <v>4</v>
      </c>
      <c r="E158" s="8" t="s">
        <v>8803</v>
      </c>
      <c r="F158" s="8"/>
      <c r="H158" s="8"/>
      <c r="I158" s="8" t="s">
        <v>10277</v>
      </c>
      <c r="J158" s="8" t="s">
        <v>2991</v>
      </c>
      <c r="K158" t="s">
        <v>10278</v>
      </c>
      <c r="L158" t="s">
        <v>10279</v>
      </c>
      <c r="M158" s="3" t="str">
        <f>HYPERLINK(склад2въезд13[[#This Row],[RelativePath]])</f>
        <v>4 Крыльцо офиса\K07156189_21_20260123T104614Z.jpg</v>
      </c>
    </row>
    <row r="159" spans="1:13" x14ac:dyDescent="0.25">
      <c r="A159" s="2" t="s">
        <v>18</v>
      </c>
      <c r="B159" s="4">
        <v>46046</v>
      </c>
      <c r="C159" s="5">
        <v>0.68717592592592591</v>
      </c>
      <c r="D159" s="8" t="s">
        <v>2004</v>
      </c>
      <c r="E159" s="8" t="s">
        <v>8</v>
      </c>
      <c r="F159" s="8"/>
      <c r="H159" s="8"/>
      <c r="I159" s="8" t="s">
        <v>10494</v>
      </c>
      <c r="J159" s="8" t="s">
        <v>2991</v>
      </c>
      <c r="K159" t="s">
        <v>10495</v>
      </c>
      <c r="L159" t="s">
        <v>10496</v>
      </c>
      <c r="M159" s="3" t="str">
        <f>HYPERLINK(склад2въезд13[[#This Row],[RelativePath]])</f>
        <v>4 Крыльцо офиса\K07156189_21_20260124T162932Z.jpg</v>
      </c>
    </row>
    <row r="160" spans="1:13" x14ac:dyDescent="0.25">
      <c r="A160" s="2" t="s">
        <v>22</v>
      </c>
      <c r="B160" s="4">
        <v>46047</v>
      </c>
      <c r="C160" s="5">
        <v>0.70804398148148151</v>
      </c>
      <c r="D160" s="8" t="s">
        <v>2004</v>
      </c>
      <c r="E160" s="8" t="s">
        <v>8</v>
      </c>
      <c r="F160" s="8"/>
      <c r="H160" s="8"/>
      <c r="I160" s="8" t="s">
        <v>10497</v>
      </c>
      <c r="J160" s="8" t="s">
        <v>2991</v>
      </c>
      <c r="K160" t="s">
        <v>10498</v>
      </c>
      <c r="L160" t="s">
        <v>10499</v>
      </c>
      <c r="M160" s="3" t="str">
        <f>HYPERLINK(склад2въезд13[[#This Row],[RelativePath]])</f>
        <v>4 Крыльцо офиса\K07156189_21_20260125T165935Z.jpg</v>
      </c>
    </row>
    <row r="161" spans="1:13" x14ac:dyDescent="0.25">
      <c r="A161" s="2" t="s">
        <v>13</v>
      </c>
      <c r="B161" s="4">
        <v>46048</v>
      </c>
      <c r="C161" s="5">
        <v>0.65995370370370365</v>
      </c>
      <c r="D161" s="8" t="s">
        <v>2004</v>
      </c>
      <c r="E161" s="8" t="s">
        <v>8</v>
      </c>
      <c r="F161" s="8"/>
      <c r="H161" s="8"/>
      <c r="I161" s="8" t="s">
        <v>10540</v>
      </c>
      <c r="J161" s="8" t="s">
        <v>2991</v>
      </c>
      <c r="K161" t="s">
        <v>10541</v>
      </c>
      <c r="L161" t="s">
        <v>10542</v>
      </c>
      <c r="M161" s="3" t="str">
        <f>HYPERLINK(склад2въезд13[[#This Row],[RelativePath]])</f>
        <v>4 Крыльцо офиса\K07156189_21_20260126T155020Z.jpg</v>
      </c>
    </row>
    <row r="162" spans="1:13" x14ac:dyDescent="0.25">
      <c r="A162" s="2" t="s">
        <v>14</v>
      </c>
      <c r="B162" s="4">
        <v>46049</v>
      </c>
      <c r="C162" s="5">
        <v>0.50178240740740743</v>
      </c>
      <c r="D162" s="8" t="s">
        <v>2004</v>
      </c>
      <c r="E162" s="8" t="s">
        <v>8</v>
      </c>
      <c r="F162" s="8"/>
      <c r="H162" s="8"/>
      <c r="I162" s="8" t="s">
        <v>10543</v>
      </c>
      <c r="J162" s="8" t="s">
        <v>2991</v>
      </c>
      <c r="K162" t="s">
        <v>10544</v>
      </c>
      <c r="L162" t="s">
        <v>10545</v>
      </c>
      <c r="M162" s="3" t="str">
        <f>HYPERLINK(склад2въезд13[[#This Row],[RelativePath]])</f>
        <v>4 Крыльцо офиса\K07156189_21_20260127T120234Z.jpg</v>
      </c>
    </row>
    <row r="163" spans="1:13" x14ac:dyDescent="0.25">
      <c r="A163" s="2" t="s">
        <v>15</v>
      </c>
      <c r="B163" s="4">
        <v>46050</v>
      </c>
      <c r="C163" s="5">
        <v>0.62151620370370375</v>
      </c>
      <c r="D163" s="8" t="s">
        <v>4</v>
      </c>
      <c r="E163" s="8" t="s">
        <v>10886</v>
      </c>
      <c r="F163" s="8"/>
      <c r="H163" s="8"/>
      <c r="I163" s="8" t="s">
        <v>10710</v>
      </c>
      <c r="J163" s="8" t="s">
        <v>2991</v>
      </c>
      <c r="K163" t="s">
        <v>10711</v>
      </c>
      <c r="L163" t="s">
        <v>10712</v>
      </c>
      <c r="M163" s="3" t="str">
        <f>HYPERLINK(склад2въезд13[[#This Row],[RelativePath]])</f>
        <v>4 Крыльцо офиса\K07156189_21_20260128T145459Z.jpg</v>
      </c>
    </row>
    <row r="164" spans="1:13" x14ac:dyDescent="0.25">
      <c r="A164" s="2" t="s">
        <v>16</v>
      </c>
      <c r="B164" s="4">
        <v>46051</v>
      </c>
      <c r="C164" s="5">
        <v>0.52840277777777778</v>
      </c>
      <c r="D164" s="8" t="s">
        <v>4</v>
      </c>
      <c r="E164" s="8" t="s">
        <v>8803</v>
      </c>
      <c r="F164" s="8"/>
      <c r="H164" s="8"/>
      <c r="I164" s="8" t="s">
        <v>10713</v>
      </c>
      <c r="J164" s="8" t="s">
        <v>2991</v>
      </c>
      <c r="K164" t="s">
        <v>10714</v>
      </c>
      <c r="L164" t="s">
        <v>10715</v>
      </c>
      <c r="M164" s="3" t="str">
        <f>HYPERLINK(склад2въезд13[[#This Row],[RelativePath]])</f>
        <v>4 Крыльцо офиса\K07156189_21_20260129T124054Z.jpg</v>
      </c>
    </row>
    <row r="165" spans="1:13" x14ac:dyDescent="0.25">
      <c r="A165" s="2" t="s">
        <v>17</v>
      </c>
      <c r="B165" s="4">
        <v>46052</v>
      </c>
      <c r="C165" s="5">
        <v>0.38755787037037037</v>
      </c>
      <c r="D165" s="8" t="s">
        <v>4</v>
      </c>
      <c r="E165" s="8" t="s">
        <v>70</v>
      </c>
      <c r="F165" s="8" t="s">
        <v>5093</v>
      </c>
      <c r="H165" s="8"/>
      <c r="I165" s="8" t="s">
        <v>10908</v>
      </c>
      <c r="J165" s="8" t="s">
        <v>2991</v>
      </c>
      <c r="K165" t="s">
        <v>10909</v>
      </c>
      <c r="L165" t="s">
        <v>10910</v>
      </c>
      <c r="M165" s="3" t="str">
        <f>HYPERLINK(склад2въезд13[[#This Row],[RelativePath]])</f>
        <v>4 Крыльцо офиса\K07156189_21_20260130T091805Z.jpg</v>
      </c>
    </row>
    <row r="166" spans="1:13" x14ac:dyDescent="0.25">
      <c r="A166" s="2" t="s">
        <v>17</v>
      </c>
      <c r="B166" s="4">
        <v>46052</v>
      </c>
      <c r="C166" s="5">
        <v>0.38785879629629627</v>
      </c>
      <c r="D166" s="8" t="s">
        <v>289</v>
      </c>
      <c r="E166" s="8" t="s">
        <v>70</v>
      </c>
      <c r="F166" s="8" t="s">
        <v>5093</v>
      </c>
      <c r="H166" s="8"/>
      <c r="I166" s="8" t="s">
        <v>10911</v>
      </c>
      <c r="J166" s="8" t="s">
        <v>2991</v>
      </c>
      <c r="K166" t="s">
        <v>10912</v>
      </c>
      <c r="L166" t="s">
        <v>10913</v>
      </c>
      <c r="M166" s="3" t="str">
        <f>HYPERLINK(склад2въезд13[[#This Row],[RelativePath]])</f>
        <v>4 Крыльцо офиса\K07156189_21_20260130T091831Z.jpg</v>
      </c>
    </row>
    <row r="167" spans="1:13" x14ac:dyDescent="0.25">
      <c r="A167" s="2" t="s">
        <v>18</v>
      </c>
      <c r="B167" s="4">
        <v>46053</v>
      </c>
      <c r="C167" s="5">
        <v>0.48790509259259257</v>
      </c>
      <c r="D167" s="8" t="s">
        <v>2004</v>
      </c>
      <c r="E167" s="8" t="s">
        <v>8</v>
      </c>
      <c r="F167" s="8"/>
      <c r="H167" s="8"/>
      <c r="I167" s="8" t="s">
        <v>11028</v>
      </c>
      <c r="J167" s="8" t="s">
        <v>2991</v>
      </c>
      <c r="K167" t="s">
        <v>11029</v>
      </c>
      <c r="L167" t="s">
        <v>11030</v>
      </c>
      <c r="M167" s="3" t="str">
        <f>HYPERLINK(склад2въезд13[[#This Row],[RelativePath]])</f>
        <v>4 Крыльцо офиса\K07156189_21_20260131T114235Z.jpg</v>
      </c>
    </row>
    <row r="168" spans="1:13" x14ac:dyDescent="0.25">
      <c r="A168" s="2" t="s">
        <v>22</v>
      </c>
      <c r="B168" s="4">
        <v>46054</v>
      </c>
      <c r="C168" s="5">
        <v>0.70708333333333329</v>
      </c>
      <c r="D168" s="8" t="s">
        <v>2004</v>
      </c>
      <c r="E168" s="8" t="s">
        <v>8</v>
      </c>
      <c r="F168" s="8"/>
      <c r="H168" s="8"/>
      <c r="I168" s="8" t="s">
        <v>11031</v>
      </c>
      <c r="J168" s="8" t="s">
        <v>2991</v>
      </c>
      <c r="K168" t="s">
        <v>11032</v>
      </c>
      <c r="L168" t="s">
        <v>11033</v>
      </c>
      <c r="M168" s="3" t="str">
        <f>HYPERLINK(склад2въезд13[[#This Row],[RelativePath]])</f>
        <v>4 Крыльцо офиса\K07156189_21_20260201T165812Z.jpg</v>
      </c>
    </row>
    <row r="169" spans="1:13" x14ac:dyDescent="0.25">
      <c r="A169" s="2" t="s">
        <v>13</v>
      </c>
      <c r="B169" s="4">
        <v>46055</v>
      </c>
      <c r="C169" s="5">
        <v>0.66347222222222224</v>
      </c>
      <c r="D169" s="8" t="s">
        <v>4</v>
      </c>
      <c r="E169" s="8" t="s">
        <v>8803</v>
      </c>
      <c r="F169" s="8"/>
      <c r="H169" s="8"/>
      <c r="I169" s="8" t="s">
        <v>11187</v>
      </c>
      <c r="J169" s="8" t="s">
        <v>2991</v>
      </c>
      <c r="K169" t="s">
        <v>11188</v>
      </c>
      <c r="L169" t="s">
        <v>11189</v>
      </c>
      <c r="M169" s="3" t="str">
        <f>HYPERLINK(склад2въезд13[[#This Row],[RelativePath]])</f>
        <v>4 Крыльцо офиса\K07156189_21_20260202T155524Z.jpg</v>
      </c>
    </row>
    <row r="170" spans="1:13" x14ac:dyDescent="0.25">
      <c r="A170" s="2" t="s">
        <v>14</v>
      </c>
      <c r="B170" s="4">
        <v>46056</v>
      </c>
      <c r="C170" s="5">
        <v>0.79167824074074078</v>
      </c>
      <c r="D170" s="8" t="s">
        <v>289</v>
      </c>
      <c r="E170" s="8" t="s">
        <v>6190</v>
      </c>
      <c r="F170" s="8" t="s">
        <v>11413</v>
      </c>
      <c r="H170" s="8"/>
      <c r="I170" s="8" t="s">
        <v>11190</v>
      </c>
      <c r="J170" s="8" t="s">
        <v>2991</v>
      </c>
      <c r="K170" t="s">
        <v>11191</v>
      </c>
      <c r="L170" t="s">
        <v>11192</v>
      </c>
      <c r="M170" s="3" t="str">
        <f>HYPERLINK(склад2въезд13[[#This Row],[RelativePath]])</f>
        <v>4 Крыльцо офиса\K07156189_21_20260203T190001Z.jpg</v>
      </c>
    </row>
    <row r="171" spans="1:13" x14ac:dyDescent="0.25">
      <c r="A171" s="2" t="s">
        <v>14</v>
      </c>
      <c r="B171" s="4">
        <v>46056</v>
      </c>
      <c r="C171" s="5">
        <v>0.79401620370370374</v>
      </c>
      <c r="D171" s="8" t="s">
        <v>650</v>
      </c>
      <c r="E171" s="8" t="s">
        <v>6190</v>
      </c>
      <c r="F171" s="8" t="s">
        <v>11413</v>
      </c>
      <c r="H171" s="8"/>
      <c r="I171" s="8" t="s">
        <v>11193</v>
      </c>
      <c r="J171" s="8" t="s">
        <v>2991</v>
      </c>
      <c r="K171" t="s">
        <v>11194</v>
      </c>
      <c r="L171" t="s">
        <v>11195</v>
      </c>
      <c r="M171" s="3" t="str">
        <f>HYPERLINK(склад2въезд13[[#This Row],[RelativePath]])</f>
        <v>4 Крыльцо офиса\K07156189_21_20260203T190323Z.jpg</v>
      </c>
    </row>
    <row r="172" spans="1:13" x14ac:dyDescent="0.25">
      <c r="A172" s="2" t="s">
        <v>14</v>
      </c>
      <c r="B172" s="4">
        <v>46056</v>
      </c>
      <c r="C172" s="5">
        <v>0.83732638888888888</v>
      </c>
      <c r="D172" s="8" t="s">
        <v>1606</v>
      </c>
      <c r="E172" s="8" t="s">
        <v>6190</v>
      </c>
      <c r="F172" s="8"/>
      <c r="H172" s="8"/>
      <c r="I172" s="8" t="s">
        <v>11196</v>
      </c>
      <c r="J172" s="8" t="s">
        <v>2991</v>
      </c>
      <c r="K172" t="s">
        <v>11197</v>
      </c>
      <c r="L172" t="s">
        <v>11198</v>
      </c>
      <c r="M172" s="3" t="str">
        <f>HYPERLINK(склад2въезд13[[#This Row],[RelativePath]])</f>
        <v>4 Крыльцо офиса\K07156189_21_20260203T200545Z.jpg</v>
      </c>
    </row>
    <row r="173" spans="1:13" x14ac:dyDescent="0.25">
      <c r="A173" s="2" t="s">
        <v>15</v>
      </c>
      <c r="B173" s="4">
        <v>46057</v>
      </c>
      <c r="C173" s="5">
        <v>0.62151620370370375</v>
      </c>
      <c r="D173" s="8" t="s">
        <v>4</v>
      </c>
      <c r="E173" s="8" t="s">
        <v>8803</v>
      </c>
      <c r="F173" s="8"/>
      <c r="H173" s="8"/>
      <c r="I173" s="8" t="s">
        <v>11472</v>
      </c>
      <c r="J173" s="8" t="s">
        <v>2991</v>
      </c>
      <c r="K173" t="s">
        <v>11473</v>
      </c>
      <c r="L173" t="s">
        <v>11474</v>
      </c>
      <c r="M173" s="3" t="str">
        <f>HYPERLINK(склад2въезд13[[#This Row],[RelativePath]])</f>
        <v>4 Крыльцо офиса\K07156189_21_20260204T145459Z.jpg</v>
      </c>
    </row>
    <row r="174" spans="1:13" x14ac:dyDescent="0.25">
      <c r="A174" s="2" t="s">
        <v>16</v>
      </c>
      <c r="B174" s="4">
        <v>46058</v>
      </c>
      <c r="C174" s="5">
        <v>0.58555555555555561</v>
      </c>
      <c r="D174" s="8" t="s">
        <v>4</v>
      </c>
      <c r="E174" s="8" t="s">
        <v>8803</v>
      </c>
      <c r="F174" s="8"/>
      <c r="H174" s="8"/>
      <c r="I174" s="8" t="s">
        <v>11475</v>
      </c>
      <c r="J174" s="8" t="s">
        <v>2991</v>
      </c>
      <c r="K174" t="s">
        <v>11476</v>
      </c>
      <c r="L174" t="s">
        <v>11477</v>
      </c>
      <c r="M174" s="3" t="str">
        <f>HYPERLINK(склад2въезд13[[#This Row],[RelativePath]])</f>
        <v>4 Крыльцо офиса\K07156189_21_20260205T140312Z.jpg</v>
      </c>
    </row>
    <row r="175" spans="1:13" x14ac:dyDescent="0.25">
      <c r="A175" s="2" t="s">
        <v>17</v>
      </c>
      <c r="B175" s="4">
        <v>46059</v>
      </c>
      <c r="C175" s="5">
        <v>0.52001157407407406</v>
      </c>
      <c r="D175" s="8" t="s">
        <v>4</v>
      </c>
      <c r="E175" s="8" t="s">
        <v>8803</v>
      </c>
      <c r="F175" s="8"/>
      <c r="H175" s="8"/>
      <c r="I175" s="8" t="s">
        <v>11478</v>
      </c>
      <c r="J175" s="8" t="s">
        <v>2991</v>
      </c>
      <c r="K175" t="s">
        <v>11479</v>
      </c>
      <c r="L175" t="s">
        <v>11480</v>
      </c>
      <c r="M175" s="3" t="str">
        <f>HYPERLINK(склад2въезд13[[#This Row],[RelativePath]])</f>
        <v>4 Крыльцо офиса\K07156189_21_20260206T122849Z.jpg</v>
      </c>
    </row>
    <row r="176" spans="1:13" x14ac:dyDescent="0.25">
      <c r="A176" s="2" t="s">
        <v>18</v>
      </c>
      <c r="B176" s="4">
        <v>46060</v>
      </c>
      <c r="C176" s="5">
        <v>0.66626157407407405</v>
      </c>
      <c r="D176" s="8" t="s">
        <v>4</v>
      </c>
      <c r="E176" s="8" t="s">
        <v>8</v>
      </c>
      <c r="F176" s="8"/>
      <c r="H176" s="8"/>
      <c r="I176" s="8" t="s">
        <v>11670</v>
      </c>
      <c r="J176" s="8" t="s">
        <v>2991</v>
      </c>
      <c r="K176" t="s">
        <v>11671</v>
      </c>
      <c r="L176" t="s">
        <v>11672</v>
      </c>
      <c r="M176" s="3" t="str">
        <f>HYPERLINK(склад2въезд13[[#This Row],[RelativePath]])</f>
        <v>4 Крыльцо офиса\K07156189_21_20260207T155925Z.jpg</v>
      </c>
    </row>
    <row r="177" spans="1:13" x14ac:dyDescent="0.25">
      <c r="A177" s="2" t="s">
        <v>22</v>
      </c>
      <c r="B177" s="4">
        <v>46061</v>
      </c>
      <c r="C177" s="5">
        <v>0.68674768518518514</v>
      </c>
      <c r="D177" s="8" t="s">
        <v>2004</v>
      </c>
      <c r="E177" s="8" t="s">
        <v>8</v>
      </c>
      <c r="F177" s="8"/>
      <c r="H177" s="8"/>
      <c r="I177" s="8" t="s">
        <v>11673</v>
      </c>
      <c r="J177" s="8" t="s">
        <v>2991</v>
      </c>
      <c r="K177" t="s">
        <v>11674</v>
      </c>
      <c r="L177" t="s">
        <v>11675</v>
      </c>
      <c r="M177" s="3" t="str">
        <f>HYPERLINK(склад2въезд13[[#This Row],[RelativePath]])</f>
        <v>4 Крыльцо офиса\K07156189_21_20260208T162855Z.jpg</v>
      </c>
    </row>
  </sheetData>
  <conditionalFormatting sqref="D178:D188 E178:E191 G2:H177 D2:E177">
    <cfRule type="containsText" dxfId="726" priority="14" operator="containsText" text="Выезд с территории">
      <formula>NOT(ISERROR(SEARCH("Выезд с территории",D2)))</formula>
    </cfRule>
  </conditionalFormatting>
  <conditionalFormatting sqref="F2:F177">
    <cfRule type="notContainsText" dxfId="725" priority="13" operator="notContains" text="порожний">
      <formula>ISERROR(SEARCH("порожний",F2))</formula>
    </cfRule>
  </conditionalFormatting>
  <conditionalFormatting sqref="E2:E191">
    <cfRule type="containsText" dxfId="724" priority="11" operator="containsText" text="Газель базы">
      <formula>NOT(ISERROR(SEARCH("Газель базы",E2)))</formula>
    </cfRule>
    <cfRule type="containsText" dxfId="723" priority="12" operator="containsText" text="Погрузчик базы">
      <formula>NOT(ISERROR(SEARCH("Погрузчик базы",E2)))</formula>
    </cfRule>
  </conditionalFormatting>
  <conditionalFormatting sqref="E2:E191">
    <cfRule type="containsText" dxfId="722" priority="10" operator="containsText" text="Трактор базы">
      <formula>NOT(ISERROR(SEARCH("Трактор базы",E2)))</formula>
    </cfRule>
  </conditionalFormatting>
  <conditionalFormatting sqref="A2:C177">
    <cfRule type="expression" dxfId="721" priority="9">
      <formula>$A2="пн"</formula>
    </cfRule>
  </conditionalFormatting>
  <conditionalFormatting sqref="A2:C179">
    <cfRule type="expression" dxfId="720" priority="3">
      <formula>$A2="вс"</formula>
    </cfRule>
    <cfRule type="expression" dxfId="719" priority="4">
      <formula>$A2="сб"</formula>
    </cfRule>
    <cfRule type="expression" dxfId="718" priority="5">
      <formula>$A2="пт"</formula>
    </cfRule>
    <cfRule type="expression" dxfId="717" priority="6">
      <formula>$A2="чт"</formula>
    </cfRule>
    <cfRule type="expression" dxfId="716" priority="7">
      <formula>$A2="ср"</formula>
    </cfRule>
    <cfRule type="expression" dxfId="715" priority="8">
      <formula>$A2="вт"</formula>
    </cfRule>
  </conditionalFormatting>
  <conditionalFormatting sqref="D2:D188">
    <cfRule type="containsText" dxfId="71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8">
    <cfRule type="containsText" dxfId="71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313"/>
  <sheetViews>
    <sheetView topLeftCell="B1" zoomScale="90" zoomScaleNormal="90" workbookViewId="0">
      <pane ySplit="1" topLeftCell="A301" activePane="bottomLeft" state="frozen"/>
      <selection pane="bottomLeft" activeCell="I312" sqref="I312:I31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333</v>
      </c>
      <c r="J2" s="8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8" t="s">
        <v>460</v>
      </c>
      <c r="E3" s="8" t="s">
        <v>461</v>
      </c>
      <c r="F3" s="8"/>
      <c r="H3" s="8"/>
      <c r="I3" s="8" t="s">
        <v>337</v>
      </c>
      <c r="J3" s="8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8" t="s">
        <v>7</v>
      </c>
      <c r="E4" s="8" t="s">
        <v>461</v>
      </c>
      <c r="F4" s="8"/>
      <c r="H4" s="8"/>
      <c r="I4" s="8" t="s">
        <v>340</v>
      </c>
      <c r="J4" s="8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8" t="s">
        <v>4</v>
      </c>
      <c r="E5" s="8" t="s">
        <v>463</v>
      </c>
      <c r="F5" s="8"/>
      <c r="H5" s="8"/>
      <c r="I5" s="8" t="s">
        <v>343</v>
      </c>
      <c r="J5" s="8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8" t="s">
        <v>4</v>
      </c>
      <c r="E6" s="8" t="s">
        <v>462</v>
      </c>
      <c r="F6" s="8"/>
      <c r="H6" s="8"/>
      <c r="I6" s="8" t="s">
        <v>346</v>
      </c>
      <c r="J6" s="8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8" t="s">
        <v>4</v>
      </c>
      <c r="E7" s="8" t="s">
        <v>462</v>
      </c>
      <c r="F7" s="8"/>
      <c r="H7" s="8"/>
      <c r="I7" s="8" t="s">
        <v>349</v>
      </c>
      <c r="J7" s="8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8" t="s">
        <v>4</v>
      </c>
      <c r="E8" s="8" t="s">
        <v>463</v>
      </c>
      <c r="F8" s="8"/>
      <c r="H8" s="8"/>
      <c r="I8" s="8" t="s">
        <v>352</v>
      </c>
      <c r="J8" s="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8" t="s">
        <v>4</v>
      </c>
      <c r="E9" s="8" t="s">
        <v>464</v>
      </c>
      <c r="F9" s="8"/>
      <c r="H9" s="8"/>
      <c r="I9" s="8" t="s">
        <v>355</v>
      </c>
      <c r="J9" s="8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358</v>
      </c>
      <c r="J10" s="8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8" t="s">
        <v>4</v>
      </c>
      <c r="E11" s="8" t="s">
        <v>465</v>
      </c>
      <c r="F11" s="8"/>
      <c r="H11" s="8"/>
      <c r="I11" s="8" t="s">
        <v>361</v>
      </c>
      <c r="J11" s="8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8" t="s">
        <v>467</v>
      </c>
      <c r="E12" s="8" t="s">
        <v>67</v>
      </c>
      <c r="F12" s="8"/>
      <c r="H12" s="8"/>
      <c r="I12" s="8" t="s">
        <v>364</v>
      </c>
      <c r="J12" s="8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8" t="s">
        <v>289</v>
      </c>
      <c r="E13" s="8" t="s">
        <v>67</v>
      </c>
      <c r="F13" s="8" t="s">
        <v>468</v>
      </c>
      <c r="H13" s="8"/>
      <c r="I13" s="8" t="s">
        <v>367</v>
      </c>
      <c r="J13" s="8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8" t="s">
        <v>289</v>
      </c>
      <c r="E14" s="8" t="s">
        <v>67</v>
      </c>
      <c r="F14" s="8" t="s">
        <v>468</v>
      </c>
      <c r="H14" s="8"/>
      <c r="I14" s="8" t="s">
        <v>370</v>
      </c>
      <c r="J14" s="8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8" t="s">
        <v>289</v>
      </c>
      <c r="E15" s="8" t="s">
        <v>67</v>
      </c>
      <c r="F15" s="8" t="s">
        <v>468</v>
      </c>
      <c r="H15" s="8"/>
      <c r="I15" s="8" t="s">
        <v>373</v>
      </c>
      <c r="J15" s="8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8" t="s">
        <v>289</v>
      </c>
      <c r="E16" s="8" t="s">
        <v>67</v>
      </c>
      <c r="F16" s="8" t="s">
        <v>468</v>
      </c>
      <c r="H16" s="8"/>
      <c r="I16" s="8" t="s">
        <v>376</v>
      </c>
      <c r="J16" s="8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8" t="s">
        <v>289</v>
      </c>
      <c r="E17" s="8" t="s">
        <v>67</v>
      </c>
      <c r="F17" s="8" t="s">
        <v>468</v>
      </c>
      <c r="H17" s="8"/>
      <c r="I17" s="8" t="s">
        <v>379</v>
      </c>
      <c r="J17" s="8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8" t="s">
        <v>289</v>
      </c>
      <c r="E18" s="8" t="s">
        <v>67</v>
      </c>
      <c r="F18" s="8" t="s">
        <v>468</v>
      </c>
      <c r="H18" s="8"/>
      <c r="I18" s="8" t="s">
        <v>382</v>
      </c>
      <c r="J18" s="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8" t="s">
        <v>289</v>
      </c>
      <c r="E19" s="8" t="s">
        <v>67</v>
      </c>
      <c r="F19" s="8" t="s">
        <v>468</v>
      </c>
      <c r="H19" s="8"/>
      <c r="I19" s="8" t="s">
        <v>385</v>
      </c>
      <c r="J19" s="8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8" t="s">
        <v>289</v>
      </c>
      <c r="E20" s="8" t="s">
        <v>67</v>
      </c>
      <c r="F20" s="8" t="s">
        <v>468</v>
      </c>
      <c r="H20" s="8"/>
      <c r="I20" s="8" t="s">
        <v>388</v>
      </c>
      <c r="J20" s="8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8" t="s">
        <v>289</v>
      </c>
      <c r="E21" s="8" t="s">
        <v>67</v>
      </c>
      <c r="F21" s="8" t="s">
        <v>468</v>
      </c>
      <c r="H21" s="8"/>
      <c r="I21" s="8" t="s">
        <v>391</v>
      </c>
      <c r="J21" s="8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8" t="s">
        <v>289</v>
      </c>
      <c r="E22" s="8" t="s">
        <v>67</v>
      </c>
      <c r="F22" s="8" t="s">
        <v>468</v>
      </c>
      <c r="H22" s="8"/>
      <c r="I22" s="8" t="s">
        <v>394</v>
      </c>
      <c r="J22" s="8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8" t="s">
        <v>289</v>
      </c>
      <c r="E23" s="8" t="s">
        <v>67</v>
      </c>
      <c r="F23" s="8" t="s">
        <v>468</v>
      </c>
      <c r="H23" s="8"/>
      <c r="I23" s="8" t="s">
        <v>397</v>
      </c>
      <c r="J23" s="8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8" t="s">
        <v>289</v>
      </c>
      <c r="E24" s="8" t="s">
        <v>67</v>
      </c>
      <c r="F24" s="8" t="s">
        <v>468</v>
      </c>
      <c r="H24" s="8"/>
      <c r="I24" s="8" t="s">
        <v>400</v>
      </c>
      <c r="J24" s="8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8" t="s">
        <v>289</v>
      </c>
      <c r="E25" s="8" t="s">
        <v>67</v>
      </c>
      <c r="F25" s="8" t="s">
        <v>468</v>
      </c>
      <c r="H25" s="8"/>
      <c r="I25" s="8" t="s">
        <v>403</v>
      </c>
      <c r="J25" s="8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8" t="s">
        <v>289</v>
      </c>
      <c r="E26" s="8" t="s">
        <v>67</v>
      </c>
      <c r="F26" s="8" t="s">
        <v>468</v>
      </c>
      <c r="H26" s="8"/>
      <c r="I26" s="8" t="s">
        <v>406</v>
      </c>
      <c r="J26" s="8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8" t="s">
        <v>289</v>
      </c>
      <c r="E27" s="8" t="s">
        <v>67</v>
      </c>
      <c r="F27" s="8" t="s">
        <v>469</v>
      </c>
      <c r="H27" s="8" t="s">
        <v>470</v>
      </c>
      <c r="I27" s="8" t="s">
        <v>409</v>
      </c>
      <c r="J27" s="8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8" t="s">
        <v>471</v>
      </c>
      <c r="E28" s="8" t="s">
        <v>67</v>
      </c>
      <c r="F28" s="8" t="s">
        <v>468</v>
      </c>
      <c r="H28" s="8"/>
      <c r="I28" s="8" t="s">
        <v>412</v>
      </c>
      <c r="J28" s="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8" t="s">
        <v>472</v>
      </c>
      <c r="E29" s="8" t="s">
        <v>67</v>
      </c>
      <c r="F29" s="8" t="s">
        <v>468</v>
      </c>
      <c r="H29" s="8"/>
      <c r="I29" s="8" t="s">
        <v>415</v>
      </c>
      <c r="J29" s="8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8" t="s">
        <v>4</v>
      </c>
      <c r="E30" s="8" t="s">
        <v>473</v>
      </c>
      <c r="F30" s="8"/>
      <c r="H30" s="8"/>
      <c r="I30" s="8" t="s">
        <v>418</v>
      </c>
      <c r="J30" s="8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8" t="s">
        <v>4</v>
      </c>
      <c r="E31" s="8" t="s">
        <v>8</v>
      </c>
      <c r="F31" s="8"/>
      <c r="H31" s="8" t="s">
        <v>5</v>
      </c>
      <c r="I31" s="8" t="s">
        <v>421</v>
      </c>
      <c r="J31" s="8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8" t="s">
        <v>4</v>
      </c>
      <c r="E32" s="8" t="s">
        <v>8</v>
      </c>
      <c r="F32" s="8"/>
      <c r="H32" s="8"/>
      <c r="I32" s="8" t="s">
        <v>424</v>
      </c>
      <c r="J32" s="8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8" t="s">
        <v>4</v>
      </c>
      <c r="E33" s="8" t="s">
        <v>477</v>
      </c>
      <c r="F33" s="8"/>
      <c r="H33" s="8" t="s">
        <v>478</v>
      </c>
      <c r="I33" s="8" t="s">
        <v>427</v>
      </c>
      <c r="J33" s="8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8" t="s">
        <v>4</v>
      </c>
      <c r="E34" s="8" t="s">
        <v>8</v>
      </c>
      <c r="F34" s="8"/>
      <c r="H34" s="8" t="s">
        <v>5</v>
      </c>
      <c r="I34" s="8" t="s">
        <v>430</v>
      </c>
      <c r="J34" s="8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8" t="s">
        <v>4</v>
      </c>
      <c r="E35" s="8" t="s">
        <v>8</v>
      </c>
      <c r="F35" s="8"/>
      <c r="H35" s="8" t="s">
        <v>474</v>
      </c>
      <c r="I35" s="8" t="s">
        <v>433</v>
      </c>
      <c r="J35" s="8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8" t="s">
        <v>4</v>
      </c>
      <c r="E36" s="8" t="s">
        <v>8</v>
      </c>
      <c r="F36" s="8"/>
      <c r="H36" s="8"/>
      <c r="I36" s="8" t="s">
        <v>436</v>
      </c>
      <c r="J36" s="8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8" t="s">
        <v>4</v>
      </c>
      <c r="E37" s="8" t="s">
        <v>8</v>
      </c>
      <c r="F37" s="8"/>
      <c r="H37" s="8" t="s">
        <v>6</v>
      </c>
      <c r="I37" s="8" t="s">
        <v>439</v>
      </c>
      <c r="J37" s="8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8" t="s">
        <v>4</v>
      </c>
      <c r="E38" s="8" t="s">
        <v>8</v>
      </c>
      <c r="F38" s="8"/>
      <c r="H38" s="8" t="s">
        <v>5</v>
      </c>
      <c r="I38" s="8" t="s">
        <v>442</v>
      </c>
      <c r="J38" s="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8" t="s">
        <v>4</v>
      </c>
      <c r="E39" s="8" t="s">
        <v>475</v>
      </c>
      <c r="F39" s="8"/>
      <c r="H39" s="8"/>
      <c r="I39" s="8" t="s">
        <v>445</v>
      </c>
      <c r="J39" s="8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8" t="s">
        <v>4</v>
      </c>
      <c r="E40" s="8" t="s">
        <v>475</v>
      </c>
      <c r="F40" s="8"/>
      <c r="H40" s="8"/>
      <c r="I40" s="8" t="s">
        <v>448</v>
      </c>
      <c r="J40" s="8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8" t="s">
        <v>4</v>
      </c>
      <c r="E41" s="8" t="s">
        <v>479</v>
      </c>
      <c r="F41" s="8"/>
      <c r="H41" s="8" t="s">
        <v>476</v>
      </c>
      <c r="I41" s="8" t="s">
        <v>451</v>
      </c>
      <c r="J41" s="8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8" t="s">
        <v>4</v>
      </c>
      <c r="E42" s="8" t="s">
        <v>8</v>
      </c>
      <c r="F42" s="8"/>
      <c r="H42" s="8"/>
      <c r="I42" s="8" t="s">
        <v>454</v>
      </c>
      <c r="J42" s="8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8" t="s">
        <v>4</v>
      </c>
      <c r="E43" s="8" t="s">
        <v>8</v>
      </c>
      <c r="F43" s="8"/>
      <c r="H43" s="8" t="s">
        <v>6</v>
      </c>
      <c r="I43" s="8" t="s">
        <v>457</v>
      </c>
      <c r="J43" s="8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8" t="s">
        <v>4</v>
      </c>
      <c r="E44" s="8" t="s">
        <v>8</v>
      </c>
      <c r="F44" s="8"/>
      <c r="H44" s="8" t="s">
        <v>1625</v>
      </c>
      <c r="I44" s="8" t="s">
        <v>1295</v>
      </c>
      <c r="J44" s="8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8" t="s">
        <v>4</v>
      </c>
      <c r="E45" s="8" t="s">
        <v>8</v>
      </c>
      <c r="F45" s="8"/>
      <c r="H45" s="8" t="s">
        <v>2009</v>
      </c>
      <c r="I45" s="8" t="s">
        <v>1298</v>
      </c>
      <c r="J45" s="8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8" t="s">
        <v>4</v>
      </c>
      <c r="E46" s="8" t="s">
        <v>2014</v>
      </c>
      <c r="F46" s="8"/>
      <c r="H46" s="8" t="s">
        <v>1625</v>
      </c>
      <c r="I46" s="8" t="s">
        <v>1301</v>
      </c>
      <c r="J46" s="8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8" t="s">
        <v>4</v>
      </c>
      <c r="E47" s="8" t="s">
        <v>8</v>
      </c>
      <c r="F47" s="8"/>
      <c r="H47" s="8"/>
      <c r="I47" s="8" t="s">
        <v>2094</v>
      </c>
      <c r="J47" s="8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8" t="s">
        <v>4</v>
      </c>
      <c r="E48" s="8" t="s">
        <v>8</v>
      </c>
      <c r="F48" s="8"/>
      <c r="H48" s="8"/>
      <c r="I48" s="8" t="s">
        <v>2097</v>
      </c>
      <c r="J48" s="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8" t="s">
        <v>4</v>
      </c>
      <c r="E49" s="8" t="s">
        <v>8</v>
      </c>
      <c r="F49" s="8"/>
      <c r="H49" s="8"/>
      <c r="I49" s="8" t="s">
        <v>2100</v>
      </c>
      <c r="J49" s="8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8" t="s">
        <v>4</v>
      </c>
      <c r="E50" s="8" t="s">
        <v>8</v>
      </c>
      <c r="F50" s="8"/>
      <c r="H50" s="8"/>
      <c r="I50" s="8" t="s">
        <v>2103</v>
      </c>
      <c r="J50" s="8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8" t="s">
        <v>4</v>
      </c>
      <c r="E51" s="8" t="s">
        <v>8</v>
      </c>
      <c r="F51" s="8"/>
      <c r="H51" s="8"/>
      <c r="I51" s="8" t="s">
        <v>2106</v>
      </c>
      <c r="J51" s="8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8" t="s">
        <v>4</v>
      </c>
      <c r="E52" s="8" t="s">
        <v>8</v>
      </c>
      <c r="F52" s="8"/>
      <c r="H52" s="8"/>
      <c r="I52" s="8" t="s">
        <v>2109</v>
      </c>
      <c r="J52" s="8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8" t="s">
        <v>4</v>
      </c>
      <c r="E53" s="8" t="s">
        <v>8</v>
      </c>
      <c r="F53" s="8"/>
      <c r="H53" s="8"/>
      <c r="I53" s="8" t="s">
        <v>2112</v>
      </c>
      <c r="J53" s="8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8" t="s">
        <v>4</v>
      </c>
      <c r="E54" s="8" t="s">
        <v>8</v>
      </c>
      <c r="F54" s="8"/>
      <c r="H54" s="8"/>
      <c r="I54" s="8" t="s">
        <v>3079</v>
      </c>
      <c r="J54" s="8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8" t="s">
        <v>4</v>
      </c>
      <c r="E55" s="8" t="s">
        <v>8</v>
      </c>
      <c r="F55" s="8"/>
      <c r="H55" s="8"/>
      <c r="I55" s="8" t="s">
        <v>3082</v>
      </c>
      <c r="J55" s="8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8" t="s">
        <v>4</v>
      </c>
      <c r="E56" s="8" t="s">
        <v>8</v>
      </c>
      <c r="F56" s="8"/>
      <c r="H56" s="8"/>
      <c r="I56" s="8" t="s">
        <v>3085</v>
      </c>
      <c r="J56" s="8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8" t="s">
        <v>4</v>
      </c>
      <c r="E57" s="8" t="s">
        <v>8</v>
      </c>
      <c r="F57" s="8"/>
      <c r="H57" s="8"/>
      <c r="I57" s="8" t="s">
        <v>3088</v>
      </c>
      <c r="J57" s="8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8" t="s">
        <v>4</v>
      </c>
      <c r="E58" s="8" t="s">
        <v>8</v>
      </c>
      <c r="F58" s="8"/>
      <c r="H58" s="8"/>
      <c r="I58" s="8" t="s">
        <v>3091</v>
      </c>
      <c r="J58" s="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8" t="s">
        <v>4</v>
      </c>
      <c r="E59" s="8" t="s">
        <v>8</v>
      </c>
      <c r="F59" s="8"/>
      <c r="H59" s="8"/>
      <c r="I59" s="8" t="s">
        <v>3094</v>
      </c>
      <c r="J59" s="8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8" t="s">
        <v>4</v>
      </c>
      <c r="E60" s="8" t="s">
        <v>8</v>
      </c>
      <c r="F60" s="8"/>
      <c r="H60" s="8"/>
      <c r="I60" s="8" t="s">
        <v>3097</v>
      </c>
      <c r="J60" s="8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8" t="s">
        <v>4</v>
      </c>
      <c r="E61" s="8" t="s">
        <v>8</v>
      </c>
      <c r="F61" s="8"/>
      <c r="H61" s="8"/>
      <c r="I61" s="8" t="s">
        <v>3100</v>
      </c>
      <c r="J61" s="8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8" t="s">
        <v>2004</v>
      </c>
      <c r="E62" s="8"/>
      <c r="F62" s="8"/>
      <c r="H62" s="8"/>
      <c r="I62" s="8" t="s">
        <v>4270</v>
      </c>
      <c r="J62" s="8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8" t="s">
        <v>1094</v>
      </c>
      <c r="E63" s="8" t="s">
        <v>4247</v>
      </c>
      <c r="F63" s="8" t="s">
        <v>58</v>
      </c>
      <c r="H63" s="8" t="s">
        <v>5102</v>
      </c>
      <c r="I63" s="8" t="s">
        <v>5097</v>
      </c>
      <c r="J63" s="8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8" t="s">
        <v>4</v>
      </c>
      <c r="E64" s="8" t="s">
        <v>8</v>
      </c>
      <c r="F64" s="8"/>
      <c r="H64" s="8"/>
      <c r="I64" s="8" t="s">
        <v>4489</v>
      </c>
      <c r="J64" s="8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8" t="s">
        <v>1615</v>
      </c>
      <c r="E65" s="8" t="s">
        <v>86</v>
      </c>
      <c r="F65" s="8" t="s">
        <v>200</v>
      </c>
      <c r="H65" s="8"/>
      <c r="I65" s="8" t="s">
        <v>4492</v>
      </c>
      <c r="J65" s="8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8" t="s">
        <v>4</v>
      </c>
      <c r="E66" s="8" t="s">
        <v>8</v>
      </c>
      <c r="F66" s="8"/>
      <c r="H66" s="8"/>
      <c r="I66" s="8" t="s">
        <v>4495</v>
      </c>
      <c r="J66" s="8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8" t="s">
        <v>1615</v>
      </c>
      <c r="E67" s="8" t="s">
        <v>86</v>
      </c>
      <c r="F67" s="8" t="s">
        <v>200</v>
      </c>
      <c r="H67" s="8"/>
      <c r="I67" s="8" t="s">
        <v>4498</v>
      </c>
      <c r="J67" s="8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8" t="s">
        <v>1615</v>
      </c>
      <c r="E68" s="8" t="s">
        <v>86</v>
      </c>
      <c r="F68" s="8" t="s">
        <v>5103</v>
      </c>
      <c r="H68" s="8" t="s">
        <v>5104</v>
      </c>
      <c r="I68" s="8" t="s">
        <v>4501</v>
      </c>
      <c r="J68" s="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8" t="s">
        <v>1615</v>
      </c>
      <c r="E69" s="8" t="s">
        <v>86</v>
      </c>
      <c r="F69" s="8" t="s">
        <v>200</v>
      </c>
      <c r="H69" s="8"/>
      <c r="I69" s="8" t="s">
        <v>4504</v>
      </c>
      <c r="J69" s="8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8" t="s">
        <v>1094</v>
      </c>
      <c r="E70" s="8" t="s">
        <v>4247</v>
      </c>
      <c r="F70" s="8" t="s">
        <v>60</v>
      </c>
      <c r="H70" s="8" t="s">
        <v>5102</v>
      </c>
      <c r="I70" s="8" t="s">
        <v>4507</v>
      </c>
      <c r="J70" s="8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8" t="s">
        <v>1094</v>
      </c>
      <c r="E71" s="8" t="s">
        <v>4247</v>
      </c>
      <c r="F71" s="8" t="s">
        <v>60</v>
      </c>
      <c r="H71" s="8" t="s">
        <v>2936</v>
      </c>
      <c r="I71" s="8" t="s">
        <v>4510</v>
      </c>
      <c r="J71" s="8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8" t="s">
        <v>4</v>
      </c>
      <c r="E72" s="8" t="s">
        <v>8</v>
      </c>
      <c r="F72" s="8"/>
      <c r="H72" s="8" t="s">
        <v>2936</v>
      </c>
      <c r="I72" s="8" t="s">
        <v>4513</v>
      </c>
      <c r="J72" s="8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8" t="s">
        <v>4</v>
      </c>
      <c r="E73" s="8" t="s">
        <v>8</v>
      </c>
      <c r="F73" s="8"/>
      <c r="H73" s="8" t="s">
        <v>2936</v>
      </c>
      <c r="I73" s="8" t="s">
        <v>4516</v>
      </c>
      <c r="J73" s="8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8" t="s">
        <v>4</v>
      </c>
      <c r="E74" s="8" t="s">
        <v>8</v>
      </c>
      <c r="F74" s="8"/>
      <c r="H74" s="8" t="s">
        <v>2936</v>
      </c>
      <c r="I74" s="8" t="s">
        <v>4519</v>
      </c>
      <c r="J74" s="8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8" t="s">
        <v>1606</v>
      </c>
      <c r="E75" s="8" t="s">
        <v>70</v>
      </c>
      <c r="F75" s="8"/>
      <c r="H75" s="8"/>
      <c r="I75" s="8" t="s">
        <v>4522</v>
      </c>
      <c r="J75" s="8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8" t="s">
        <v>290</v>
      </c>
      <c r="E76" s="8" t="s">
        <v>70</v>
      </c>
      <c r="F76" s="8" t="s">
        <v>5093</v>
      </c>
      <c r="H76" s="8"/>
      <c r="I76" s="8" t="s">
        <v>4525</v>
      </c>
      <c r="J76" s="8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8" t="s">
        <v>466</v>
      </c>
      <c r="E77" s="8" t="s">
        <v>86</v>
      </c>
      <c r="F77" s="8" t="s">
        <v>5093</v>
      </c>
      <c r="H77" s="8"/>
      <c r="I77" s="8" t="s">
        <v>4528</v>
      </c>
      <c r="J77" s="8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8" t="s">
        <v>1615</v>
      </c>
      <c r="E78" s="8" t="s">
        <v>86</v>
      </c>
      <c r="F78" s="8" t="s">
        <v>5093</v>
      </c>
      <c r="H78" s="8"/>
      <c r="I78" s="8" t="s">
        <v>4531</v>
      </c>
      <c r="J78" s="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8" t="s">
        <v>466</v>
      </c>
      <c r="E79" s="8" t="s">
        <v>86</v>
      </c>
      <c r="F79" s="8" t="s">
        <v>5093</v>
      </c>
      <c r="H79" s="8"/>
      <c r="I79" s="8" t="s">
        <v>5099</v>
      </c>
      <c r="J79" s="8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8" t="s">
        <v>5105</v>
      </c>
      <c r="E80" s="8"/>
      <c r="F80" s="8"/>
      <c r="H80" s="8"/>
      <c r="I80" s="8" t="s">
        <v>4534</v>
      </c>
      <c r="J80" s="8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8" t="s">
        <v>1615</v>
      </c>
      <c r="E81" s="8" t="s">
        <v>86</v>
      </c>
      <c r="F81" s="8" t="s">
        <v>5093</v>
      </c>
      <c r="H81" s="8"/>
      <c r="I81" s="8" t="s">
        <v>4537</v>
      </c>
      <c r="J81" s="8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8" t="s">
        <v>4</v>
      </c>
      <c r="E82" s="8" t="s">
        <v>8</v>
      </c>
      <c r="F82" s="8"/>
      <c r="H82" s="8"/>
      <c r="I82" s="8" t="s">
        <v>4540</v>
      </c>
      <c r="J82" s="8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8" t="s">
        <v>1606</v>
      </c>
      <c r="E83" s="8" t="s">
        <v>70</v>
      </c>
      <c r="F83" s="8"/>
      <c r="H83" s="8"/>
      <c r="I83" s="8" t="s">
        <v>4543</v>
      </c>
      <c r="J83" s="8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8" t="s">
        <v>1606</v>
      </c>
      <c r="E84" s="8" t="s">
        <v>55</v>
      </c>
      <c r="F84" s="8"/>
      <c r="H84" s="8"/>
      <c r="I84" s="8" t="s">
        <v>4546</v>
      </c>
      <c r="J84" s="8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8" t="s">
        <v>290</v>
      </c>
      <c r="E85" s="8" t="s">
        <v>70</v>
      </c>
      <c r="F85" s="8" t="s">
        <v>5093</v>
      </c>
      <c r="H85" s="8"/>
      <c r="I85" s="8" t="s">
        <v>4549</v>
      </c>
      <c r="J85" s="8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8" t="s">
        <v>4</v>
      </c>
      <c r="E86" s="8" t="s">
        <v>8</v>
      </c>
      <c r="F86" s="8"/>
      <c r="H86" s="8"/>
      <c r="I86" s="8" t="s">
        <v>4552</v>
      </c>
      <c r="J86" s="8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8" t="s">
        <v>2004</v>
      </c>
      <c r="E87" s="8"/>
      <c r="F87" s="8"/>
      <c r="H87" s="8"/>
      <c r="I87" s="8" t="s">
        <v>4555</v>
      </c>
      <c r="J87" s="8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8" t="s">
        <v>1606</v>
      </c>
      <c r="E88" s="8" t="s">
        <v>5263</v>
      </c>
      <c r="F88" s="8" t="s">
        <v>4233</v>
      </c>
      <c r="H88" s="8"/>
      <c r="I88" s="8" t="s">
        <v>5148</v>
      </c>
      <c r="J88" s="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8" t="s">
        <v>289</v>
      </c>
      <c r="E89" s="8" t="s">
        <v>5263</v>
      </c>
      <c r="F89" s="8" t="s">
        <v>5093</v>
      </c>
      <c r="H89" s="8"/>
      <c r="I89" s="8" t="s">
        <v>5151</v>
      </c>
      <c r="J89" s="8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8" t="s">
        <v>289</v>
      </c>
      <c r="E90" s="8" t="s">
        <v>5263</v>
      </c>
      <c r="F90" s="8" t="s">
        <v>5093</v>
      </c>
      <c r="H90" s="8" t="s">
        <v>2936</v>
      </c>
      <c r="I90" s="8" t="s">
        <v>5154</v>
      </c>
      <c r="J90" s="8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8" t="s">
        <v>289</v>
      </c>
      <c r="E91" s="8" t="s">
        <v>5263</v>
      </c>
      <c r="F91" s="8" t="s">
        <v>5093</v>
      </c>
      <c r="H91" s="8" t="s">
        <v>2936</v>
      </c>
      <c r="I91" s="8" t="s">
        <v>5157</v>
      </c>
      <c r="J91" s="8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8" t="s">
        <v>289</v>
      </c>
      <c r="E92" s="8" t="s">
        <v>5263</v>
      </c>
      <c r="F92" s="8" t="s">
        <v>5093</v>
      </c>
      <c r="H92" s="8" t="s">
        <v>2936</v>
      </c>
      <c r="I92" s="8" t="s">
        <v>5160</v>
      </c>
      <c r="J92" s="8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8" t="s">
        <v>289</v>
      </c>
      <c r="E93" s="8" t="s">
        <v>5263</v>
      </c>
      <c r="F93" s="8" t="s">
        <v>5093</v>
      </c>
      <c r="H93" s="8" t="s">
        <v>2936</v>
      </c>
      <c r="I93" s="8" t="s">
        <v>5163</v>
      </c>
      <c r="J93" s="8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8" t="s">
        <v>289</v>
      </c>
      <c r="E94" s="8" t="s">
        <v>5263</v>
      </c>
      <c r="F94" s="8" t="s">
        <v>5093</v>
      </c>
      <c r="H94" s="8" t="s">
        <v>2936</v>
      </c>
      <c r="I94" s="8" t="s">
        <v>5166</v>
      </c>
      <c r="J94" s="8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8" t="s">
        <v>4232</v>
      </c>
      <c r="E95" s="8" t="s">
        <v>5263</v>
      </c>
      <c r="F95" s="8" t="s">
        <v>1609</v>
      </c>
      <c r="H95" s="8"/>
      <c r="I95" s="8" t="s">
        <v>5169</v>
      </c>
      <c r="J95" s="8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8" t="s">
        <v>650</v>
      </c>
      <c r="E96" s="8" t="s">
        <v>5263</v>
      </c>
      <c r="F96" s="8" t="s">
        <v>1609</v>
      </c>
      <c r="H96" s="8"/>
      <c r="I96" s="8" t="s">
        <v>5172</v>
      </c>
      <c r="J96" s="8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8" t="s">
        <v>4</v>
      </c>
      <c r="E97" s="8" t="s">
        <v>8</v>
      </c>
      <c r="F97" s="8"/>
      <c r="H97" s="8"/>
      <c r="I97" s="8" t="s">
        <v>5304</v>
      </c>
      <c r="J97" s="8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8" t="s">
        <v>2004</v>
      </c>
      <c r="E98" s="8" t="s">
        <v>8</v>
      </c>
      <c r="F98" s="8"/>
      <c r="H98" s="8"/>
      <c r="I98" s="8" t="s">
        <v>5307</v>
      </c>
      <c r="J98" s="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8" t="s">
        <v>2004</v>
      </c>
      <c r="E99" s="8" t="s">
        <v>8</v>
      </c>
      <c r="F99" s="8"/>
      <c r="H99" s="8"/>
      <c r="I99" s="8" t="s">
        <v>5708</v>
      </c>
      <c r="J99" s="8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8" t="s">
        <v>4</v>
      </c>
      <c r="E100" s="8" t="s">
        <v>1607</v>
      </c>
      <c r="F100" s="8" t="s">
        <v>6175</v>
      </c>
      <c r="H100" s="8"/>
      <c r="I100" s="8" t="s">
        <v>5711</v>
      </c>
      <c r="J100" s="8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8" t="s">
        <v>2004</v>
      </c>
      <c r="E101" s="8" t="s">
        <v>8</v>
      </c>
      <c r="F101" s="8"/>
      <c r="H101" s="8"/>
      <c r="I101" s="8" t="s">
        <v>5714</v>
      </c>
      <c r="J101" s="8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8" t="s">
        <v>2004</v>
      </c>
      <c r="E102" s="8" t="s">
        <v>8</v>
      </c>
      <c r="F102" s="8"/>
      <c r="H102" s="8"/>
      <c r="I102" s="8" t="s">
        <v>5855</v>
      </c>
      <c r="J102" s="8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8" t="s">
        <v>4</v>
      </c>
      <c r="E103" s="8" t="s">
        <v>55</v>
      </c>
      <c r="F103" s="8" t="s">
        <v>51</v>
      </c>
      <c r="H103" s="8"/>
      <c r="I103" s="8" t="s">
        <v>5858</v>
      </c>
      <c r="J103" s="8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8" t="s">
        <v>650</v>
      </c>
      <c r="E104" s="8" t="s">
        <v>55</v>
      </c>
      <c r="F104" s="8" t="s">
        <v>51</v>
      </c>
      <c r="H104" s="8" t="s">
        <v>6176</v>
      </c>
      <c r="I104" s="8" t="s">
        <v>5861</v>
      </c>
      <c r="J104" s="8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8" t="s">
        <v>4</v>
      </c>
      <c r="E105" s="8" t="s">
        <v>8</v>
      </c>
      <c r="F105" s="8"/>
      <c r="H105" s="8"/>
      <c r="I105" s="8" t="s">
        <v>5864</v>
      </c>
      <c r="J105" s="8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8" t="s">
        <v>2004</v>
      </c>
      <c r="E106" s="8" t="s">
        <v>8</v>
      </c>
      <c r="F106" s="8"/>
      <c r="H106" s="8"/>
      <c r="I106" s="8" t="s">
        <v>6074</v>
      </c>
      <c r="J106" s="8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8" t="s">
        <v>2004</v>
      </c>
      <c r="E107" s="8" t="s">
        <v>8</v>
      </c>
      <c r="F107" s="8"/>
      <c r="H107" s="8"/>
      <c r="I107" s="8" t="s">
        <v>6204</v>
      </c>
      <c r="J107" s="8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s="8" t="s">
        <v>1606</v>
      </c>
      <c r="E108" s="8" t="s">
        <v>70</v>
      </c>
      <c r="F108" s="8"/>
      <c r="H108" s="8"/>
      <c r="I108" s="8" t="s">
        <v>6313</v>
      </c>
      <c r="J108" s="8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s="8" t="s">
        <v>4</v>
      </c>
      <c r="E109" s="8" t="s">
        <v>6341</v>
      </c>
      <c r="F109" s="8"/>
      <c r="H109" s="8"/>
      <c r="I109" s="8" t="s">
        <v>6316</v>
      </c>
      <c r="J109" s="8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s="8" t="s">
        <v>2004</v>
      </c>
      <c r="E110" s="8" t="s">
        <v>8</v>
      </c>
      <c r="F110" s="8"/>
      <c r="H110" s="8"/>
      <c r="I110" s="8" t="s">
        <v>6563</v>
      </c>
      <c r="J110" s="8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s="8" t="s">
        <v>2004</v>
      </c>
      <c r="E111" s="8" t="s">
        <v>8</v>
      </c>
      <c r="F111" s="8"/>
      <c r="H111" s="8"/>
      <c r="I111" s="8" t="s">
        <v>6712</v>
      </c>
      <c r="J111" s="8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s="8" t="s">
        <v>4</v>
      </c>
      <c r="E112" s="8" t="s">
        <v>8</v>
      </c>
      <c r="F112" s="8"/>
      <c r="H112" s="8"/>
      <c r="I112" s="8" t="s">
        <v>7139</v>
      </c>
      <c r="J112" s="8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s="8" t="s">
        <v>651</v>
      </c>
      <c r="E113" s="8" t="s">
        <v>4247</v>
      </c>
      <c r="F113" s="8"/>
      <c r="H113" s="8"/>
      <c r="I113" s="8" t="s">
        <v>7142</v>
      </c>
      <c r="J113" s="8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s="8" t="s">
        <v>12</v>
      </c>
      <c r="E114" s="8" t="s">
        <v>1607</v>
      </c>
      <c r="F114" s="8"/>
      <c r="H114" s="8"/>
      <c r="I114" s="8" t="s">
        <v>7145</v>
      </c>
      <c r="J114" s="8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s="8" t="s">
        <v>4</v>
      </c>
      <c r="E115" s="8" t="s">
        <v>8</v>
      </c>
      <c r="F115" s="8"/>
      <c r="H115" s="8"/>
      <c r="I115" s="8" t="s">
        <v>7148</v>
      </c>
      <c r="J115" s="8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s="8" t="s">
        <v>2004</v>
      </c>
      <c r="E116" s="8" t="s">
        <v>8</v>
      </c>
      <c r="F116" s="8"/>
      <c r="H116" s="8"/>
      <c r="I116" s="8" t="s">
        <v>7151</v>
      </c>
      <c r="J116" s="8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s="8" t="s">
        <v>2004</v>
      </c>
      <c r="E117" s="8" t="s">
        <v>8</v>
      </c>
      <c r="F117" s="8"/>
      <c r="H117" s="8"/>
      <c r="I117" s="8" t="s">
        <v>7154</v>
      </c>
      <c r="J117" s="8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s="8" t="s">
        <v>2004</v>
      </c>
      <c r="E118" s="8" t="s">
        <v>8</v>
      </c>
      <c r="F118" s="8"/>
      <c r="H118" s="8"/>
      <c r="I118" s="8" t="s">
        <v>7172</v>
      </c>
      <c r="J118" s="8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s="8" t="s">
        <v>12</v>
      </c>
      <c r="E119" s="8" t="s">
        <v>1607</v>
      </c>
      <c r="F119" s="8"/>
      <c r="H119" s="8"/>
      <c r="I119" s="8" t="s">
        <v>7317</v>
      </c>
      <c r="J119" s="8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s="8" t="s">
        <v>2004</v>
      </c>
      <c r="E120" s="8" t="s">
        <v>8</v>
      </c>
      <c r="F120" s="8"/>
      <c r="H120" s="8"/>
      <c r="I120" s="8" t="s">
        <v>7320</v>
      </c>
      <c r="J120" s="8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s="8" t="s">
        <v>2004</v>
      </c>
      <c r="E121" s="8" t="s">
        <v>8</v>
      </c>
      <c r="F121" s="8"/>
      <c r="H121" s="8"/>
      <c r="I121" s="8" t="s">
        <v>7323</v>
      </c>
      <c r="J121" s="8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s="8" t="s">
        <v>4216</v>
      </c>
      <c r="E122" s="8" t="s">
        <v>7410</v>
      </c>
      <c r="F122" s="8" t="s">
        <v>60</v>
      </c>
      <c r="H122" s="8"/>
      <c r="I122" s="8" t="s">
        <v>7326</v>
      </c>
      <c r="J122" s="8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s="8" t="s">
        <v>4216</v>
      </c>
      <c r="E123" s="8" t="s">
        <v>7410</v>
      </c>
      <c r="F123" s="8" t="s">
        <v>60</v>
      </c>
      <c r="H123" s="8"/>
      <c r="I123" s="8" t="s">
        <v>7329</v>
      </c>
      <c r="J123" s="8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s="8" t="s">
        <v>290</v>
      </c>
      <c r="E124" s="8" t="s">
        <v>86</v>
      </c>
      <c r="F124" s="8" t="s">
        <v>60</v>
      </c>
      <c r="G124">
        <v>4</v>
      </c>
      <c r="H124" s="8"/>
      <c r="I124" s="8" t="s">
        <v>7332</v>
      </c>
      <c r="J124" s="8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s="8" t="s">
        <v>1094</v>
      </c>
      <c r="E125" s="8" t="s">
        <v>86</v>
      </c>
      <c r="F125" s="8" t="s">
        <v>60</v>
      </c>
      <c r="H125" s="8" t="s">
        <v>476</v>
      </c>
      <c r="I125" s="8" t="s">
        <v>7335</v>
      </c>
      <c r="J125" s="8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s="8" t="s">
        <v>290</v>
      </c>
      <c r="E126" s="8" t="s">
        <v>86</v>
      </c>
      <c r="F126" s="8" t="s">
        <v>60</v>
      </c>
      <c r="G126">
        <v>1</v>
      </c>
      <c r="H126" s="8"/>
      <c r="I126" s="8" t="s">
        <v>7338</v>
      </c>
      <c r="J126" s="8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s="8" t="s">
        <v>290</v>
      </c>
      <c r="E127" s="8" t="s">
        <v>86</v>
      </c>
      <c r="F127" s="8" t="s">
        <v>60</v>
      </c>
      <c r="G127">
        <v>4</v>
      </c>
      <c r="H127" s="8"/>
      <c r="I127" s="8" t="s">
        <v>7341</v>
      </c>
      <c r="J127" s="8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s="8" t="s">
        <v>290</v>
      </c>
      <c r="E128" s="8" t="s">
        <v>86</v>
      </c>
      <c r="F128" s="8" t="s">
        <v>60</v>
      </c>
      <c r="G128">
        <v>2</v>
      </c>
      <c r="H128" s="8"/>
      <c r="I128" s="8" t="s">
        <v>7344</v>
      </c>
      <c r="J128" s="8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s="8" t="s">
        <v>290</v>
      </c>
      <c r="E129" s="8" t="s">
        <v>86</v>
      </c>
      <c r="F129" s="8" t="s">
        <v>60</v>
      </c>
      <c r="G129">
        <v>3</v>
      </c>
      <c r="H129" s="8"/>
      <c r="I129" s="8" t="s">
        <v>7347</v>
      </c>
      <c r="J129" s="8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s="8" t="s">
        <v>290</v>
      </c>
      <c r="E130" s="8" t="s">
        <v>86</v>
      </c>
      <c r="F130" s="8" t="s">
        <v>60</v>
      </c>
      <c r="G130">
        <v>3</v>
      </c>
      <c r="H130" s="8"/>
      <c r="I130" s="8" t="s">
        <v>7350</v>
      </c>
      <c r="J130" s="8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s="8" t="s">
        <v>290</v>
      </c>
      <c r="E131" s="8" t="s">
        <v>86</v>
      </c>
      <c r="F131" s="8" t="s">
        <v>60</v>
      </c>
      <c r="G131">
        <v>2</v>
      </c>
      <c r="H131" s="8"/>
      <c r="I131" s="8" t="s">
        <v>7353</v>
      </c>
      <c r="J131" s="8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s="8" t="s">
        <v>290</v>
      </c>
      <c r="E132" s="8" t="s">
        <v>86</v>
      </c>
      <c r="F132" s="8" t="s">
        <v>60</v>
      </c>
      <c r="G132">
        <v>2</v>
      </c>
      <c r="H132" s="8"/>
      <c r="I132" s="8" t="s">
        <v>7356</v>
      </c>
      <c r="J132" s="8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s="8" t="s">
        <v>290</v>
      </c>
      <c r="E133" s="8" t="s">
        <v>86</v>
      </c>
      <c r="F133" s="8" t="s">
        <v>60</v>
      </c>
      <c r="G133">
        <v>2</v>
      </c>
      <c r="H133" s="8"/>
      <c r="I133" s="8" t="s">
        <v>7359</v>
      </c>
      <c r="J133" s="8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s="8" t="s">
        <v>290</v>
      </c>
      <c r="E134" s="8" t="s">
        <v>86</v>
      </c>
      <c r="F134" s="8" t="s">
        <v>60</v>
      </c>
      <c r="G134">
        <v>1</v>
      </c>
      <c r="H134" s="8"/>
      <c r="I134" s="8" t="s">
        <v>7362</v>
      </c>
      <c r="J134" s="8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s="8" t="s">
        <v>290</v>
      </c>
      <c r="E135" s="8" t="s">
        <v>86</v>
      </c>
      <c r="F135" s="8" t="s">
        <v>60</v>
      </c>
      <c r="G135">
        <v>2</v>
      </c>
      <c r="H135" s="8"/>
      <c r="I135" s="8" t="s">
        <v>7365</v>
      </c>
      <c r="J135" s="8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s="8" t="s">
        <v>290</v>
      </c>
      <c r="E136" s="8" t="s">
        <v>86</v>
      </c>
      <c r="F136" s="8" t="s">
        <v>60</v>
      </c>
      <c r="G136">
        <v>4</v>
      </c>
      <c r="H136" s="8"/>
      <c r="I136" s="8" t="s">
        <v>7368</v>
      </c>
      <c r="J136" s="8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s="8" t="s">
        <v>290</v>
      </c>
      <c r="E137" s="8" t="s">
        <v>86</v>
      </c>
      <c r="F137" s="8" t="s">
        <v>60</v>
      </c>
      <c r="G137">
        <v>2</v>
      </c>
      <c r="H137" s="8"/>
      <c r="I137" s="8" t="s">
        <v>7371</v>
      </c>
      <c r="J137" s="8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s="8" t="s">
        <v>290</v>
      </c>
      <c r="E138" s="8" t="s">
        <v>86</v>
      </c>
      <c r="F138" s="8" t="s">
        <v>60</v>
      </c>
      <c r="G138">
        <v>2</v>
      </c>
      <c r="H138" s="8"/>
      <c r="I138" s="8" t="s">
        <v>7374</v>
      </c>
      <c r="J138" s="8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s="8" t="s">
        <v>290</v>
      </c>
      <c r="E139" s="8" t="s">
        <v>86</v>
      </c>
      <c r="F139" s="8" t="s">
        <v>60</v>
      </c>
      <c r="G139">
        <v>3</v>
      </c>
      <c r="H139" s="8"/>
      <c r="I139" s="8" t="s">
        <v>7377</v>
      </c>
      <c r="J139" s="8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s="8" t="s">
        <v>290</v>
      </c>
      <c r="E140" s="8" t="s">
        <v>86</v>
      </c>
      <c r="F140" s="8" t="s">
        <v>60</v>
      </c>
      <c r="G140">
        <v>3</v>
      </c>
      <c r="H140" s="8"/>
      <c r="I140" s="8" t="s">
        <v>7380</v>
      </c>
      <c r="J140" s="8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s="8" t="s">
        <v>290</v>
      </c>
      <c r="E141" s="8" t="s">
        <v>86</v>
      </c>
      <c r="F141" s="8" t="s">
        <v>60</v>
      </c>
      <c r="G141">
        <v>2</v>
      </c>
      <c r="H141" s="8"/>
      <c r="I141" s="8" t="s">
        <v>7383</v>
      </c>
      <c r="J141" s="8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s="8" t="s">
        <v>290</v>
      </c>
      <c r="E142" s="8" t="s">
        <v>86</v>
      </c>
      <c r="F142" s="8" t="s">
        <v>60</v>
      </c>
      <c r="G142">
        <v>4</v>
      </c>
      <c r="H142" s="8"/>
      <c r="I142" s="8" t="s">
        <v>7386</v>
      </c>
      <c r="J142" s="8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s="8" t="s">
        <v>290</v>
      </c>
      <c r="E143" s="8" t="s">
        <v>86</v>
      </c>
      <c r="F143" s="8" t="s">
        <v>60</v>
      </c>
      <c r="G143">
        <v>3</v>
      </c>
      <c r="H143" s="8"/>
      <c r="I143" s="8" t="s">
        <v>7389</v>
      </c>
      <c r="J143" s="8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s="8" t="s">
        <v>290</v>
      </c>
      <c r="E144" s="8" t="s">
        <v>86</v>
      </c>
      <c r="F144" s="8" t="s">
        <v>60</v>
      </c>
      <c r="G144">
        <v>2</v>
      </c>
      <c r="H144" s="8"/>
      <c r="I144" s="8" t="s">
        <v>7392</v>
      </c>
      <c r="J144" s="8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s="8" t="s">
        <v>1615</v>
      </c>
      <c r="E145" s="8" t="s">
        <v>86</v>
      </c>
      <c r="F145" s="8" t="s">
        <v>60</v>
      </c>
      <c r="H145" s="8" t="s">
        <v>7707</v>
      </c>
      <c r="I145" s="8" t="s">
        <v>7595</v>
      </c>
      <c r="J145" s="8" t="s">
        <v>2982</v>
      </c>
      <c r="K145" t="s">
        <v>7596</v>
      </c>
      <c r="L145" t="s">
        <v>7597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s="8" t="s">
        <v>1615</v>
      </c>
      <c r="E146" s="8" t="s">
        <v>86</v>
      </c>
      <c r="F146" s="8" t="s">
        <v>60</v>
      </c>
      <c r="H146" s="8" t="s">
        <v>7708</v>
      </c>
      <c r="I146" s="8" t="s">
        <v>7598</v>
      </c>
      <c r="J146" s="8" t="s">
        <v>2982</v>
      </c>
      <c r="K146" t="s">
        <v>7599</v>
      </c>
      <c r="L146" t="s">
        <v>7600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s="8" t="s">
        <v>4</v>
      </c>
      <c r="E147" s="8" t="s">
        <v>7706</v>
      </c>
      <c r="F147" s="8" t="s">
        <v>60</v>
      </c>
      <c r="H147" s="8"/>
      <c r="I147" s="8" t="s">
        <v>7601</v>
      </c>
      <c r="J147" s="8" t="s">
        <v>2982</v>
      </c>
      <c r="K147" t="s">
        <v>7602</v>
      </c>
      <c r="L147" t="s">
        <v>7603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s="8" t="s">
        <v>290</v>
      </c>
      <c r="E148" s="8" t="s">
        <v>86</v>
      </c>
      <c r="F148" s="8" t="s">
        <v>60</v>
      </c>
      <c r="G148">
        <v>3</v>
      </c>
      <c r="H148" s="8"/>
      <c r="I148" s="8" t="s">
        <v>7604</v>
      </c>
      <c r="J148" s="8" t="s">
        <v>2982</v>
      </c>
      <c r="K148" t="s">
        <v>7605</v>
      </c>
      <c r="L148" t="s">
        <v>7606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s="8" t="s">
        <v>290</v>
      </c>
      <c r="E149" s="8" t="s">
        <v>86</v>
      </c>
      <c r="F149" s="8" t="s">
        <v>60</v>
      </c>
      <c r="G149">
        <v>2</v>
      </c>
      <c r="H149" s="8"/>
      <c r="I149" s="8" t="s">
        <v>7607</v>
      </c>
      <c r="J149" s="8" t="s">
        <v>2982</v>
      </c>
      <c r="K149" t="s">
        <v>7608</v>
      </c>
      <c r="L149" t="s">
        <v>7609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s="8" t="s">
        <v>290</v>
      </c>
      <c r="E150" s="8" t="s">
        <v>86</v>
      </c>
      <c r="F150" s="8" t="s">
        <v>60</v>
      </c>
      <c r="G150">
        <v>2</v>
      </c>
      <c r="H150" s="8"/>
      <c r="I150" s="8" t="s">
        <v>7610</v>
      </c>
      <c r="J150" s="8" t="s">
        <v>2982</v>
      </c>
      <c r="K150" t="s">
        <v>7611</v>
      </c>
      <c r="L150" t="s">
        <v>7612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s="8" t="s">
        <v>290</v>
      </c>
      <c r="E151" s="8" t="s">
        <v>86</v>
      </c>
      <c r="F151" s="8" t="s">
        <v>60</v>
      </c>
      <c r="G151">
        <v>3</v>
      </c>
      <c r="H151" s="8"/>
      <c r="I151" s="8" t="s">
        <v>7613</v>
      </c>
      <c r="J151" s="8" t="s">
        <v>2982</v>
      </c>
      <c r="K151" t="s">
        <v>7614</v>
      </c>
      <c r="L151" t="s">
        <v>7615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s="8" t="s">
        <v>290</v>
      </c>
      <c r="E152" s="8" t="s">
        <v>86</v>
      </c>
      <c r="F152" s="8" t="s">
        <v>60</v>
      </c>
      <c r="G152">
        <v>4</v>
      </c>
      <c r="H152" s="8"/>
      <c r="I152" s="8" t="s">
        <v>7616</v>
      </c>
      <c r="J152" s="8" t="s">
        <v>2982</v>
      </c>
      <c r="K152" t="s">
        <v>7617</v>
      </c>
      <c r="L152" t="s">
        <v>7618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s="8" t="s">
        <v>290</v>
      </c>
      <c r="E153" s="8" t="s">
        <v>86</v>
      </c>
      <c r="F153" s="8" t="s">
        <v>60</v>
      </c>
      <c r="G153">
        <v>3</v>
      </c>
      <c r="H153" s="8"/>
      <c r="I153" s="8" t="s">
        <v>7619</v>
      </c>
      <c r="J153" s="8" t="s">
        <v>2982</v>
      </c>
      <c r="K153" t="s">
        <v>7620</v>
      </c>
      <c r="L153" t="s">
        <v>7621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s="8" t="s">
        <v>290</v>
      </c>
      <c r="E154" s="8" t="s">
        <v>86</v>
      </c>
      <c r="F154" s="8" t="s">
        <v>60</v>
      </c>
      <c r="G154">
        <v>3</v>
      </c>
      <c r="H154" s="8"/>
      <c r="I154" s="8" t="s">
        <v>7622</v>
      </c>
      <c r="J154" s="8" t="s">
        <v>2982</v>
      </c>
      <c r="K154" t="s">
        <v>7623</v>
      </c>
      <c r="L154" t="s">
        <v>7624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s="8" t="s">
        <v>290</v>
      </c>
      <c r="E155" s="8" t="s">
        <v>86</v>
      </c>
      <c r="F155" s="8" t="s">
        <v>60</v>
      </c>
      <c r="G155">
        <v>2</v>
      </c>
      <c r="H155" s="8"/>
      <c r="I155" s="8" t="s">
        <v>7625</v>
      </c>
      <c r="J155" s="8" t="s">
        <v>2982</v>
      </c>
      <c r="K155" t="s">
        <v>7626</v>
      </c>
      <c r="L155" t="s">
        <v>7627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s="8" t="s">
        <v>290</v>
      </c>
      <c r="E156" s="8" t="s">
        <v>86</v>
      </c>
      <c r="F156" s="8" t="s">
        <v>60</v>
      </c>
      <c r="G156">
        <v>2</v>
      </c>
      <c r="H156" s="8"/>
      <c r="I156" s="8" t="s">
        <v>7628</v>
      </c>
      <c r="J156" s="8" t="s">
        <v>2982</v>
      </c>
      <c r="K156" t="s">
        <v>7629</v>
      </c>
      <c r="L156" t="s">
        <v>7630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s="8" t="s">
        <v>290</v>
      </c>
      <c r="E157" s="8" t="s">
        <v>86</v>
      </c>
      <c r="F157" s="8" t="s">
        <v>60</v>
      </c>
      <c r="G157">
        <v>3</v>
      </c>
      <c r="H157" s="8"/>
      <c r="I157" s="8" t="s">
        <v>7631</v>
      </c>
      <c r="J157" s="8" t="s">
        <v>2982</v>
      </c>
      <c r="K157" t="s">
        <v>7632</v>
      </c>
      <c r="L157" t="s">
        <v>7633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s="8" t="s">
        <v>290</v>
      </c>
      <c r="E158" s="8" t="s">
        <v>86</v>
      </c>
      <c r="F158" s="8" t="s">
        <v>60</v>
      </c>
      <c r="G158">
        <v>3</v>
      </c>
      <c r="H158" s="8"/>
      <c r="I158" s="8" t="s">
        <v>7634</v>
      </c>
      <c r="J158" s="8" t="s">
        <v>2982</v>
      </c>
      <c r="K158" t="s">
        <v>7635</v>
      </c>
      <c r="L158" t="s">
        <v>7636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s="8" t="s">
        <v>290</v>
      </c>
      <c r="E159" s="8" t="s">
        <v>86</v>
      </c>
      <c r="F159" s="8" t="s">
        <v>60</v>
      </c>
      <c r="G159">
        <v>2</v>
      </c>
      <c r="H159" s="8"/>
      <c r="I159" s="8" t="s">
        <v>7637</v>
      </c>
      <c r="J159" s="8" t="s">
        <v>2982</v>
      </c>
      <c r="K159" t="s">
        <v>7638</v>
      </c>
      <c r="L159" t="s">
        <v>7639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s="8" t="s">
        <v>290</v>
      </c>
      <c r="E160" s="8" t="s">
        <v>86</v>
      </c>
      <c r="F160" s="8" t="s">
        <v>60</v>
      </c>
      <c r="G160">
        <v>1</v>
      </c>
      <c r="H160" s="8"/>
      <c r="I160" s="8" t="s">
        <v>7640</v>
      </c>
      <c r="J160" s="8" t="s">
        <v>2982</v>
      </c>
      <c r="K160" t="s">
        <v>7641</v>
      </c>
      <c r="L160" t="s">
        <v>7642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s="8" t="s">
        <v>290</v>
      </c>
      <c r="E161" s="8" t="s">
        <v>86</v>
      </c>
      <c r="F161" s="8" t="s">
        <v>60</v>
      </c>
      <c r="G161">
        <v>4</v>
      </c>
      <c r="H161" s="8"/>
      <c r="I161" s="8" t="s">
        <v>7643</v>
      </c>
      <c r="J161" s="8" t="s">
        <v>2982</v>
      </c>
      <c r="K161" t="s">
        <v>7644</v>
      </c>
      <c r="L161" t="s">
        <v>7645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s="8" t="s">
        <v>290</v>
      </c>
      <c r="E162" s="8" t="s">
        <v>86</v>
      </c>
      <c r="F162" s="8" t="s">
        <v>60</v>
      </c>
      <c r="G162">
        <v>3</v>
      </c>
      <c r="H162" s="8"/>
      <c r="I162" s="8" t="s">
        <v>7646</v>
      </c>
      <c r="J162" s="8" t="s">
        <v>2982</v>
      </c>
      <c r="K162" t="s">
        <v>7647</v>
      </c>
      <c r="L162" t="s">
        <v>7648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s="8" t="s">
        <v>290</v>
      </c>
      <c r="E163" s="8" t="s">
        <v>86</v>
      </c>
      <c r="F163" s="8" t="s">
        <v>60</v>
      </c>
      <c r="G163">
        <v>3</v>
      </c>
      <c r="H163" s="8"/>
      <c r="I163" s="8" t="s">
        <v>7649</v>
      </c>
      <c r="J163" s="8" t="s">
        <v>2982</v>
      </c>
      <c r="K163" t="s">
        <v>7650</v>
      </c>
      <c r="L163" t="s">
        <v>7651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s="8" t="s">
        <v>290</v>
      </c>
      <c r="E164" s="8" t="s">
        <v>86</v>
      </c>
      <c r="F164" s="8" t="s">
        <v>60</v>
      </c>
      <c r="G164">
        <v>3</v>
      </c>
      <c r="H164" s="8"/>
      <c r="I164" s="8" t="s">
        <v>7652</v>
      </c>
      <c r="J164" s="8" t="s">
        <v>2982</v>
      </c>
      <c r="K164" t="s">
        <v>7653</v>
      </c>
      <c r="L164" t="s">
        <v>7654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s="8" t="s">
        <v>290</v>
      </c>
      <c r="E165" s="8" t="s">
        <v>86</v>
      </c>
      <c r="F165" s="8" t="s">
        <v>60</v>
      </c>
      <c r="G165">
        <v>2</v>
      </c>
      <c r="H165" s="8"/>
      <c r="I165" s="8" t="s">
        <v>7655</v>
      </c>
      <c r="J165" s="8" t="s">
        <v>2982</v>
      </c>
      <c r="K165" t="s">
        <v>7656</v>
      </c>
      <c r="L165" t="s">
        <v>7657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s="8" t="s">
        <v>290</v>
      </c>
      <c r="E166" s="8" t="s">
        <v>86</v>
      </c>
      <c r="F166" s="8" t="s">
        <v>60</v>
      </c>
      <c r="G166">
        <v>3</v>
      </c>
      <c r="H166" s="8"/>
      <c r="I166" s="8" t="s">
        <v>7658</v>
      </c>
      <c r="J166" s="8" t="s">
        <v>2982</v>
      </c>
      <c r="K166" t="s">
        <v>7659</v>
      </c>
      <c r="L166" t="s">
        <v>7660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s="8" t="s">
        <v>290</v>
      </c>
      <c r="E167" s="8" t="s">
        <v>86</v>
      </c>
      <c r="F167" s="8" t="s">
        <v>60</v>
      </c>
      <c r="G167">
        <v>3</v>
      </c>
      <c r="H167" s="8"/>
      <c r="I167" s="8" t="s">
        <v>7661</v>
      </c>
      <c r="J167" s="8" t="s">
        <v>2982</v>
      </c>
      <c r="K167" t="s">
        <v>7662</v>
      </c>
      <c r="L167" t="s">
        <v>7663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s="8" t="s">
        <v>290</v>
      </c>
      <c r="E168" s="8" t="s">
        <v>86</v>
      </c>
      <c r="F168" s="8" t="s">
        <v>60</v>
      </c>
      <c r="G168">
        <v>3</v>
      </c>
      <c r="H168" s="8"/>
      <c r="I168" s="8" t="s">
        <v>7664</v>
      </c>
      <c r="J168" s="8" t="s">
        <v>2982</v>
      </c>
      <c r="K168" t="s">
        <v>7665</v>
      </c>
      <c r="L168" t="s">
        <v>7666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s="8" t="s">
        <v>290</v>
      </c>
      <c r="E169" s="8" t="s">
        <v>86</v>
      </c>
      <c r="F169" s="8" t="s">
        <v>60</v>
      </c>
      <c r="G169">
        <v>4</v>
      </c>
      <c r="H169" s="8"/>
      <c r="I169" s="8" t="s">
        <v>7667</v>
      </c>
      <c r="J169" s="8" t="s">
        <v>2982</v>
      </c>
      <c r="K169" t="s">
        <v>7668</v>
      </c>
      <c r="L169" t="s">
        <v>7669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s="8" t="s">
        <v>290</v>
      </c>
      <c r="E170" s="8" t="s">
        <v>86</v>
      </c>
      <c r="F170" s="8" t="s">
        <v>60</v>
      </c>
      <c r="G170">
        <v>2</v>
      </c>
      <c r="H170" s="8"/>
      <c r="I170" s="8" t="s">
        <v>7670</v>
      </c>
      <c r="J170" s="8" t="s">
        <v>2982</v>
      </c>
      <c r="K170" t="s">
        <v>7671</v>
      </c>
      <c r="L170" t="s">
        <v>7672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s="8" t="s">
        <v>4</v>
      </c>
      <c r="E171" s="8" t="s">
        <v>4193</v>
      </c>
      <c r="F171" s="8"/>
      <c r="H171" s="8"/>
      <c r="I171" s="8" t="s">
        <v>7673</v>
      </c>
      <c r="J171" s="8" t="s">
        <v>2982</v>
      </c>
      <c r="K171" t="s">
        <v>7674</v>
      </c>
      <c r="L171" t="s">
        <v>7675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s="8" t="s">
        <v>2004</v>
      </c>
      <c r="E172" s="8" t="s">
        <v>8</v>
      </c>
      <c r="F172" s="8"/>
      <c r="H172" s="8"/>
      <c r="I172" s="8" t="s">
        <v>7676</v>
      </c>
      <c r="J172" s="8" t="s">
        <v>2982</v>
      </c>
      <c r="K172" t="s">
        <v>7677</v>
      </c>
      <c r="L172" t="s">
        <v>7678</v>
      </c>
      <c r="M172" s="3" t="str">
        <f>HYPERLINK(склад2въезд1319[[#This Row],[RelativePath]])</f>
        <v>5 Крыльцо общага\K07156189_22_20251225T172233Z.jpg</v>
      </c>
    </row>
    <row r="173" spans="1:13" x14ac:dyDescent="0.25">
      <c r="A173" s="2" t="s">
        <v>17</v>
      </c>
      <c r="B173" s="4">
        <v>46017</v>
      </c>
      <c r="C173" s="5">
        <v>0.44422453703703701</v>
      </c>
      <c r="D173" s="8" t="s">
        <v>1094</v>
      </c>
      <c r="E173" s="8" t="s">
        <v>86</v>
      </c>
      <c r="F173" s="8" t="s">
        <v>60</v>
      </c>
      <c r="H173" s="8" t="s">
        <v>7870</v>
      </c>
      <c r="I173" s="8" t="s">
        <v>7831</v>
      </c>
      <c r="J173" s="8" t="s">
        <v>2982</v>
      </c>
      <c r="K173" t="s">
        <v>7832</v>
      </c>
      <c r="L173" t="s">
        <v>7833</v>
      </c>
      <c r="M173" s="3" t="str">
        <f>HYPERLINK(склад2въезд1319[[#This Row],[RelativePath]])</f>
        <v>5 Крыльцо общага\K07156189_22_20251226T103941Z.jpg</v>
      </c>
    </row>
    <row r="174" spans="1:13" x14ac:dyDescent="0.25">
      <c r="A174" s="2" t="s">
        <v>17</v>
      </c>
      <c r="B174" s="4">
        <v>46017</v>
      </c>
      <c r="C174" s="5">
        <v>0.44770833333333332</v>
      </c>
      <c r="D174" s="8" t="s">
        <v>1094</v>
      </c>
      <c r="E174" s="8" t="s">
        <v>86</v>
      </c>
      <c r="F174" s="8" t="s">
        <v>60</v>
      </c>
      <c r="H174" s="8" t="s">
        <v>7870</v>
      </c>
      <c r="I174" s="8" t="s">
        <v>7834</v>
      </c>
      <c r="J174" s="8" t="s">
        <v>2982</v>
      </c>
      <c r="K174" t="s">
        <v>7835</v>
      </c>
      <c r="L174" t="s">
        <v>7836</v>
      </c>
      <c r="M174" s="3" t="str">
        <f>HYPERLINK(склад2въезд1319[[#This Row],[RelativePath]])</f>
        <v>5 Крыльцо общага\K07156189_22_20251226T104442Z.jpg</v>
      </c>
    </row>
    <row r="175" spans="1:13" x14ac:dyDescent="0.25">
      <c r="A175" s="2" t="s">
        <v>17</v>
      </c>
      <c r="B175" s="4">
        <v>46017</v>
      </c>
      <c r="C175" s="5">
        <v>0.44888888888888889</v>
      </c>
      <c r="D175" s="8" t="s">
        <v>1094</v>
      </c>
      <c r="E175" s="8" t="s">
        <v>86</v>
      </c>
      <c r="F175" s="8" t="s">
        <v>60</v>
      </c>
      <c r="H175" s="8" t="s">
        <v>7870</v>
      </c>
      <c r="I175" s="8" t="s">
        <v>7837</v>
      </c>
      <c r="J175" s="8" t="s">
        <v>2982</v>
      </c>
      <c r="K175" t="s">
        <v>7838</v>
      </c>
      <c r="L175" t="s">
        <v>7839</v>
      </c>
      <c r="M175" s="3" t="str">
        <f>HYPERLINK(склад2въезд1319[[#This Row],[RelativePath]])</f>
        <v>5 Крыльцо общага\K07156189_22_20251226T104624Z.jpg</v>
      </c>
    </row>
    <row r="176" spans="1:13" x14ac:dyDescent="0.25">
      <c r="A176" s="2" t="s">
        <v>17</v>
      </c>
      <c r="B176" s="4">
        <v>46017</v>
      </c>
      <c r="C176" s="5">
        <v>0.44906249999999998</v>
      </c>
      <c r="D176" s="8" t="s">
        <v>1094</v>
      </c>
      <c r="E176" s="8" t="s">
        <v>86</v>
      </c>
      <c r="F176" s="8" t="s">
        <v>60</v>
      </c>
      <c r="H176" s="8" t="s">
        <v>7870</v>
      </c>
      <c r="I176" s="8" t="s">
        <v>7840</v>
      </c>
      <c r="J176" s="8" t="s">
        <v>2982</v>
      </c>
      <c r="K176" t="s">
        <v>7841</v>
      </c>
      <c r="L176" t="s">
        <v>7842</v>
      </c>
      <c r="M176" s="3" t="str">
        <f>HYPERLINK(склад2въезд1319[[#This Row],[RelativePath]])</f>
        <v>5 Крыльцо общага\K07156189_22_20251226T104639Z.jpg</v>
      </c>
    </row>
    <row r="177" spans="1:13" x14ac:dyDescent="0.25">
      <c r="A177" s="2" t="s">
        <v>17</v>
      </c>
      <c r="B177" s="4">
        <v>46017</v>
      </c>
      <c r="C177" s="5">
        <v>0.4495601851851852</v>
      </c>
      <c r="D177" s="8" t="s">
        <v>1094</v>
      </c>
      <c r="E177" s="8" t="s">
        <v>86</v>
      </c>
      <c r="F177" s="8" t="s">
        <v>60</v>
      </c>
      <c r="H177" s="8" t="s">
        <v>7870</v>
      </c>
      <c r="I177" s="8" t="s">
        <v>7843</v>
      </c>
      <c r="J177" s="8" t="s">
        <v>2982</v>
      </c>
      <c r="K177" t="s">
        <v>7844</v>
      </c>
      <c r="L177" t="s">
        <v>7845</v>
      </c>
      <c r="M177" s="3" t="str">
        <f>HYPERLINK(склад2въезд1319[[#This Row],[RelativePath]])</f>
        <v>5 Крыльцо общага\K07156189_22_20251226T104722Z.jpg</v>
      </c>
    </row>
    <row r="178" spans="1:13" x14ac:dyDescent="0.25">
      <c r="A178" s="2" t="s">
        <v>17</v>
      </c>
      <c r="B178" s="4">
        <v>46017</v>
      </c>
      <c r="C178" s="5">
        <v>0.50839120370370372</v>
      </c>
      <c r="D178" s="8" t="s">
        <v>1094</v>
      </c>
      <c r="E178" s="8" t="s">
        <v>86</v>
      </c>
      <c r="F178" s="8" t="s">
        <v>60</v>
      </c>
      <c r="H178" s="8" t="s">
        <v>7870</v>
      </c>
      <c r="I178" s="8" t="s">
        <v>7846</v>
      </c>
      <c r="J178" s="8" t="s">
        <v>2982</v>
      </c>
      <c r="K178" t="s">
        <v>7847</v>
      </c>
      <c r="L178" t="s">
        <v>7848</v>
      </c>
      <c r="M178" s="3" t="str">
        <f>HYPERLINK(склад2въезд1319[[#This Row],[RelativePath]])</f>
        <v>5 Крыльцо общага\K07156189_22_20251226T121205Z.jpg</v>
      </c>
    </row>
    <row r="179" spans="1:13" x14ac:dyDescent="0.25">
      <c r="A179" s="2" t="s">
        <v>17</v>
      </c>
      <c r="B179" s="4">
        <v>46017</v>
      </c>
      <c r="C179" s="5">
        <v>0.52350694444444446</v>
      </c>
      <c r="D179" s="8" t="s">
        <v>1094</v>
      </c>
      <c r="E179" s="8" t="s">
        <v>86</v>
      </c>
      <c r="F179" s="8" t="s">
        <v>60</v>
      </c>
      <c r="H179" s="8" t="s">
        <v>7870</v>
      </c>
      <c r="I179" s="8" t="s">
        <v>7849</v>
      </c>
      <c r="J179" s="8" t="s">
        <v>2982</v>
      </c>
      <c r="K179" t="s">
        <v>7850</v>
      </c>
      <c r="L179" t="s">
        <v>7851</v>
      </c>
      <c r="M179" s="3" t="str">
        <f>HYPERLINK(склад2въезд1319[[#This Row],[RelativePath]])</f>
        <v>5 Крыльцо общага\K07156189_22_20251226T123351Z.jpg</v>
      </c>
    </row>
    <row r="180" spans="1:13" x14ac:dyDescent="0.25">
      <c r="A180" s="2" t="s">
        <v>17</v>
      </c>
      <c r="B180" s="4">
        <v>46017</v>
      </c>
      <c r="C180" s="5">
        <v>0.62630787037037039</v>
      </c>
      <c r="D180" s="8" t="s">
        <v>2004</v>
      </c>
      <c r="E180" s="8" t="s">
        <v>8</v>
      </c>
      <c r="F180" s="8"/>
      <c r="H180" s="8"/>
      <c r="I180" s="8" t="s">
        <v>7852</v>
      </c>
      <c r="J180" s="8" t="s">
        <v>2982</v>
      </c>
      <c r="K180" t="s">
        <v>7853</v>
      </c>
      <c r="L180" t="s">
        <v>7854</v>
      </c>
      <c r="M180" s="3" t="str">
        <f>HYPERLINK(склад2въезд1319[[#This Row],[RelativePath]])</f>
        <v>5 Крыльцо общага\K07156189_22_20251226T150153Z.jpg</v>
      </c>
    </row>
    <row r="181" spans="1:13" x14ac:dyDescent="0.25">
      <c r="A181" s="2" t="s">
        <v>18</v>
      </c>
      <c r="B181" s="4">
        <v>46018</v>
      </c>
      <c r="C181" s="5">
        <v>0.41405092592592591</v>
      </c>
      <c r="D181" s="8" t="s">
        <v>2004</v>
      </c>
      <c r="E181" s="8" t="s">
        <v>8</v>
      </c>
      <c r="F181" s="8"/>
      <c r="H181" s="8"/>
      <c r="I181" s="8" t="s">
        <v>7929</v>
      </c>
      <c r="J181" s="8" t="s">
        <v>2982</v>
      </c>
      <c r="K181" t="s">
        <v>7930</v>
      </c>
      <c r="L181" t="s">
        <v>7931</v>
      </c>
      <c r="M181" s="3" t="str">
        <f>HYPERLINK(склад2въезд1319[[#This Row],[RelativePath]])</f>
        <v>5 Крыльцо общага\K07156189_22_20251227T095614Z.jpg</v>
      </c>
    </row>
    <row r="182" spans="1:13" x14ac:dyDescent="0.25">
      <c r="A182" s="2" t="s">
        <v>18</v>
      </c>
      <c r="B182" s="4">
        <v>46018</v>
      </c>
      <c r="C182" s="5">
        <v>0.59212962962962967</v>
      </c>
      <c r="D182" s="8" t="s">
        <v>8042</v>
      </c>
      <c r="E182" s="8" t="s">
        <v>6656</v>
      </c>
      <c r="F182" s="8"/>
      <c r="H182" s="8"/>
      <c r="I182" s="8" t="s">
        <v>7932</v>
      </c>
      <c r="J182" s="8" t="s">
        <v>2982</v>
      </c>
      <c r="K182" t="s">
        <v>7933</v>
      </c>
      <c r="L182" t="s">
        <v>7934</v>
      </c>
      <c r="M182" s="3" t="str">
        <f>HYPERLINK(склад2въезд1319[[#This Row],[RelativePath]])</f>
        <v>5 Крыльцо общага\K07156189_22_20251227T141240Z.jpg</v>
      </c>
    </row>
    <row r="183" spans="1:13" x14ac:dyDescent="0.25">
      <c r="A183" s="2" t="s">
        <v>18</v>
      </c>
      <c r="B183" s="4">
        <v>46018</v>
      </c>
      <c r="C183" s="5">
        <v>0.67885416666666665</v>
      </c>
      <c r="D183" s="8" t="s">
        <v>4</v>
      </c>
      <c r="E183" s="8" t="s">
        <v>8045</v>
      </c>
      <c r="F183" s="8"/>
      <c r="H183" s="8"/>
      <c r="I183" s="8" t="s">
        <v>7935</v>
      </c>
      <c r="J183" s="8" t="s">
        <v>2982</v>
      </c>
      <c r="K183" t="s">
        <v>7936</v>
      </c>
      <c r="L183" t="s">
        <v>7937</v>
      </c>
      <c r="M183" s="3" t="str">
        <f>HYPERLINK(склад2въезд1319[[#This Row],[RelativePath]])</f>
        <v>5 Крыльцо общага\K07156189_22_20251227T161733Z.jpg</v>
      </c>
    </row>
    <row r="184" spans="1:13" x14ac:dyDescent="0.25">
      <c r="A184" s="2" t="s">
        <v>22</v>
      </c>
      <c r="B184" s="4">
        <v>46019</v>
      </c>
      <c r="C184" s="5">
        <v>0.53042824074074069</v>
      </c>
      <c r="D184" s="8" t="s">
        <v>4</v>
      </c>
      <c r="E184" s="8" t="s">
        <v>8045</v>
      </c>
      <c r="F184" s="8"/>
      <c r="H184" s="8"/>
      <c r="I184" s="8" t="s">
        <v>7938</v>
      </c>
      <c r="J184" s="8" t="s">
        <v>2982</v>
      </c>
      <c r="K184" t="s">
        <v>7939</v>
      </c>
      <c r="L184" t="s">
        <v>7940</v>
      </c>
      <c r="M184" s="3" t="str">
        <f>HYPERLINK(склад2въезд1319[[#This Row],[RelativePath]])</f>
        <v>5 Крыльцо общага\K07156189_22_20251228T124349Z.jpg</v>
      </c>
    </row>
    <row r="185" spans="1:13" x14ac:dyDescent="0.25">
      <c r="A185" s="2" t="s">
        <v>22</v>
      </c>
      <c r="B185" s="4">
        <v>46019</v>
      </c>
      <c r="C185" s="5">
        <v>0.6691435185185185</v>
      </c>
      <c r="D185" s="8" t="s">
        <v>4</v>
      </c>
      <c r="E185" s="8" t="s">
        <v>8045</v>
      </c>
      <c r="F185" s="8"/>
      <c r="H185" s="8"/>
      <c r="I185" s="8" t="s">
        <v>7941</v>
      </c>
      <c r="J185" s="8" t="s">
        <v>2982</v>
      </c>
      <c r="K185" t="s">
        <v>7942</v>
      </c>
      <c r="L185" t="s">
        <v>7943</v>
      </c>
      <c r="M185" s="3" t="str">
        <f>HYPERLINK(склад2въезд1319[[#This Row],[RelativePath]])</f>
        <v>5 Крыльцо общага\K07156189_22_20251228T160334Z.jpg</v>
      </c>
    </row>
    <row r="186" spans="1:13" x14ac:dyDescent="0.25">
      <c r="A186" s="2" t="s">
        <v>13</v>
      </c>
      <c r="B186" s="4">
        <v>46020</v>
      </c>
      <c r="C186" s="5">
        <v>0.61700231481481482</v>
      </c>
      <c r="D186" s="8" t="s">
        <v>4</v>
      </c>
      <c r="E186" s="8" t="s">
        <v>8331</v>
      </c>
      <c r="F186" s="8"/>
      <c r="H186" s="8"/>
      <c r="I186" s="8" t="s">
        <v>8285</v>
      </c>
      <c r="J186" s="8" t="s">
        <v>2982</v>
      </c>
      <c r="K186" t="s">
        <v>8286</v>
      </c>
      <c r="L186" t="s">
        <v>8287</v>
      </c>
      <c r="M186" s="3" t="str">
        <f>HYPERLINK(склад2въезд1319[[#This Row],[RelativePath]])</f>
        <v>5 Крыльцо общага\K07156189_22_20251229T144829Z.jpg</v>
      </c>
    </row>
    <row r="187" spans="1:13" x14ac:dyDescent="0.25">
      <c r="A187" s="2" t="s">
        <v>13</v>
      </c>
      <c r="B187" s="4">
        <v>46020</v>
      </c>
      <c r="C187" s="5">
        <v>0.65125</v>
      </c>
      <c r="D187" s="8" t="s">
        <v>4</v>
      </c>
      <c r="E187" s="8" t="s">
        <v>8331</v>
      </c>
      <c r="F187" s="8"/>
      <c r="H187" s="8"/>
      <c r="I187" s="8" t="s">
        <v>8288</v>
      </c>
      <c r="J187" s="8" t="s">
        <v>2982</v>
      </c>
      <c r="K187" t="s">
        <v>8289</v>
      </c>
      <c r="L187" t="s">
        <v>8290</v>
      </c>
      <c r="M187" s="3" t="str">
        <f>HYPERLINK(склад2въезд1319[[#This Row],[RelativePath]])</f>
        <v>5 Крыльцо общага\K07156189_22_20251229T153748Z.jpg</v>
      </c>
    </row>
    <row r="188" spans="1:13" x14ac:dyDescent="0.25">
      <c r="A188" s="2" t="s">
        <v>14</v>
      </c>
      <c r="B188" s="4">
        <v>46021</v>
      </c>
      <c r="C188" s="5">
        <v>0.73622685185185188</v>
      </c>
      <c r="D188" s="8" t="s">
        <v>2004</v>
      </c>
      <c r="E188" s="8" t="s">
        <v>8</v>
      </c>
      <c r="F188" s="8"/>
      <c r="H188" s="8"/>
      <c r="I188" s="8" t="s">
        <v>8291</v>
      </c>
      <c r="J188" s="8" t="s">
        <v>2982</v>
      </c>
      <c r="K188" t="s">
        <v>8292</v>
      </c>
      <c r="L188" t="s">
        <v>8293</v>
      </c>
      <c r="M188" s="3" t="str">
        <f>HYPERLINK(склад2въезд1319[[#This Row],[RelativePath]])</f>
        <v>5 Крыльцо общага\K07156189_22_20251230T174010Z.jpg</v>
      </c>
    </row>
    <row r="189" spans="1:13" x14ac:dyDescent="0.25">
      <c r="A189" s="2" t="s">
        <v>15</v>
      </c>
      <c r="B189" s="4">
        <v>46022</v>
      </c>
      <c r="C189" s="5">
        <v>0.62612268518518521</v>
      </c>
      <c r="D189" s="8" t="s">
        <v>4</v>
      </c>
      <c r="E189" s="8" t="s">
        <v>1607</v>
      </c>
      <c r="F189" s="8" t="s">
        <v>7169</v>
      </c>
      <c r="H189" s="8"/>
      <c r="I189" s="8" t="s">
        <v>8294</v>
      </c>
      <c r="J189" s="8" t="s">
        <v>2982</v>
      </c>
      <c r="K189" t="s">
        <v>8295</v>
      </c>
      <c r="L189" t="s">
        <v>8296</v>
      </c>
      <c r="M189" s="3" t="str">
        <f>HYPERLINK(склад2въезд1319[[#This Row],[RelativePath]])</f>
        <v>5 Крыльцо общага\K07156189_22_20251231T150137Z.jpg</v>
      </c>
    </row>
    <row r="190" spans="1:13" x14ac:dyDescent="0.25">
      <c r="A190" s="2" t="s">
        <v>15</v>
      </c>
      <c r="B190" s="4">
        <v>46022</v>
      </c>
      <c r="C190" s="5">
        <v>0.69601851851851848</v>
      </c>
      <c r="D190" s="8" t="s">
        <v>2004</v>
      </c>
      <c r="E190" s="8" t="s">
        <v>8</v>
      </c>
      <c r="F190" s="8"/>
      <c r="H190" s="8"/>
      <c r="I190" s="8" t="s">
        <v>8297</v>
      </c>
      <c r="J190" s="8" t="s">
        <v>2982</v>
      </c>
      <c r="K190" t="s">
        <v>8298</v>
      </c>
      <c r="L190" t="s">
        <v>8299</v>
      </c>
      <c r="M190" s="3" t="str">
        <f>HYPERLINK(склад2въезд1319[[#This Row],[RelativePath]])</f>
        <v>5 Крыльцо общага\K07156189_22_20251231T164216Z.jpg</v>
      </c>
    </row>
    <row r="191" spans="1:13" x14ac:dyDescent="0.25">
      <c r="A191" s="2" t="s">
        <v>16</v>
      </c>
      <c r="B191" s="4">
        <v>46023</v>
      </c>
      <c r="C191" s="5">
        <v>0.75586805555555558</v>
      </c>
      <c r="D191" s="8" t="s">
        <v>2004</v>
      </c>
      <c r="E191" s="8" t="s">
        <v>8</v>
      </c>
      <c r="F191" s="8"/>
      <c r="H191" s="8"/>
      <c r="I191" s="8" t="s">
        <v>8300</v>
      </c>
      <c r="J191" s="8" t="s">
        <v>2982</v>
      </c>
      <c r="K191" t="s">
        <v>8301</v>
      </c>
      <c r="L191" t="s">
        <v>8302</v>
      </c>
      <c r="M191" s="3" t="str">
        <f>HYPERLINK(склад2въезд1319[[#This Row],[RelativePath]])</f>
        <v>5 Крыльцо общага\K07156189_22_20260101T180827Z.jpg</v>
      </c>
    </row>
    <row r="192" spans="1:13" x14ac:dyDescent="0.25">
      <c r="A192" s="2" t="s">
        <v>17</v>
      </c>
      <c r="B192" s="4">
        <v>46024</v>
      </c>
      <c r="C192" s="5">
        <v>0.67988425925925922</v>
      </c>
      <c r="D192" s="8" t="s">
        <v>2004</v>
      </c>
      <c r="E192" s="8" t="s">
        <v>8</v>
      </c>
      <c r="F192" s="8"/>
      <c r="H192" s="8"/>
      <c r="I192" s="8" t="s">
        <v>8429</v>
      </c>
      <c r="J192" s="8" t="s">
        <v>2982</v>
      </c>
      <c r="K192" t="s">
        <v>8430</v>
      </c>
      <c r="L192" t="s">
        <v>8431</v>
      </c>
      <c r="M192" s="3" t="str">
        <f>HYPERLINK(склад2въезд1319[[#This Row],[RelativePath]])</f>
        <v>5 Крыльцо общага\K07156189_22_20260102T161902Z.jpg</v>
      </c>
    </row>
    <row r="193" spans="1:13" x14ac:dyDescent="0.25">
      <c r="A193" s="2" t="s">
        <v>18</v>
      </c>
      <c r="B193" s="4">
        <v>46025</v>
      </c>
      <c r="C193" s="5">
        <v>0.68650462962962966</v>
      </c>
      <c r="D193" s="8" t="s">
        <v>4</v>
      </c>
      <c r="E193" s="8" t="s">
        <v>8483</v>
      </c>
      <c r="F193" s="8"/>
      <c r="H193" s="8" t="s">
        <v>8042</v>
      </c>
      <c r="I193" s="8" t="s">
        <v>8432</v>
      </c>
      <c r="J193" s="8" t="s">
        <v>2982</v>
      </c>
      <c r="K193" t="s">
        <v>8433</v>
      </c>
      <c r="L193" t="s">
        <v>8434</v>
      </c>
      <c r="M193" s="3" t="str">
        <f>HYPERLINK(склад2въезд1319[[#This Row],[RelativePath]])</f>
        <v>5 Крыльцо общага\K07156189_22_20260103T162834Z.jpg</v>
      </c>
    </row>
    <row r="194" spans="1:13" x14ac:dyDescent="0.25">
      <c r="A194" s="2" t="s">
        <v>22</v>
      </c>
      <c r="B194" s="4">
        <v>46026</v>
      </c>
      <c r="C194" s="5">
        <v>0.71475694444444449</v>
      </c>
      <c r="D194" s="8" t="s">
        <v>2004</v>
      </c>
      <c r="E194" s="8" t="s">
        <v>8</v>
      </c>
      <c r="F194" s="8"/>
      <c r="H194" s="8"/>
      <c r="I194" s="8" t="s">
        <v>8435</v>
      </c>
      <c r="J194" s="8" t="s">
        <v>2982</v>
      </c>
      <c r="K194" t="s">
        <v>8436</v>
      </c>
      <c r="L194" t="s">
        <v>8437</v>
      </c>
      <c r="M194" s="3" t="str">
        <f>HYPERLINK(склад2въезд1319[[#This Row],[RelativePath]])</f>
        <v>5 Крыльцо общага\K07156189_22_20260104T170915Z.jpg</v>
      </c>
    </row>
    <row r="195" spans="1:13" x14ac:dyDescent="0.25">
      <c r="A195" s="2" t="s">
        <v>13</v>
      </c>
      <c r="B195" s="4">
        <v>46027</v>
      </c>
      <c r="C195" s="5">
        <v>0.71888888888888891</v>
      </c>
      <c r="D195" s="8" t="s">
        <v>2004</v>
      </c>
      <c r="E195" s="8" t="s">
        <v>8</v>
      </c>
      <c r="F195" s="8"/>
      <c r="H195" s="8"/>
      <c r="I195" s="8" t="s">
        <v>8556</v>
      </c>
      <c r="J195" s="8" t="s">
        <v>2982</v>
      </c>
      <c r="K195" t="s">
        <v>8557</v>
      </c>
      <c r="L195" t="s">
        <v>8558</v>
      </c>
      <c r="M195" s="3" t="str">
        <f>HYPERLINK(склад2въезд1319[[#This Row],[RelativePath]])</f>
        <v>5 Крыльцо общага\K07156189_22_20260105T171512Z.jpg</v>
      </c>
    </row>
    <row r="196" spans="1:13" x14ac:dyDescent="0.25">
      <c r="A196" s="2" t="s">
        <v>14</v>
      </c>
      <c r="B196" s="4">
        <v>46028</v>
      </c>
      <c r="C196" s="5">
        <v>0.72142361111111108</v>
      </c>
      <c r="D196" s="8" t="s">
        <v>4</v>
      </c>
      <c r="E196" s="8" t="s">
        <v>8805</v>
      </c>
      <c r="F196" s="8"/>
      <c r="H196" s="8"/>
      <c r="I196" s="8" t="s">
        <v>8559</v>
      </c>
      <c r="J196" s="8" t="s">
        <v>2982</v>
      </c>
      <c r="K196" t="s">
        <v>8560</v>
      </c>
      <c r="L196" t="s">
        <v>8561</v>
      </c>
      <c r="M196" s="3" t="str">
        <f>HYPERLINK(склад2въезд1319[[#This Row],[RelativePath]])</f>
        <v>5 Крыльцо общага\K07156189_22_20260106T171851Z.jpg</v>
      </c>
    </row>
    <row r="197" spans="1:13" x14ac:dyDescent="0.25">
      <c r="A197" s="2" t="s">
        <v>15</v>
      </c>
      <c r="B197" s="4">
        <v>46029</v>
      </c>
      <c r="C197" s="5">
        <v>0.65956018518518522</v>
      </c>
      <c r="D197" s="8" t="s">
        <v>2004</v>
      </c>
      <c r="E197" s="8" t="s">
        <v>8</v>
      </c>
      <c r="F197" s="8"/>
      <c r="H197" s="8"/>
      <c r="I197" s="8" t="s">
        <v>8562</v>
      </c>
      <c r="J197" s="8" t="s">
        <v>2982</v>
      </c>
      <c r="K197" t="s">
        <v>8563</v>
      </c>
      <c r="L197" t="s">
        <v>8564</v>
      </c>
      <c r="M197" s="3" t="str">
        <f>HYPERLINK(склад2въезд1319[[#This Row],[RelativePath]])</f>
        <v>5 Крыльцо общага\K07156189_22_20260107T154946Z.jpg</v>
      </c>
    </row>
    <row r="198" spans="1:13" x14ac:dyDescent="0.25">
      <c r="A198" s="2" t="s">
        <v>16</v>
      </c>
      <c r="B198" s="4">
        <v>46030</v>
      </c>
      <c r="C198" s="5">
        <v>0.68600694444444443</v>
      </c>
      <c r="D198" s="8" t="s">
        <v>2004</v>
      </c>
      <c r="E198" s="8" t="s">
        <v>8</v>
      </c>
      <c r="F198" s="8"/>
      <c r="H198" s="8"/>
      <c r="I198" s="8" t="s">
        <v>8565</v>
      </c>
      <c r="J198" s="8" t="s">
        <v>2982</v>
      </c>
      <c r="K198" t="s">
        <v>8566</v>
      </c>
      <c r="L198" t="s">
        <v>8567</v>
      </c>
      <c r="M198" s="3" t="str">
        <f>HYPERLINK(склад2въезд1319[[#This Row],[RelativePath]])</f>
        <v>5 Крыльцо общага\K07156189_22_20260108T162751Z.jpg</v>
      </c>
    </row>
    <row r="199" spans="1:13" x14ac:dyDescent="0.25">
      <c r="A199" s="2" t="s">
        <v>17</v>
      </c>
      <c r="B199" s="4">
        <v>46031</v>
      </c>
      <c r="C199" s="5">
        <v>0.66623842592592597</v>
      </c>
      <c r="D199" s="8" t="s">
        <v>2004</v>
      </c>
      <c r="E199" s="8" t="s">
        <v>8</v>
      </c>
      <c r="F199" s="8"/>
      <c r="H199" s="8"/>
      <c r="I199" s="8" t="s">
        <v>8568</v>
      </c>
      <c r="J199" s="8" t="s">
        <v>2982</v>
      </c>
      <c r="K199" t="s">
        <v>8569</v>
      </c>
      <c r="L199" t="s">
        <v>8570</v>
      </c>
      <c r="M199" s="3" t="str">
        <f>HYPERLINK(склад2въезд1319[[#This Row],[RelativePath]])</f>
        <v>5 Крыльцо общага\K07156189_22_20260109T155923Z.jpg</v>
      </c>
    </row>
    <row r="200" spans="1:13" x14ac:dyDescent="0.25">
      <c r="A200" s="2" t="s">
        <v>18</v>
      </c>
      <c r="B200" s="4">
        <v>46032</v>
      </c>
      <c r="C200" s="5">
        <v>0.74467592592592591</v>
      </c>
      <c r="D200" s="8" t="s">
        <v>2004</v>
      </c>
      <c r="E200" s="8" t="s">
        <v>8</v>
      </c>
      <c r="F200" s="8"/>
      <c r="H200" s="8"/>
      <c r="I200" s="8" t="s">
        <v>8571</v>
      </c>
      <c r="J200" s="8" t="s">
        <v>2982</v>
      </c>
      <c r="K200" t="s">
        <v>8572</v>
      </c>
      <c r="L200" t="s">
        <v>8573</v>
      </c>
      <c r="M200" s="3" t="str">
        <f>HYPERLINK(склад2въезд1319[[#This Row],[RelativePath]])</f>
        <v>5 Крыльцо общага\K07156189_22_20260110T175220Z.jpg</v>
      </c>
    </row>
    <row r="201" spans="1:13" x14ac:dyDescent="0.25">
      <c r="A201" s="2" t="s">
        <v>22</v>
      </c>
      <c r="B201" s="4">
        <v>46033</v>
      </c>
      <c r="C201" s="5">
        <v>0.70839120370370368</v>
      </c>
      <c r="D201" s="8" t="s">
        <v>2004</v>
      </c>
      <c r="E201" s="8" t="s">
        <v>8</v>
      </c>
      <c r="F201" s="8"/>
      <c r="H201" s="8"/>
      <c r="I201" s="8" t="s">
        <v>8574</v>
      </c>
      <c r="J201" s="8" t="s">
        <v>2982</v>
      </c>
      <c r="K201" t="s">
        <v>8575</v>
      </c>
      <c r="L201" t="s">
        <v>8576</v>
      </c>
      <c r="M201" s="3" t="str">
        <f>HYPERLINK(склад2въезд1319[[#This Row],[RelativePath]])</f>
        <v>5 Крыльцо общага\K07156189_22_20260111T170005Z.jpg</v>
      </c>
    </row>
    <row r="202" spans="1:13" x14ac:dyDescent="0.25">
      <c r="A202" s="2" t="s">
        <v>14</v>
      </c>
      <c r="B202" s="4">
        <v>45972</v>
      </c>
      <c r="C202" s="5">
        <v>0.39533564814814814</v>
      </c>
      <c r="D202" s="8" t="s">
        <v>2004</v>
      </c>
      <c r="E202" s="8" t="s">
        <v>8</v>
      </c>
      <c r="F202" s="8"/>
      <c r="H202" s="8"/>
      <c r="I202" s="8" t="s">
        <v>364</v>
      </c>
      <c r="J202" s="8" t="s">
        <v>2982</v>
      </c>
      <c r="K202" t="s">
        <v>365</v>
      </c>
      <c r="L202" t="s">
        <v>366</v>
      </c>
      <c r="M202" s="3" t="str">
        <f>HYPERLINK(склад2въезд1319[[#This Row],[RelativePath]])</f>
        <v>5 Крыльцо общага\K07156189_22_20251111T092917Z.jpg</v>
      </c>
    </row>
    <row r="203" spans="1:13" x14ac:dyDescent="0.25">
      <c r="A203" s="2" t="s">
        <v>14</v>
      </c>
      <c r="B203" s="4">
        <v>45972</v>
      </c>
      <c r="C203" s="5">
        <v>0.39787037037037037</v>
      </c>
      <c r="D203" s="8" t="s">
        <v>2004</v>
      </c>
      <c r="E203" s="8" t="s">
        <v>8</v>
      </c>
      <c r="F203" s="8"/>
      <c r="H203" s="8"/>
      <c r="I203" s="8" t="s">
        <v>367</v>
      </c>
      <c r="J203" s="8" t="s">
        <v>2982</v>
      </c>
      <c r="K203" t="s">
        <v>368</v>
      </c>
      <c r="L203" t="s">
        <v>369</v>
      </c>
      <c r="M203" s="3" t="str">
        <f>HYPERLINK(склад2въезд1319[[#This Row],[RelativePath]])</f>
        <v>5 Крыльцо общага\K07156189_22_20251111T093256Z.jpg</v>
      </c>
    </row>
    <row r="204" spans="1:13" x14ac:dyDescent="0.25">
      <c r="A204" s="2" t="s">
        <v>14</v>
      </c>
      <c r="B204" s="4">
        <v>45972</v>
      </c>
      <c r="C204" s="5">
        <v>0.40370370370370373</v>
      </c>
      <c r="D204" s="8" t="s">
        <v>2004</v>
      </c>
      <c r="E204" s="8" t="s">
        <v>8</v>
      </c>
      <c r="F204" s="8"/>
      <c r="H204" s="8"/>
      <c r="I204" s="8" t="s">
        <v>370</v>
      </c>
      <c r="J204" s="8" t="s">
        <v>2982</v>
      </c>
      <c r="K204" t="s">
        <v>371</v>
      </c>
      <c r="L204" t="s">
        <v>372</v>
      </c>
      <c r="M204" s="3" t="str">
        <f>HYPERLINK(склад2въезд1319[[#This Row],[RelativePath]])</f>
        <v>5 Крыльцо общага\K07156189_22_20251111T094120Z.jpg</v>
      </c>
    </row>
    <row r="205" spans="1:13" x14ac:dyDescent="0.25">
      <c r="A205" s="2" t="s">
        <v>14</v>
      </c>
      <c r="B205" s="4">
        <v>45972</v>
      </c>
      <c r="C205" s="5">
        <v>0.40377314814814813</v>
      </c>
      <c r="D205" s="8" t="s">
        <v>2004</v>
      </c>
      <c r="E205" s="8" t="s">
        <v>8</v>
      </c>
      <c r="F205" s="8"/>
      <c r="H205" s="8"/>
      <c r="I205" s="8" t="s">
        <v>373</v>
      </c>
      <c r="J205" s="8" t="s">
        <v>2982</v>
      </c>
      <c r="K205" t="s">
        <v>374</v>
      </c>
      <c r="L205" t="s">
        <v>375</v>
      </c>
      <c r="M205" s="3" t="str">
        <f>HYPERLINK(склад2въезд1319[[#This Row],[RelativePath]])</f>
        <v>5 Крыльцо общага\K07156189_22_20251111T094126Z.jpg</v>
      </c>
    </row>
    <row r="206" spans="1:13" x14ac:dyDescent="0.25">
      <c r="A206" s="2" t="s">
        <v>14</v>
      </c>
      <c r="B206" s="4">
        <v>45972</v>
      </c>
      <c r="C206" s="5">
        <v>0.40597222222222223</v>
      </c>
      <c r="D206" s="8" t="s">
        <v>2004</v>
      </c>
      <c r="E206" s="8" t="s">
        <v>8</v>
      </c>
      <c r="F206" s="8"/>
      <c r="H206" s="8"/>
      <c r="I206" s="8" t="s">
        <v>376</v>
      </c>
      <c r="J206" s="8" t="s">
        <v>2982</v>
      </c>
      <c r="K206" t="s">
        <v>377</v>
      </c>
      <c r="L206" t="s">
        <v>378</v>
      </c>
      <c r="M206" s="3" t="str">
        <f>HYPERLINK(склад2въезд1319[[#This Row],[RelativePath]])</f>
        <v>5 Крыльцо общага\K07156189_22_20251111T094436Z.jpg</v>
      </c>
    </row>
    <row r="207" spans="1:13" x14ac:dyDescent="0.25">
      <c r="A207" s="2" t="s">
        <v>13</v>
      </c>
      <c r="B207" s="4">
        <v>46034</v>
      </c>
      <c r="C207" s="5">
        <v>0.45627314814814812</v>
      </c>
      <c r="D207" s="8" t="s">
        <v>6191</v>
      </c>
      <c r="E207" s="8" t="s">
        <v>5480</v>
      </c>
      <c r="F207" s="8" t="s">
        <v>9190</v>
      </c>
      <c r="H207" s="8"/>
      <c r="I207" s="8" t="s">
        <v>8861</v>
      </c>
      <c r="J207" s="8" t="s">
        <v>2982</v>
      </c>
      <c r="K207" t="s">
        <v>8862</v>
      </c>
      <c r="L207" t="s">
        <v>8863</v>
      </c>
      <c r="M207" s="3" t="str">
        <f>HYPERLINK(склад2въезд1319[[#This Row],[RelativePath]])</f>
        <v>5 Крыльцо общага\K07156189_22_20260112T105702Z.jpg</v>
      </c>
    </row>
    <row r="208" spans="1:13" x14ac:dyDescent="0.25">
      <c r="A208" s="2" t="s">
        <v>13</v>
      </c>
      <c r="B208" s="4">
        <v>46034</v>
      </c>
      <c r="C208" s="5">
        <v>0.45644675925925926</v>
      </c>
      <c r="D208" s="8" t="s">
        <v>6191</v>
      </c>
      <c r="E208" s="8" t="s">
        <v>5480</v>
      </c>
      <c r="F208" s="8" t="s">
        <v>9190</v>
      </c>
      <c r="H208" s="8" t="s">
        <v>2936</v>
      </c>
      <c r="I208" s="8" t="s">
        <v>8864</v>
      </c>
      <c r="J208" s="8" t="s">
        <v>2982</v>
      </c>
      <c r="K208" t="s">
        <v>8865</v>
      </c>
      <c r="L208" t="s">
        <v>8866</v>
      </c>
      <c r="M208" s="3" t="str">
        <f>HYPERLINK(склад2въезд1319[[#This Row],[RelativePath]])</f>
        <v>5 Крыльцо общага\K07156189_22_20260112T105717Z.jpg</v>
      </c>
    </row>
    <row r="209" spans="1:13" x14ac:dyDescent="0.25">
      <c r="A209" s="2" t="s">
        <v>13</v>
      </c>
      <c r="B209" s="4">
        <v>46034</v>
      </c>
      <c r="C209" s="5">
        <v>0.60359953703703706</v>
      </c>
      <c r="D209" s="8" t="s">
        <v>1094</v>
      </c>
      <c r="E209" s="8" t="s">
        <v>86</v>
      </c>
      <c r="F209" s="8" t="s">
        <v>60</v>
      </c>
      <c r="H209" s="8"/>
      <c r="I209" s="8" t="s">
        <v>8867</v>
      </c>
      <c r="J209" s="8" t="s">
        <v>2982</v>
      </c>
      <c r="K209" t="s">
        <v>8868</v>
      </c>
      <c r="L209" t="s">
        <v>8869</v>
      </c>
      <c r="M209" s="3" t="str">
        <f>HYPERLINK(склад2въезд1319[[#This Row],[RelativePath]])</f>
        <v>5 Крыльцо общага\K07156189_22_20260112T142911Z.jpg</v>
      </c>
    </row>
    <row r="210" spans="1:13" x14ac:dyDescent="0.25">
      <c r="A210" s="2" t="s">
        <v>13</v>
      </c>
      <c r="B210" s="4">
        <v>46034</v>
      </c>
      <c r="C210" s="5">
        <v>0.60393518518518519</v>
      </c>
      <c r="D210" s="8" t="s">
        <v>1094</v>
      </c>
      <c r="E210" s="8" t="s">
        <v>86</v>
      </c>
      <c r="F210" s="8" t="s">
        <v>60</v>
      </c>
      <c r="H210" s="8" t="s">
        <v>2936</v>
      </c>
      <c r="I210" s="8" t="s">
        <v>8870</v>
      </c>
      <c r="J210" s="8" t="s">
        <v>2982</v>
      </c>
      <c r="K210" t="s">
        <v>8871</v>
      </c>
      <c r="L210" t="s">
        <v>8872</v>
      </c>
      <c r="M210" s="3" t="str">
        <f>HYPERLINK(склад2въезд1319[[#This Row],[RelativePath]])</f>
        <v>5 Крыльцо общага\K07156189_22_20260112T142940Z.jpg</v>
      </c>
    </row>
    <row r="211" spans="1:13" x14ac:dyDescent="0.25">
      <c r="A211" s="2" t="s">
        <v>13</v>
      </c>
      <c r="B211" s="4">
        <v>46034</v>
      </c>
      <c r="C211" s="5">
        <v>0.62201388888888887</v>
      </c>
      <c r="D211" s="8" t="s">
        <v>1094</v>
      </c>
      <c r="E211" s="8" t="s">
        <v>86</v>
      </c>
      <c r="F211" s="8" t="s">
        <v>60</v>
      </c>
      <c r="H211" s="8" t="s">
        <v>2936</v>
      </c>
      <c r="I211" s="8" t="s">
        <v>8873</v>
      </c>
      <c r="J211" s="8" t="s">
        <v>2982</v>
      </c>
      <c r="K211" t="s">
        <v>8874</v>
      </c>
      <c r="L211" t="s">
        <v>8875</v>
      </c>
      <c r="M211" s="3" t="str">
        <f>HYPERLINK(склад2въезд1319[[#This Row],[RelativePath]])</f>
        <v>5 Крыльцо общага\K07156189_22_20260112T145542Z.jpg</v>
      </c>
    </row>
    <row r="212" spans="1:13" x14ac:dyDescent="0.25">
      <c r="A212" s="2" t="s">
        <v>13</v>
      </c>
      <c r="B212" s="4">
        <v>46034</v>
      </c>
      <c r="C212" s="5">
        <v>0.6477546296296296</v>
      </c>
      <c r="D212" s="8" t="s">
        <v>1094</v>
      </c>
      <c r="E212" s="8" t="s">
        <v>4247</v>
      </c>
      <c r="F212" s="8" t="s">
        <v>60</v>
      </c>
      <c r="H212" s="8"/>
      <c r="I212" s="8" t="s">
        <v>8876</v>
      </c>
      <c r="J212" s="8" t="s">
        <v>2982</v>
      </c>
      <c r="K212" t="s">
        <v>8877</v>
      </c>
      <c r="L212" t="s">
        <v>8878</v>
      </c>
      <c r="M212" s="3" t="str">
        <f>HYPERLINK(склад2въезд1319[[#This Row],[RelativePath]])</f>
        <v>5 Крыльцо общага\K07156189_22_20260112T153246Z.jpg</v>
      </c>
    </row>
    <row r="213" spans="1:13" x14ac:dyDescent="0.25">
      <c r="A213" s="2" t="s">
        <v>13</v>
      </c>
      <c r="B213" s="4">
        <v>46034</v>
      </c>
      <c r="C213" s="5">
        <v>0.6633796296296296</v>
      </c>
      <c r="D213" s="8" t="s">
        <v>1094</v>
      </c>
      <c r="E213" s="8" t="s">
        <v>4247</v>
      </c>
      <c r="F213" s="8" t="s">
        <v>60</v>
      </c>
      <c r="H213" s="8" t="s">
        <v>2936</v>
      </c>
      <c r="I213" s="8" t="s">
        <v>8879</v>
      </c>
      <c r="J213" s="8" t="s">
        <v>2982</v>
      </c>
      <c r="K213" t="s">
        <v>8880</v>
      </c>
      <c r="L213" t="s">
        <v>8881</v>
      </c>
      <c r="M213" s="3" t="str">
        <f>HYPERLINK(склад2въезд1319[[#This Row],[RelativePath]])</f>
        <v>5 Крыльцо общага\K07156189_22_20260112T155516Z.jpg</v>
      </c>
    </row>
    <row r="214" spans="1:13" x14ac:dyDescent="0.25">
      <c r="A214" s="2" t="s">
        <v>13</v>
      </c>
      <c r="B214" s="4">
        <v>46034</v>
      </c>
      <c r="C214" s="5">
        <v>0.67013888888888884</v>
      </c>
      <c r="D214" s="8" t="s">
        <v>1094</v>
      </c>
      <c r="E214" s="8" t="s">
        <v>4247</v>
      </c>
      <c r="F214" s="8" t="s">
        <v>60</v>
      </c>
      <c r="H214" s="8" t="s">
        <v>2936</v>
      </c>
      <c r="I214" s="8" t="s">
        <v>8882</v>
      </c>
      <c r="J214" s="8" t="s">
        <v>2982</v>
      </c>
      <c r="K214" t="s">
        <v>8883</v>
      </c>
      <c r="L214" t="s">
        <v>8884</v>
      </c>
      <c r="M214" s="3" t="str">
        <f>HYPERLINK(склад2въезд1319[[#This Row],[RelativePath]])</f>
        <v>5 Крыльцо общага\K07156189_22_20260112T160500Z.jpg</v>
      </c>
    </row>
    <row r="215" spans="1:13" x14ac:dyDescent="0.25">
      <c r="A215" s="2" t="s">
        <v>14</v>
      </c>
      <c r="B215" s="4">
        <v>46035</v>
      </c>
      <c r="C215" s="5">
        <v>0.39398148148148149</v>
      </c>
      <c r="D215" s="8" t="s">
        <v>4</v>
      </c>
      <c r="E215" s="8" t="s">
        <v>8</v>
      </c>
      <c r="F215" s="8"/>
      <c r="H215" s="8"/>
      <c r="I215" s="8" t="s">
        <v>8885</v>
      </c>
      <c r="J215" s="8" t="s">
        <v>2982</v>
      </c>
      <c r="K215" t="s">
        <v>8886</v>
      </c>
      <c r="L215" t="s">
        <v>8887</v>
      </c>
      <c r="M215" s="3" t="str">
        <f>HYPERLINK(склад2въезд1319[[#This Row],[RelativePath]])</f>
        <v>5 Крыльцо общага\K07156189_22_20260113T092720Z.jpg</v>
      </c>
    </row>
    <row r="216" spans="1:13" x14ac:dyDescent="0.25">
      <c r="A216" s="2" t="s">
        <v>14</v>
      </c>
      <c r="B216" s="4">
        <v>46035</v>
      </c>
      <c r="C216" s="5">
        <v>0.42083333333333334</v>
      </c>
      <c r="D216" s="8" t="s">
        <v>4</v>
      </c>
      <c r="E216" s="8" t="s">
        <v>8045</v>
      </c>
      <c r="F216" s="8"/>
      <c r="H216" s="8"/>
      <c r="I216" s="8" t="s">
        <v>8888</v>
      </c>
      <c r="J216" s="8" t="s">
        <v>2982</v>
      </c>
      <c r="K216" t="s">
        <v>8889</v>
      </c>
      <c r="L216" t="s">
        <v>8890</v>
      </c>
      <c r="M216" s="3" t="str">
        <f>HYPERLINK(склад2въезд1319[[#This Row],[RelativePath]])</f>
        <v>5 Крыльцо общага\K07156189_22_20260113T100600Z.jpg</v>
      </c>
    </row>
    <row r="217" spans="1:13" x14ac:dyDescent="0.25">
      <c r="A217" s="2" t="s">
        <v>14</v>
      </c>
      <c r="B217" s="4">
        <v>46035</v>
      </c>
      <c r="C217" s="5">
        <v>0.5883680555555556</v>
      </c>
      <c r="D217" s="8" t="s">
        <v>4</v>
      </c>
      <c r="E217" s="8" t="s">
        <v>8045</v>
      </c>
      <c r="F217" s="8"/>
      <c r="H217" s="8"/>
      <c r="I217" s="8" t="s">
        <v>8891</v>
      </c>
      <c r="J217" s="8" t="s">
        <v>2982</v>
      </c>
      <c r="K217" t="s">
        <v>8892</v>
      </c>
      <c r="L217" t="s">
        <v>8893</v>
      </c>
      <c r="M217" s="3" t="str">
        <f>HYPERLINK(склад2въезд1319[[#This Row],[RelativePath]])</f>
        <v>5 Крыльцо общага\K07156189_22_20260113T140715Z.jpg</v>
      </c>
    </row>
    <row r="218" spans="1:13" x14ac:dyDescent="0.25">
      <c r="A218" s="2" t="s">
        <v>14</v>
      </c>
      <c r="B218" s="4">
        <v>46035</v>
      </c>
      <c r="C218" s="5">
        <v>0.71750000000000003</v>
      </c>
      <c r="D218" s="8" t="s">
        <v>4</v>
      </c>
      <c r="E218" s="8" t="s">
        <v>8</v>
      </c>
      <c r="F218" s="8"/>
      <c r="H218" s="8"/>
      <c r="I218" s="8" t="s">
        <v>8894</v>
      </c>
      <c r="J218" s="8" t="s">
        <v>2982</v>
      </c>
      <c r="K218" t="s">
        <v>8895</v>
      </c>
      <c r="L218" t="s">
        <v>8896</v>
      </c>
      <c r="M218" s="3" t="str">
        <f>HYPERLINK(склад2въезд1319[[#This Row],[RelativePath]])</f>
        <v>5 Крыльцо общага\K07156189_22_20260113T171312Z.jpg</v>
      </c>
    </row>
    <row r="219" spans="1:13" x14ac:dyDescent="0.25">
      <c r="A219" s="2" t="s">
        <v>15</v>
      </c>
      <c r="B219" s="4">
        <v>46036</v>
      </c>
      <c r="C219" s="5">
        <v>0.4422800925925926</v>
      </c>
      <c r="D219" s="8" t="s">
        <v>4</v>
      </c>
      <c r="E219" s="8" t="s">
        <v>8045</v>
      </c>
      <c r="F219" s="8"/>
      <c r="H219" s="8"/>
      <c r="I219" s="8" t="s">
        <v>9258</v>
      </c>
      <c r="J219" s="8" t="s">
        <v>2982</v>
      </c>
      <c r="K219" t="s">
        <v>9259</v>
      </c>
      <c r="L219" t="s">
        <v>9260</v>
      </c>
      <c r="M219" s="3" t="str">
        <f>HYPERLINK(склад2въезд1319[[#This Row],[RelativePath]])</f>
        <v>5 Крыльцо общага\K07156189_22_20260114T103653Z.jpg</v>
      </c>
    </row>
    <row r="220" spans="1:13" x14ac:dyDescent="0.25">
      <c r="A220" s="2" t="s">
        <v>15</v>
      </c>
      <c r="B220" s="4">
        <v>46036</v>
      </c>
      <c r="C220" s="5">
        <v>0.60677083333333337</v>
      </c>
      <c r="D220" s="8" t="s">
        <v>4</v>
      </c>
      <c r="E220" s="8" t="s">
        <v>8045</v>
      </c>
      <c r="F220" s="8"/>
      <c r="H220" s="8" t="s">
        <v>2936</v>
      </c>
      <c r="I220" s="8" t="s">
        <v>9261</v>
      </c>
      <c r="J220" s="8" t="s">
        <v>2982</v>
      </c>
      <c r="K220" t="s">
        <v>9262</v>
      </c>
      <c r="L220" t="s">
        <v>9263</v>
      </c>
      <c r="M220" s="3" t="str">
        <f>HYPERLINK(склад2въезд1319[[#This Row],[RelativePath]])</f>
        <v>5 Крыльцо общага\K07156189_22_20260114T143345Z.jpg</v>
      </c>
    </row>
    <row r="221" spans="1:13" x14ac:dyDescent="0.25">
      <c r="A221" s="2" t="s">
        <v>15</v>
      </c>
      <c r="B221" s="4">
        <v>46036</v>
      </c>
      <c r="C221" s="5">
        <v>0.69315972222222222</v>
      </c>
      <c r="D221" s="8" t="s">
        <v>4</v>
      </c>
      <c r="E221" s="8" t="s">
        <v>8045</v>
      </c>
      <c r="F221" s="8"/>
      <c r="H221" s="8" t="s">
        <v>2936</v>
      </c>
      <c r="I221" s="8" t="s">
        <v>9264</v>
      </c>
      <c r="J221" s="8" t="s">
        <v>2982</v>
      </c>
      <c r="K221" t="s">
        <v>9265</v>
      </c>
      <c r="L221" t="s">
        <v>9266</v>
      </c>
      <c r="M221" s="3" t="str">
        <f>HYPERLINK(склад2въезд1319[[#This Row],[RelativePath]])</f>
        <v>5 Крыльцо общага\K07156189_22_20260114T163809Z.jpg</v>
      </c>
    </row>
    <row r="222" spans="1:13" x14ac:dyDescent="0.25">
      <c r="A222" s="2" t="s">
        <v>16</v>
      </c>
      <c r="B222" s="4">
        <v>46037</v>
      </c>
      <c r="C222" s="5">
        <v>0.58760416666666671</v>
      </c>
      <c r="D222" s="8" t="s">
        <v>1094</v>
      </c>
      <c r="E222" s="8" t="s">
        <v>4247</v>
      </c>
      <c r="F222" s="8" t="s">
        <v>60</v>
      </c>
      <c r="H222" s="8"/>
      <c r="I222" s="8" t="s">
        <v>9369</v>
      </c>
      <c r="J222" s="8" t="s">
        <v>2982</v>
      </c>
      <c r="K222" t="s">
        <v>9370</v>
      </c>
      <c r="L222" t="s">
        <v>9371</v>
      </c>
      <c r="M222" s="3" t="str">
        <f>HYPERLINK(склад2въезд1319[[#This Row],[RelativePath]])</f>
        <v>5 Крыльцо общага\K07156189_22_20260115T140609Z.jpg</v>
      </c>
    </row>
    <row r="223" spans="1:13" x14ac:dyDescent="0.25">
      <c r="A223" s="2" t="s">
        <v>16</v>
      </c>
      <c r="B223" s="4">
        <v>46037</v>
      </c>
      <c r="C223" s="5">
        <v>0.66956018518518523</v>
      </c>
      <c r="D223" s="8" t="s">
        <v>4</v>
      </c>
      <c r="E223" s="8" t="s">
        <v>8045</v>
      </c>
      <c r="F223" s="8"/>
      <c r="H223" s="8"/>
      <c r="I223" s="8" t="s">
        <v>9372</v>
      </c>
      <c r="J223" s="8" t="s">
        <v>2982</v>
      </c>
      <c r="K223" t="s">
        <v>9373</v>
      </c>
      <c r="L223" t="s">
        <v>9374</v>
      </c>
      <c r="M223" s="3" t="str">
        <f>HYPERLINK(склад2въезд1319[[#This Row],[RelativePath]])</f>
        <v>5 Крыльцо общага\K07156189_22_20260115T160410Z.jpg</v>
      </c>
    </row>
    <row r="224" spans="1:13" x14ac:dyDescent="0.25">
      <c r="A224" s="2" t="s">
        <v>16</v>
      </c>
      <c r="B224" s="4">
        <v>46037</v>
      </c>
      <c r="C224" s="5">
        <v>0.69589120370370372</v>
      </c>
      <c r="D224" s="8" t="s">
        <v>4</v>
      </c>
      <c r="E224" s="8" t="s">
        <v>8045</v>
      </c>
      <c r="F224" s="8"/>
      <c r="H224" s="8"/>
      <c r="I224" s="8" t="s">
        <v>9375</v>
      </c>
      <c r="J224" s="8" t="s">
        <v>2982</v>
      </c>
      <c r="K224" t="s">
        <v>9376</v>
      </c>
      <c r="L224" t="s">
        <v>9377</v>
      </c>
      <c r="M224" s="3" t="str">
        <f>HYPERLINK(склад2въезд1319[[#This Row],[RelativePath]])</f>
        <v>5 Крыльцо общага\K07156189_22_20260115T164205Z.jpg</v>
      </c>
    </row>
    <row r="225" spans="1:13" x14ac:dyDescent="0.25">
      <c r="A225" s="2" t="s">
        <v>17</v>
      </c>
      <c r="B225" s="4">
        <v>46038</v>
      </c>
      <c r="C225" s="5">
        <v>0.52035879629629633</v>
      </c>
      <c r="D225" s="8" t="s">
        <v>4</v>
      </c>
      <c r="E225" s="8" t="s">
        <v>8045</v>
      </c>
      <c r="F225" s="8"/>
      <c r="H225" s="8"/>
      <c r="I225" s="8" t="s">
        <v>9378</v>
      </c>
      <c r="J225" s="8" t="s">
        <v>2982</v>
      </c>
      <c r="K225" t="s">
        <v>9379</v>
      </c>
      <c r="L225" t="s">
        <v>9380</v>
      </c>
      <c r="M225" s="3" t="str">
        <f>HYPERLINK(склад2въезд1319[[#This Row],[RelativePath]])</f>
        <v>5 Крыльцо общага\K07156189_22_20260116T122919Z.jpg</v>
      </c>
    </row>
    <row r="226" spans="1:13" x14ac:dyDescent="0.25">
      <c r="A226" s="2" t="s">
        <v>17</v>
      </c>
      <c r="B226" s="4">
        <v>46038</v>
      </c>
      <c r="C226" s="5">
        <v>0.59358796296296301</v>
      </c>
      <c r="D226" s="8" t="s">
        <v>4</v>
      </c>
      <c r="E226" s="8" t="s">
        <v>8045</v>
      </c>
      <c r="F226" s="8"/>
      <c r="H226" s="8"/>
      <c r="I226" s="8" t="s">
        <v>9381</v>
      </c>
      <c r="J226" s="8" t="s">
        <v>2982</v>
      </c>
      <c r="K226" t="s">
        <v>9382</v>
      </c>
      <c r="L226" t="s">
        <v>9383</v>
      </c>
      <c r="M226" s="3" t="str">
        <f>HYPERLINK(склад2въезд1319[[#This Row],[RelativePath]])</f>
        <v>5 Крыльцо общага\K07156189_22_20260116T141446Z.jpg</v>
      </c>
    </row>
    <row r="227" spans="1:13" x14ac:dyDescent="0.25">
      <c r="A227" s="2" t="s">
        <v>17</v>
      </c>
      <c r="B227" s="4">
        <v>46038</v>
      </c>
      <c r="C227" s="5">
        <v>0.70381944444444444</v>
      </c>
      <c r="D227" s="8" t="s">
        <v>4</v>
      </c>
      <c r="E227" s="8" t="s">
        <v>8</v>
      </c>
      <c r="F227" s="8"/>
      <c r="H227" s="8"/>
      <c r="I227" s="8" t="s">
        <v>9384</v>
      </c>
      <c r="J227" s="8" t="s">
        <v>2982</v>
      </c>
      <c r="K227" t="s">
        <v>9385</v>
      </c>
      <c r="L227" t="s">
        <v>9386</v>
      </c>
      <c r="M227" s="3" t="str">
        <f>HYPERLINK(склад2въезд1319[[#This Row],[RelativePath]])</f>
        <v>5 Крыльцо общага\K07156189_22_20260116T165330Z.jpg</v>
      </c>
    </row>
    <row r="228" spans="1:13" x14ac:dyDescent="0.25">
      <c r="A228" s="2" t="s">
        <v>18</v>
      </c>
      <c r="B228" s="4">
        <v>46039</v>
      </c>
      <c r="C228" s="5">
        <v>0.71035879629629628</v>
      </c>
      <c r="D228" s="8" t="s">
        <v>4</v>
      </c>
      <c r="E228" s="8" t="s">
        <v>8045</v>
      </c>
      <c r="F228" s="8"/>
      <c r="H228" s="8"/>
      <c r="I228" s="8" t="s">
        <v>9639</v>
      </c>
      <c r="J228" s="8" t="s">
        <v>2982</v>
      </c>
      <c r="K228" t="s">
        <v>9640</v>
      </c>
      <c r="L228" t="s">
        <v>9641</v>
      </c>
      <c r="M228" s="3" t="str">
        <f>HYPERLINK(склад2въезд1319[[#This Row],[RelativePath]])</f>
        <v>5 Крыльцо общага\K07156189_22_20260117T170255Z.jpg</v>
      </c>
    </row>
    <row r="229" spans="1:13" x14ac:dyDescent="0.25">
      <c r="A229" s="2" t="s">
        <v>22</v>
      </c>
      <c r="B229" s="4">
        <v>46040</v>
      </c>
      <c r="C229" s="5">
        <v>0.56443287037037038</v>
      </c>
      <c r="D229" s="8" t="s">
        <v>4</v>
      </c>
      <c r="E229" s="8" t="s">
        <v>8045</v>
      </c>
      <c r="F229" s="8"/>
      <c r="H229" s="8"/>
      <c r="I229" s="8" t="s">
        <v>9642</v>
      </c>
      <c r="J229" s="8" t="s">
        <v>2982</v>
      </c>
      <c r="K229" t="s">
        <v>9643</v>
      </c>
      <c r="L229" t="s">
        <v>9644</v>
      </c>
      <c r="M229" s="3" t="str">
        <f>HYPERLINK(склад2въезд1319[[#This Row],[RelativePath]])</f>
        <v>5 Крыльцо общага\K07156189_22_20260118T133247Z.jpg</v>
      </c>
    </row>
    <row r="230" spans="1:13" x14ac:dyDescent="0.25">
      <c r="A230" s="2" t="s">
        <v>22</v>
      </c>
      <c r="B230" s="4">
        <v>46040</v>
      </c>
      <c r="C230" s="5">
        <v>0.70335648148148144</v>
      </c>
      <c r="D230" s="8" t="s">
        <v>4</v>
      </c>
      <c r="E230" s="8" t="s">
        <v>8045</v>
      </c>
      <c r="F230" s="8"/>
      <c r="H230" s="8"/>
      <c r="I230" s="8" t="s">
        <v>9645</v>
      </c>
      <c r="J230" s="8" t="s">
        <v>2982</v>
      </c>
      <c r="K230" t="s">
        <v>9646</v>
      </c>
      <c r="L230" t="s">
        <v>9647</v>
      </c>
      <c r="M230" s="3" t="str">
        <f>HYPERLINK(склад2въезд1319[[#This Row],[RelativePath]])</f>
        <v>5 Крыльцо общага\K07156189_22_20260118T165250Z.jpg</v>
      </c>
    </row>
    <row r="231" spans="1:13" x14ac:dyDescent="0.25">
      <c r="A231" s="2" t="s">
        <v>13</v>
      </c>
      <c r="B231" s="4">
        <v>46041</v>
      </c>
      <c r="C231" s="5">
        <v>0.44562499999999999</v>
      </c>
      <c r="D231" s="8" t="s">
        <v>4</v>
      </c>
      <c r="E231" s="8" t="s">
        <v>9876</v>
      </c>
      <c r="F231" s="8"/>
      <c r="H231" s="8"/>
      <c r="I231" s="8" t="s">
        <v>9693</v>
      </c>
      <c r="J231" s="8" t="s">
        <v>2982</v>
      </c>
      <c r="K231" t="s">
        <v>9694</v>
      </c>
      <c r="L231" t="s">
        <v>9695</v>
      </c>
      <c r="M231" s="3" t="str">
        <f>HYPERLINK(склад2въезд1319[[#This Row],[RelativePath]])</f>
        <v>5 Крыльцо общага\K07156189_22_20260119T104142Z.jpg</v>
      </c>
    </row>
    <row r="232" spans="1:13" x14ac:dyDescent="0.25">
      <c r="A232" s="2" t="s">
        <v>13</v>
      </c>
      <c r="B232" s="4">
        <v>46041</v>
      </c>
      <c r="C232" s="5">
        <v>0.50770833333333332</v>
      </c>
      <c r="D232" s="8" t="s">
        <v>4</v>
      </c>
      <c r="E232" s="8" t="s">
        <v>9876</v>
      </c>
      <c r="F232" s="8"/>
      <c r="H232" s="8"/>
      <c r="I232" s="8" t="s">
        <v>9696</v>
      </c>
      <c r="J232" s="8" t="s">
        <v>2982</v>
      </c>
      <c r="K232" t="s">
        <v>9697</v>
      </c>
      <c r="L232" t="s">
        <v>9698</v>
      </c>
      <c r="M232" s="3" t="str">
        <f>HYPERLINK(склад2въезд1319[[#This Row],[RelativePath]])</f>
        <v>5 Крыльцо общага\K07156189_22_20260119T121106Z.jpg</v>
      </c>
    </row>
    <row r="233" spans="1:13" x14ac:dyDescent="0.25">
      <c r="A233" s="2" t="s">
        <v>13</v>
      </c>
      <c r="B233" s="4">
        <v>46041</v>
      </c>
      <c r="C233" s="5">
        <v>0.69420138888888894</v>
      </c>
      <c r="D233" s="8" t="s">
        <v>4</v>
      </c>
      <c r="E233" s="8" t="s">
        <v>9876</v>
      </c>
      <c r="F233" s="8"/>
      <c r="H233" s="8"/>
      <c r="I233" s="8" t="s">
        <v>9699</v>
      </c>
      <c r="J233" s="8" t="s">
        <v>2982</v>
      </c>
      <c r="K233" t="s">
        <v>9700</v>
      </c>
      <c r="L233" t="s">
        <v>9701</v>
      </c>
      <c r="M233" s="3" t="str">
        <f>HYPERLINK(склад2въезд1319[[#This Row],[RelativePath]])</f>
        <v>5 Крыльцо общага\K07156189_22_20260119T163939Z.jpg</v>
      </c>
    </row>
    <row r="234" spans="1:13" x14ac:dyDescent="0.25">
      <c r="A234" s="2" t="s">
        <v>14</v>
      </c>
      <c r="B234" s="4">
        <v>46042</v>
      </c>
      <c r="C234" s="5">
        <v>0.49988425925925928</v>
      </c>
      <c r="D234" s="8" t="s">
        <v>4</v>
      </c>
      <c r="E234" s="8" t="s">
        <v>9876</v>
      </c>
      <c r="F234" s="8"/>
      <c r="H234" s="8"/>
      <c r="I234" s="8" t="s">
        <v>9702</v>
      </c>
      <c r="J234" s="8" t="s">
        <v>2982</v>
      </c>
      <c r="K234" t="s">
        <v>9703</v>
      </c>
      <c r="L234" t="s">
        <v>9704</v>
      </c>
      <c r="M234" s="3" t="str">
        <f>HYPERLINK(склад2въезд1319[[#This Row],[RelativePath]])</f>
        <v>5 Крыльцо общага\K07156189_22_20260120T115950Z.jpg</v>
      </c>
    </row>
    <row r="235" spans="1:13" x14ac:dyDescent="0.25">
      <c r="A235" s="2" t="s">
        <v>14</v>
      </c>
      <c r="B235" s="4">
        <v>46042</v>
      </c>
      <c r="C235" s="5">
        <v>0.62523148148148144</v>
      </c>
      <c r="D235" s="8" t="s">
        <v>4</v>
      </c>
      <c r="E235" s="8" t="s">
        <v>9876</v>
      </c>
      <c r="F235" s="8"/>
      <c r="H235" s="8"/>
      <c r="I235" s="8" t="s">
        <v>9705</v>
      </c>
      <c r="J235" s="8" t="s">
        <v>2982</v>
      </c>
      <c r="K235" t="s">
        <v>9706</v>
      </c>
      <c r="L235" t="s">
        <v>9707</v>
      </c>
      <c r="M235" s="3" t="str">
        <f>HYPERLINK(склад2въезд1319[[#This Row],[RelativePath]])</f>
        <v>5 Крыльцо общага\K07156189_22_20260120T150020Z.jpg</v>
      </c>
    </row>
    <row r="236" spans="1:13" x14ac:dyDescent="0.25">
      <c r="A236" s="2" t="s">
        <v>15</v>
      </c>
      <c r="B236" s="4">
        <v>46043</v>
      </c>
      <c r="C236" s="5">
        <v>0.37590277777777775</v>
      </c>
      <c r="D236" s="8" t="s">
        <v>4</v>
      </c>
      <c r="E236" s="8" t="s">
        <v>9876</v>
      </c>
      <c r="F236" s="8"/>
      <c r="H236" s="8"/>
      <c r="I236" s="8" t="s">
        <v>9936</v>
      </c>
      <c r="J236" s="8" t="s">
        <v>2982</v>
      </c>
      <c r="K236" t="s">
        <v>9937</v>
      </c>
      <c r="L236" t="s">
        <v>9938</v>
      </c>
      <c r="M236" s="3" t="str">
        <f>HYPERLINK(склад2въезд1319[[#This Row],[RelativePath]])</f>
        <v>5 Крыльцо общага\K07156189_22_20260121T090118Z.jpg</v>
      </c>
    </row>
    <row r="237" spans="1:13" x14ac:dyDescent="0.25">
      <c r="A237" s="2" t="s">
        <v>15</v>
      </c>
      <c r="B237" s="4">
        <v>46043</v>
      </c>
      <c r="C237" s="5">
        <v>0.6726388888888889</v>
      </c>
      <c r="D237" s="8" t="s">
        <v>4</v>
      </c>
      <c r="E237" s="8" t="s">
        <v>9876</v>
      </c>
      <c r="F237" s="8"/>
      <c r="H237" s="8"/>
      <c r="I237" s="8" t="s">
        <v>9939</v>
      </c>
      <c r="J237" s="8" t="s">
        <v>2982</v>
      </c>
      <c r="K237" t="s">
        <v>9940</v>
      </c>
      <c r="L237" t="s">
        <v>9941</v>
      </c>
      <c r="M237" s="3" t="str">
        <f>HYPERLINK(склад2въезд1319[[#This Row],[RelativePath]])</f>
        <v>5 Крыльцо общага\K07156189_22_20260121T160836Z.jpg</v>
      </c>
    </row>
    <row r="238" spans="1:13" x14ac:dyDescent="0.25">
      <c r="A238" s="2" t="s">
        <v>16</v>
      </c>
      <c r="B238" s="4">
        <v>46044</v>
      </c>
      <c r="C238" s="5">
        <v>0.4626851851851852</v>
      </c>
      <c r="D238" s="8" t="s">
        <v>4</v>
      </c>
      <c r="E238" s="8" t="s">
        <v>9876</v>
      </c>
      <c r="F238" s="8"/>
      <c r="H238" s="8"/>
      <c r="I238" s="8" t="s">
        <v>9942</v>
      </c>
      <c r="J238" s="8" t="s">
        <v>2982</v>
      </c>
      <c r="K238" t="s">
        <v>9943</v>
      </c>
      <c r="L238" t="s">
        <v>9944</v>
      </c>
      <c r="M238" s="3" t="str">
        <f>HYPERLINK(склад2въезд1319[[#This Row],[RelativePath]])</f>
        <v>5 Крыльцо общага\K07156189_22_20260122T110616Z.jpg</v>
      </c>
    </row>
    <row r="239" spans="1:13" x14ac:dyDescent="0.25">
      <c r="A239" s="2" t="s">
        <v>16</v>
      </c>
      <c r="B239" s="4">
        <v>46044</v>
      </c>
      <c r="C239" s="5">
        <v>0.50471064814814814</v>
      </c>
      <c r="D239" s="8" t="s">
        <v>4</v>
      </c>
      <c r="E239" s="8" t="s">
        <v>9876</v>
      </c>
      <c r="F239" s="8"/>
      <c r="H239" s="8"/>
      <c r="I239" s="8" t="s">
        <v>9945</v>
      </c>
      <c r="J239" s="8" t="s">
        <v>2982</v>
      </c>
      <c r="K239" t="s">
        <v>9946</v>
      </c>
      <c r="L239" t="s">
        <v>9947</v>
      </c>
      <c r="M239" s="3" t="str">
        <f>HYPERLINK(склад2въезд1319[[#This Row],[RelativePath]])</f>
        <v>5 Крыльцо общага\K07156189_22_20260122T120647Z.jpg</v>
      </c>
    </row>
    <row r="240" spans="1:13" x14ac:dyDescent="0.25">
      <c r="A240" s="2" t="s">
        <v>16</v>
      </c>
      <c r="B240" s="4">
        <v>46044</v>
      </c>
      <c r="C240" s="5">
        <v>0.71368055555555554</v>
      </c>
      <c r="D240" s="8" t="s">
        <v>4</v>
      </c>
      <c r="E240" s="8" t="s">
        <v>8</v>
      </c>
      <c r="F240" s="8"/>
      <c r="H240" s="8"/>
      <c r="I240" s="8" t="s">
        <v>9948</v>
      </c>
      <c r="J240" s="8" t="s">
        <v>2982</v>
      </c>
      <c r="K240" t="s">
        <v>9949</v>
      </c>
      <c r="L240" t="s">
        <v>9950</v>
      </c>
      <c r="M240" s="3" t="str">
        <f>HYPERLINK(склад2въезд1319[[#This Row],[RelativePath]])</f>
        <v>5 Крыльцо общага\K07156189_22_20260122T170742Z.jpg</v>
      </c>
    </row>
    <row r="241" spans="1:13" x14ac:dyDescent="0.25">
      <c r="A241" s="2" t="s">
        <v>16</v>
      </c>
      <c r="B241" s="4">
        <v>46044</v>
      </c>
      <c r="C241" s="5">
        <v>0.97</v>
      </c>
      <c r="D241" s="8" t="s">
        <v>290</v>
      </c>
      <c r="E241" s="8" t="s">
        <v>86</v>
      </c>
      <c r="F241" s="8" t="s">
        <v>60</v>
      </c>
      <c r="G241">
        <v>2</v>
      </c>
      <c r="H241" s="8" t="s">
        <v>10210</v>
      </c>
      <c r="I241" s="8" t="s">
        <v>10180</v>
      </c>
      <c r="J241" s="8" t="s">
        <v>2982</v>
      </c>
      <c r="K241" t="s">
        <v>10181</v>
      </c>
      <c r="L241" t="s">
        <v>10182</v>
      </c>
      <c r="M241" s="3" t="str">
        <f>HYPERLINK(склад2въезд1319[[#This Row],[RelativePath]])</f>
        <v>5 Крыльцо общага\K07156189_22_20260122T231648Z.jpg</v>
      </c>
    </row>
    <row r="242" spans="1:13" x14ac:dyDescent="0.25">
      <c r="A242" s="2" t="s">
        <v>16</v>
      </c>
      <c r="B242" s="4">
        <v>46044</v>
      </c>
      <c r="C242" s="5">
        <v>0.971099537037037</v>
      </c>
      <c r="D242" s="8" t="s">
        <v>290</v>
      </c>
      <c r="E242" s="8" t="s">
        <v>86</v>
      </c>
      <c r="F242" s="8" t="s">
        <v>60</v>
      </c>
      <c r="G242">
        <v>4</v>
      </c>
      <c r="H242" s="8"/>
      <c r="I242" s="8" t="s">
        <v>10183</v>
      </c>
      <c r="J242" s="8" t="s">
        <v>2982</v>
      </c>
      <c r="K242" t="s">
        <v>10184</v>
      </c>
      <c r="L242" t="s">
        <v>10185</v>
      </c>
      <c r="M242" s="3" t="str">
        <f>HYPERLINK(склад2въезд1319[[#This Row],[RelativePath]])</f>
        <v>5 Крыльцо общага\K07156189_22_20260122T231823Z.jpg</v>
      </c>
    </row>
    <row r="243" spans="1:13" x14ac:dyDescent="0.25">
      <c r="A243" s="2" t="s">
        <v>16</v>
      </c>
      <c r="B243" s="4">
        <v>46044</v>
      </c>
      <c r="C243" s="5">
        <v>0.97232638888888889</v>
      </c>
      <c r="D243" s="8" t="s">
        <v>290</v>
      </c>
      <c r="E243" s="8" t="s">
        <v>86</v>
      </c>
      <c r="F243" s="8" t="s">
        <v>60</v>
      </c>
      <c r="G243">
        <v>3</v>
      </c>
      <c r="H243" s="8"/>
      <c r="I243" s="8" t="s">
        <v>10189</v>
      </c>
      <c r="J243" s="8" t="s">
        <v>2982</v>
      </c>
      <c r="K243" t="s">
        <v>10190</v>
      </c>
      <c r="L243" t="s">
        <v>10191</v>
      </c>
      <c r="M243" s="3" t="str">
        <f>HYPERLINK(склад2въезд1319[[#This Row],[RelativePath]])</f>
        <v>5 Крыльцо общага\K07156189_22_20260122T232009Z.jpg</v>
      </c>
    </row>
    <row r="244" spans="1:13" x14ac:dyDescent="0.25">
      <c r="A244" s="2" t="s">
        <v>16</v>
      </c>
      <c r="B244" s="4">
        <v>46044</v>
      </c>
      <c r="C244" s="5">
        <v>0.97355324074074079</v>
      </c>
      <c r="D244" s="8" t="s">
        <v>290</v>
      </c>
      <c r="E244" s="8" t="s">
        <v>86</v>
      </c>
      <c r="F244" s="8" t="s">
        <v>60</v>
      </c>
      <c r="G244">
        <v>4</v>
      </c>
      <c r="H244" s="8"/>
      <c r="I244" s="8" t="s">
        <v>10192</v>
      </c>
      <c r="J244" s="8" t="s">
        <v>2982</v>
      </c>
      <c r="K244" t="s">
        <v>10193</v>
      </c>
      <c r="L244" t="s">
        <v>10194</v>
      </c>
      <c r="M244" s="3" t="str">
        <f>HYPERLINK(склад2въезд1319[[#This Row],[RelativePath]])</f>
        <v>5 Крыльцо общага\K07156189_22_20260122T232155Z.jpg</v>
      </c>
    </row>
    <row r="245" spans="1:13" x14ac:dyDescent="0.25">
      <c r="A245" s="2" t="s">
        <v>16</v>
      </c>
      <c r="B245" s="4">
        <v>46044</v>
      </c>
      <c r="C245" s="5">
        <v>0.97495370370370371</v>
      </c>
      <c r="D245" s="8" t="s">
        <v>290</v>
      </c>
      <c r="E245" s="8" t="s">
        <v>86</v>
      </c>
      <c r="F245" s="8" t="s">
        <v>60</v>
      </c>
      <c r="G245">
        <v>3</v>
      </c>
      <c r="H245" s="8"/>
      <c r="I245" s="8" t="s">
        <v>10195</v>
      </c>
      <c r="J245" s="8" t="s">
        <v>2982</v>
      </c>
      <c r="K245" t="s">
        <v>10196</v>
      </c>
      <c r="L245" t="s">
        <v>10197</v>
      </c>
      <c r="M245" s="3" t="str">
        <f>HYPERLINK(склад2въезд1319[[#This Row],[RelativePath]])</f>
        <v>5 Крыльцо общага\K07156189_22_20260122T232356Z.jpg</v>
      </c>
    </row>
    <row r="246" spans="1:13" x14ac:dyDescent="0.25">
      <c r="A246" s="2" t="s">
        <v>16</v>
      </c>
      <c r="B246" s="4">
        <v>46044</v>
      </c>
      <c r="C246" s="5">
        <v>0.97534722222222225</v>
      </c>
      <c r="D246" s="8" t="s">
        <v>290</v>
      </c>
      <c r="E246" s="8" t="s">
        <v>86</v>
      </c>
      <c r="F246" s="8" t="s">
        <v>60</v>
      </c>
      <c r="H246" s="8" t="s">
        <v>2936</v>
      </c>
      <c r="I246" s="8" t="s">
        <v>10198</v>
      </c>
      <c r="J246" s="8" t="s">
        <v>2982</v>
      </c>
      <c r="K246" t="s">
        <v>10199</v>
      </c>
      <c r="L246" t="s">
        <v>10200</v>
      </c>
      <c r="M246" s="3" t="str">
        <f>HYPERLINK(склад2въезд1319[[#This Row],[RelativePath]])</f>
        <v>5 Крыльцо общага\K07156189_22_20260122T232430Z.jpg</v>
      </c>
    </row>
    <row r="247" spans="1:13" x14ac:dyDescent="0.25">
      <c r="A247" s="2" t="s">
        <v>16</v>
      </c>
      <c r="B247" s="4">
        <v>46044</v>
      </c>
      <c r="C247" s="5">
        <v>0.97916666666666663</v>
      </c>
      <c r="D247" s="8" t="s">
        <v>290</v>
      </c>
      <c r="E247" s="8" t="s">
        <v>86</v>
      </c>
      <c r="F247" s="8" t="s">
        <v>60</v>
      </c>
      <c r="G247">
        <v>3</v>
      </c>
      <c r="H247" s="8"/>
      <c r="I247" s="8" t="s">
        <v>10204</v>
      </c>
      <c r="J247" s="8" t="s">
        <v>2982</v>
      </c>
      <c r="K247" t="s">
        <v>10205</v>
      </c>
      <c r="L247" t="s">
        <v>10206</v>
      </c>
      <c r="M247" s="3" t="str">
        <f>HYPERLINK(склад2въезд1319[[#This Row],[RelativePath]])</f>
        <v>5 Крыльцо общага\K07156189_22_20260122T233000Z.jpg</v>
      </c>
    </row>
    <row r="248" spans="1:13" x14ac:dyDescent="0.25">
      <c r="A248" s="2" t="s">
        <v>16</v>
      </c>
      <c r="B248" s="4">
        <v>46044</v>
      </c>
      <c r="C248" s="5">
        <v>0.97717592592592595</v>
      </c>
      <c r="D248" s="8" t="s">
        <v>290</v>
      </c>
      <c r="E248" s="8" t="s">
        <v>86</v>
      </c>
      <c r="F248" s="8" t="s">
        <v>60</v>
      </c>
      <c r="G248">
        <v>1</v>
      </c>
      <c r="H248" s="8"/>
      <c r="I248" s="8" t="s">
        <v>10201</v>
      </c>
      <c r="J248" s="8" t="s">
        <v>2982</v>
      </c>
      <c r="K248" t="s">
        <v>10202</v>
      </c>
      <c r="L248" t="s">
        <v>10203</v>
      </c>
      <c r="M248" s="3" t="str">
        <f>HYPERLINK(склад2въезд1319[[#This Row],[RelativePath]])</f>
        <v>5 Крыльцо общага\K07156189_22_20260122T232708Z.jpg</v>
      </c>
    </row>
    <row r="249" spans="1:13" x14ac:dyDescent="0.25">
      <c r="A249" s="2" t="s">
        <v>16</v>
      </c>
      <c r="B249" s="4">
        <v>46044</v>
      </c>
      <c r="C249" s="5">
        <v>0.9808217592592593</v>
      </c>
      <c r="D249" s="8" t="s">
        <v>290</v>
      </c>
      <c r="E249" s="8" t="s">
        <v>86</v>
      </c>
      <c r="F249" s="8" t="s">
        <v>60</v>
      </c>
      <c r="G249">
        <v>3</v>
      </c>
      <c r="H249" s="8"/>
      <c r="I249" s="8" t="s">
        <v>10207</v>
      </c>
      <c r="J249" s="8" t="s">
        <v>2982</v>
      </c>
      <c r="K249" t="s">
        <v>10208</v>
      </c>
      <c r="L249" t="s">
        <v>10209</v>
      </c>
      <c r="M249" s="3" t="str">
        <f>HYPERLINK(склад2въезд1319[[#This Row],[RelativePath]])</f>
        <v>5 Крыльцо общага\K07156189_22_20260122T233223Z.jpg</v>
      </c>
    </row>
    <row r="250" spans="1:13" x14ac:dyDescent="0.25">
      <c r="A250" s="2" t="s">
        <v>16</v>
      </c>
      <c r="B250" s="4">
        <v>46044</v>
      </c>
      <c r="C250" s="5">
        <v>0.98320601851851852</v>
      </c>
      <c r="D250" s="8" t="s">
        <v>290</v>
      </c>
      <c r="E250" s="8" t="s">
        <v>86</v>
      </c>
      <c r="F250" s="8" t="s">
        <v>60</v>
      </c>
      <c r="G250">
        <v>2</v>
      </c>
      <c r="H250" s="8"/>
      <c r="I250" s="8" t="s">
        <v>10211</v>
      </c>
      <c r="J250" s="8" t="s">
        <v>2982</v>
      </c>
      <c r="K250" t="s">
        <v>10212</v>
      </c>
      <c r="L250" t="s">
        <v>10213</v>
      </c>
      <c r="M250" s="3" t="str">
        <f>HYPERLINK(склад2въезд1319[[#This Row],[RelativePath]])</f>
        <v>5 Крыльцо общага\K07156189_22_20260122T233549Z.jpg</v>
      </c>
    </row>
    <row r="251" spans="1:13" x14ac:dyDescent="0.25">
      <c r="A251" s="2" t="s">
        <v>16</v>
      </c>
      <c r="B251" s="4">
        <v>46044</v>
      </c>
      <c r="C251" s="5">
        <v>0.98479166666666662</v>
      </c>
      <c r="D251" s="8" t="s">
        <v>290</v>
      </c>
      <c r="E251" s="8" t="s">
        <v>86</v>
      </c>
      <c r="F251" s="8" t="s">
        <v>60</v>
      </c>
      <c r="G251">
        <v>3</v>
      </c>
      <c r="H251" s="8"/>
      <c r="I251" s="8" t="s">
        <v>10214</v>
      </c>
      <c r="J251" s="8" t="s">
        <v>2982</v>
      </c>
      <c r="K251" t="s">
        <v>10215</v>
      </c>
      <c r="L251" t="s">
        <v>10216</v>
      </c>
      <c r="M251" s="3" t="str">
        <f>HYPERLINK(склад2въезд1319[[#This Row],[RelativePath]])</f>
        <v>5 Крыльцо общага\K07156189_22_20260122T233806Z.jpg</v>
      </c>
    </row>
    <row r="252" spans="1:13" x14ac:dyDescent="0.25">
      <c r="A252" s="2" t="s">
        <v>16</v>
      </c>
      <c r="B252" s="4">
        <v>46044</v>
      </c>
      <c r="C252" s="5">
        <v>0.98523148148148143</v>
      </c>
      <c r="D252" s="8" t="s">
        <v>290</v>
      </c>
      <c r="E252" s="8" t="s">
        <v>86</v>
      </c>
      <c r="F252" s="8" t="s">
        <v>60</v>
      </c>
      <c r="H252" s="8" t="s">
        <v>2936</v>
      </c>
      <c r="I252" s="8" t="s">
        <v>10217</v>
      </c>
      <c r="J252" s="8" t="s">
        <v>2982</v>
      </c>
      <c r="K252" t="s">
        <v>10218</v>
      </c>
      <c r="L252" t="s">
        <v>10219</v>
      </c>
      <c r="M252" s="3" t="str">
        <f>HYPERLINK(склад2въезд1319[[#This Row],[RelativePath]])</f>
        <v>5 Крыльцо общага\K07156189_22_20260122T233844Z.jpg</v>
      </c>
    </row>
    <row r="253" spans="1:13" x14ac:dyDescent="0.25">
      <c r="A253" s="2" t="s">
        <v>16</v>
      </c>
      <c r="B253" s="4">
        <v>46044</v>
      </c>
      <c r="C253" s="5">
        <v>0.98657407407407405</v>
      </c>
      <c r="D253" s="8" t="s">
        <v>290</v>
      </c>
      <c r="E253" s="8" t="s">
        <v>86</v>
      </c>
      <c r="F253" s="8" t="s">
        <v>60</v>
      </c>
      <c r="G253">
        <v>2</v>
      </c>
      <c r="H253" s="8"/>
      <c r="I253" s="8" t="s">
        <v>10220</v>
      </c>
      <c r="J253" s="8" t="s">
        <v>2982</v>
      </c>
      <c r="K253" t="s">
        <v>10221</v>
      </c>
      <c r="L253" t="s">
        <v>10222</v>
      </c>
      <c r="M253" s="3" t="str">
        <f>HYPERLINK(склад2въезд1319[[#This Row],[RelativePath]])</f>
        <v>5 Крыльцо общага\K07156189_22_20260122T234040Z.jpg</v>
      </c>
    </row>
    <row r="254" spans="1:13" x14ac:dyDescent="0.25">
      <c r="A254" s="2" t="s">
        <v>16</v>
      </c>
      <c r="B254" s="4">
        <v>46044</v>
      </c>
      <c r="C254" s="5">
        <v>0.98972222222222217</v>
      </c>
      <c r="D254" s="8" t="s">
        <v>290</v>
      </c>
      <c r="E254" s="8" t="s">
        <v>86</v>
      </c>
      <c r="F254" s="8" t="s">
        <v>60</v>
      </c>
      <c r="G254">
        <v>4</v>
      </c>
      <c r="H254" s="8"/>
      <c r="I254" s="8" t="s">
        <v>10223</v>
      </c>
      <c r="J254" s="8" t="s">
        <v>2982</v>
      </c>
      <c r="K254" t="s">
        <v>10224</v>
      </c>
      <c r="L254" t="s">
        <v>10225</v>
      </c>
      <c r="M254" s="3" t="str">
        <f>HYPERLINK(склад2въезд1319[[#This Row],[RelativePath]])</f>
        <v>5 Крыльцо общага\K07156189_22_20260122T234512Z.jpg</v>
      </c>
    </row>
    <row r="255" spans="1:13" x14ac:dyDescent="0.25">
      <c r="A255" s="2" t="s">
        <v>16</v>
      </c>
      <c r="B255" s="4">
        <v>46044</v>
      </c>
      <c r="C255" s="5">
        <v>0.99143518518518514</v>
      </c>
      <c r="D255" s="8" t="s">
        <v>290</v>
      </c>
      <c r="E255" s="8" t="s">
        <v>86</v>
      </c>
      <c r="F255" s="8" t="s">
        <v>60</v>
      </c>
      <c r="G255">
        <v>1</v>
      </c>
      <c r="H255" s="8"/>
      <c r="I255" s="8" t="s">
        <v>10226</v>
      </c>
      <c r="J255" s="8" t="s">
        <v>2982</v>
      </c>
      <c r="K255" t="s">
        <v>10227</v>
      </c>
      <c r="L255" t="s">
        <v>10228</v>
      </c>
      <c r="M255" s="3" t="str">
        <f>HYPERLINK(склад2въезд1319[[#This Row],[RelativePath]])</f>
        <v>5 Крыльцо общага\K07156189_22_20260122T234740Z.jpg</v>
      </c>
    </row>
    <row r="256" spans="1:13" x14ac:dyDescent="0.25">
      <c r="A256" s="2" t="s">
        <v>16</v>
      </c>
      <c r="B256" s="4">
        <v>46044</v>
      </c>
      <c r="C256" s="5">
        <v>0.99332175925925925</v>
      </c>
      <c r="D256" s="8" t="s">
        <v>290</v>
      </c>
      <c r="E256" s="8" t="s">
        <v>86</v>
      </c>
      <c r="F256" s="8" t="s">
        <v>60</v>
      </c>
      <c r="G256">
        <v>3</v>
      </c>
      <c r="H256" s="8"/>
      <c r="I256" s="8" t="s">
        <v>10229</v>
      </c>
      <c r="J256" s="8" t="s">
        <v>2982</v>
      </c>
      <c r="K256" t="s">
        <v>10230</v>
      </c>
      <c r="L256" t="s">
        <v>10231</v>
      </c>
      <c r="M256" s="3" t="str">
        <f>HYPERLINK(склад2въезд1319[[#This Row],[RelativePath]])</f>
        <v>5 Крыльцо общага\K07156189_22_20260122T235023Z.jpg</v>
      </c>
    </row>
    <row r="257" spans="1:13" x14ac:dyDescent="0.25">
      <c r="A257" s="2" t="s">
        <v>16</v>
      </c>
      <c r="B257" s="4">
        <v>46044</v>
      </c>
      <c r="C257" s="5">
        <v>0.99512731481481487</v>
      </c>
      <c r="D257" s="8" t="s">
        <v>290</v>
      </c>
      <c r="E257" s="8" t="s">
        <v>86</v>
      </c>
      <c r="F257" s="8" t="s">
        <v>60</v>
      </c>
      <c r="G257">
        <v>3</v>
      </c>
      <c r="H257" s="8"/>
      <c r="I257" s="8" t="s">
        <v>10232</v>
      </c>
      <c r="J257" s="8" t="s">
        <v>2982</v>
      </c>
      <c r="K257" t="s">
        <v>10233</v>
      </c>
      <c r="L257" t="s">
        <v>10234</v>
      </c>
      <c r="M257" s="3" t="str">
        <f>HYPERLINK(склад2въезд1319[[#This Row],[RelativePath]])</f>
        <v>5 Крыльцо общага\K07156189_22_20260122T235259Z.jpg</v>
      </c>
    </row>
    <row r="258" spans="1:13" x14ac:dyDescent="0.25">
      <c r="A258" s="2" t="s">
        <v>16</v>
      </c>
      <c r="B258" s="4">
        <v>46044</v>
      </c>
      <c r="C258" s="5">
        <v>0.99630787037037039</v>
      </c>
      <c r="D258" s="8" t="s">
        <v>290</v>
      </c>
      <c r="E258" s="8" t="s">
        <v>86</v>
      </c>
      <c r="F258" s="8" t="s">
        <v>60</v>
      </c>
      <c r="G258">
        <v>2</v>
      </c>
      <c r="H258" s="8"/>
      <c r="I258" s="8" t="s">
        <v>10235</v>
      </c>
      <c r="J258" s="8" t="s">
        <v>2982</v>
      </c>
      <c r="K258" t="s">
        <v>10236</v>
      </c>
      <c r="L258" t="s">
        <v>10237</v>
      </c>
      <c r="M258" s="3" t="str">
        <f>HYPERLINK(склад2въезд1319[[#This Row],[RelativePath]])</f>
        <v>5 Крыльцо общага\K07156189_22_20260122T235441Z.jpg</v>
      </c>
    </row>
    <row r="259" spans="1:13" x14ac:dyDescent="0.25">
      <c r="A259" s="2" t="s">
        <v>16</v>
      </c>
      <c r="B259" s="4">
        <v>46044</v>
      </c>
      <c r="C259" s="5">
        <v>0.9975694444444444</v>
      </c>
      <c r="D259" s="8" t="s">
        <v>290</v>
      </c>
      <c r="E259" s="8" t="s">
        <v>86</v>
      </c>
      <c r="F259" s="8" t="s">
        <v>60</v>
      </c>
      <c r="G259">
        <v>2</v>
      </c>
      <c r="H259" s="8"/>
      <c r="I259" s="8" t="s">
        <v>10238</v>
      </c>
      <c r="J259" s="8" t="s">
        <v>2982</v>
      </c>
      <c r="K259" t="s">
        <v>10239</v>
      </c>
      <c r="L259" t="s">
        <v>10240</v>
      </c>
      <c r="M259" s="3" t="str">
        <f>HYPERLINK(склад2въезд1319[[#This Row],[RelativePath]])</f>
        <v>5 Крыльцо общага\K07156189_22_20260122T235630Z.jpg</v>
      </c>
    </row>
    <row r="260" spans="1:13" x14ac:dyDescent="0.25">
      <c r="A260" s="2" t="s">
        <v>16</v>
      </c>
      <c r="B260" s="4">
        <v>46044</v>
      </c>
      <c r="C260" s="5">
        <v>0.99890046296296298</v>
      </c>
      <c r="D260" s="8" t="s">
        <v>290</v>
      </c>
      <c r="E260" s="8" t="s">
        <v>86</v>
      </c>
      <c r="F260" s="8" t="s">
        <v>60</v>
      </c>
      <c r="G260">
        <v>3</v>
      </c>
      <c r="H260" s="8"/>
      <c r="I260" s="8" t="s">
        <v>10241</v>
      </c>
      <c r="J260" s="8" t="s">
        <v>2982</v>
      </c>
      <c r="K260" t="s">
        <v>10242</v>
      </c>
      <c r="L260" t="s">
        <v>10243</v>
      </c>
      <c r="M260" s="3" t="str">
        <f>HYPERLINK(склад2въезд1319[[#This Row],[RelativePath]])</f>
        <v>5 Крыльцо общага\K07156189_22_20260122T235825Z.jpg</v>
      </c>
    </row>
    <row r="261" spans="1:13" x14ac:dyDescent="0.25">
      <c r="A261" s="2" t="s">
        <v>17</v>
      </c>
      <c r="B261" s="4">
        <v>46045</v>
      </c>
      <c r="C261" s="5">
        <v>6.9444444444444447E-4</v>
      </c>
      <c r="D261" s="8" t="s">
        <v>290</v>
      </c>
      <c r="E261" s="8" t="s">
        <v>86</v>
      </c>
      <c r="F261" s="8" t="s">
        <v>60</v>
      </c>
      <c r="G261">
        <v>2</v>
      </c>
      <c r="H261" s="8"/>
      <c r="I261" s="8" t="s">
        <v>10244</v>
      </c>
      <c r="J261" s="8" t="s">
        <v>2982</v>
      </c>
      <c r="K261" t="s">
        <v>10245</v>
      </c>
      <c r="L261" t="s">
        <v>10246</v>
      </c>
      <c r="M261" s="3" t="str">
        <f>HYPERLINK(склад2въезд1319[[#This Row],[RelativePath]])</f>
        <v>5 Крыльцо общага\K07156189_22_20260123T000100Z.jpg</v>
      </c>
    </row>
    <row r="262" spans="1:13" x14ac:dyDescent="0.25">
      <c r="A262" s="2" t="s">
        <v>17</v>
      </c>
      <c r="B262" s="4">
        <v>46045</v>
      </c>
      <c r="C262" s="5">
        <v>2.0601851851851853E-3</v>
      </c>
      <c r="D262" s="8" t="s">
        <v>290</v>
      </c>
      <c r="E262" s="8" t="s">
        <v>86</v>
      </c>
      <c r="F262" s="8" t="s">
        <v>60</v>
      </c>
      <c r="G262">
        <v>2</v>
      </c>
      <c r="H262" s="8"/>
      <c r="I262" s="8" t="s">
        <v>10247</v>
      </c>
      <c r="J262" s="8" t="s">
        <v>2982</v>
      </c>
      <c r="K262" t="s">
        <v>10248</v>
      </c>
      <c r="L262" t="s">
        <v>10249</v>
      </c>
      <c r="M262" s="3" t="str">
        <f>HYPERLINK(склад2въезд1319[[#This Row],[RelativePath]])</f>
        <v>5 Крыльцо общага\K07156189_22_20260123T000258Z.jpg</v>
      </c>
    </row>
    <row r="263" spans="1:13" x14ac:dyDescent="0.25">
      <c r="A263" s="2" t="s">
        <v>17</v>
      </c>
      <c r="B263" s="4">
        <v>46045</v>
      </c>
      <c r="C263" s="5">
        <v>3.5648148148148149E-3</v>
      </c>
      <c r="D263" s="8" t="s">
        <v>290</v>
      </c>
      <c r="E263" s="8" t="s">
        <v>86</v>
      </c>
      <c r="F263" s="8" t="s">
        <v>60</v>
      </c>
      <c r="G263">
        <v>3</v>
      </c>
      <c r="H263" s="8"/>
      <c r="I263" s="8" t="s">
        <v>10250</v>
      </c>
      <c r="J263" s="8" t="s">
        <v>2982</v>
      </c>
      <c r="K263" t="s">
        <v>10251</v>
      </c>
      <c r="L263" t="s">
        <v>10252</v>
      </c>
      <c r="M263" s="3" t="str">
        <f>HYPERLINK(склад2въезд1319[[#This Row],[RelativePath]])</f>
        <v>5 Крыльцо общага\K07156189_22_20260123T000508Z.jpg</v>
      </c>
    </row>
    <row r="264" spans="1:13" x14ac:dyDescent="0.25">
      <c r="A264" s="2" t="s">
        <v>17</v>
      </c>
      <c r="B264" s="4">
        <v>46045</v>
      </c>
      <c r="C264" s="5">
        <v>3.9699074074074072E-3</v>
      </c>
      <c r="D264" s="8" t="s">
        <v>290</v>
      </c>
      <c r="E264" s="8" t="s">
        <v>86</v>
      </c>
      <c r="F264" s="8" t="s">
        <v>60</v>
      </c>
      <c r="H264" s="8" t="s">
        <v>2936</v>
      </c>
      <c r="I264" s="8" t="s">
        <v>10253</v>
      </c>
      <c r="J264" s="8" t="s">
        <v>2982</v>
      </c>
      <c r="K264" t="s">
        <v>10254</v>
      </c>
      <c r="L264" t="s">
        <v>10255</v>
      </c>
      <c r="M264" s="3" t="str">
        <f>HYPERLINK(склад2въезд1319[[#This Row],[RelativePath]])</f>
        <v>5 Крыльцо общага\K07156189_22_20260123T000543Z.jpg</v>
      </c>
    </row>
    <row r="265" spans="1:13" x14ac:dyDescent="0.25">
      <c r="A265" s="2" t="s">
        <v>17</v>
      </c>
      <c r="B265" s="4">
        <v>46045</v>
      </c>
      <c r="C265" s="5">
        <v>4.8958333333333336E-3</v>
      </c>
      <c r="D265" s="8" t="s">
        <v>290</v>
      </c>
      <c r="E265" s="8" t="s">
        <v>86</v>
      </c>
      <c r="F265" s="8" t="s">
        <v>60</v>
      </c>
      <c r="G265">
        <v>4</v>
      </c>
      <c r="H265" s="8"/>
      <c r="I265" s="8" t="s">
        <v>10256</v>
      </c>
      <c r="J265" s="8" t="s">
        <v>2982</v>
      </c>
      <c r="K265" t="s">
        <v>10257</v>
      </c>
      <c r="L265" t="s">
        <v>10258</v>
      </c>
      <c r="M265" s="3" t="str">
        <f>HYPERLINK(склад2въезд1319[[#This Row],[RelativePath]])</f>
        <v>5 Крыльцо общага\K07156189_22_20260123T000703Z.jpg</v>
      </c>
    </row>
    <row r="266" spans="1:13" x14ac:dyDescent="0.25">
      <c r="A266" s="2" t="s">
        <v>17</v>
      </c>
      <c r="B266" s="4">
        <v>46045</v>
      </c>
      <c r="C266" s="5">
        <v>6.4351851851851853E-3</v>
      </c>
      <c r="D266" s="8" t="s">
        <v>290</v>
      </c>
      <c r="E266" s="8" t="s">
        <v>86</v>
      </c>
      <c r="F266" s="8" t="s">
        <v>60</v>
      </c>
      <c r="G266">
        <v>3</v>
      </c>
      <c r="H266" s="8"/>
      <c r="I266" s="8" t="s">
        <v>10259</v>
      </c>
      <c r="J266" s="8" t="s">
        <v>2982</v>
      </c>
      <c r="K266" t="s">
        <v>10260</v>
      </c>
      <c r="L266" t="s">
        <v>10261</v>
      </c>
      <c r="M266" s="3" t="str">
        <f>HYPERLINK(склад2въезд1319[[#This Row],[RelativePath]])</f>
        <v>5 Крыльцо общага\K07156189_22_20260123T000916Z.jpg</v>
      </c>
    </row>
    <row r="267" spans="1:13" x14ac:dyDescent="0.25">
      <c r="A267" s="2" t="s">
        <v>17</v>
      </c>
      <c r="B267" s="4">
        <v>46045</v>
      </c>
      <c r="C267" s="5">
        <v>7.9976851851851858E-3</v>
      </c>
      <c r="D267" s="8" t="s">
        <v>290</v>
      </c>
      <c r="E267" s="8" t="s">
        <v>86</v>
      </c>
      <c r="F267" s="8" t="s">
        <v>60</v>
      </c>
      <c r="G267">
        <v>3</v>
      </c>
      <c r="H267" s="8"/>
      <c r="I267" s="8" t="s">
        <v>10262</v>
      </c>
      <c r="J267" s="8" t="s">
        <v>2982</v>
      </c>
      <c r="K267" t="s">
        <v>10263</v>
      </c>
      <c r="L267" t="s">
        <v>10264</v>
      </c>
      <c r="M267" s="3" t="str">
        <f>HYPERLINK(склад2въезд1319[[#This Row],[RelativePath]])</f>
        <v>5 Крыльцо общага\K07156189_22_20260123T001131Z.jpg</v>
      </c>
    </row>
    <row r="268" spans="1:13" x14ac:dyDescent="0.25">
      <c r="A268" s="2" t="s">
        <v>17</v>
      </c>
      <c r="B268" s="4">
        <v>46045</v>
      </c>
      <c r="C268" s="5">
        <v>9.525462962962963E-3</v>
      </c>
      <c r="D268" s="8" t="s">
        <v>290</v>
      </c>
      <c r="E268" s="8" t="s">
        <v>86</v>
      </c>
      <c r="F268" s="8" t="s">
        <v>60</v>
      </c>
      <c r="G268">
        <v>2</v>
      </c>
      <c r="H268" s="8"/>
      <c r="I268" s="8" t="s">
        <v>10265</v>
      </c>
      <c r="J268" s="8" t="s">
        <v>2982</v>
      </c>
      <c r="K268" t="s">
        <v>10266</v>
      </c>
      <c r="L268" t="s">
        <v>10267</v>
      </c>
      <c r="M268" s="3" t="str">
        <f>HYPERLINK(склад2въезд1319[[#This Row],[RelativePath]])</f>
        <v>5 Крыльцо общага\K07156189_22_20260123T001343Z.jpg</v>
      </c>
    </row>
    <row r="269" spans="1:13" x14ac:dyDescent="0.25">
      <c r="A269" s="2" t="s">
        <v>17</v>
      </c>
      <c r="B269" s="4">
        <v>46045</v>
      </c>
      <c r="C269" s="5">
        <v>0.39523148148148146</v>
      </c>
      <c r="D269" s="8" t="s">
        <v>290</v>
      </c>
      <c r="E269" s="8" t="s">
        <v>86</v>
      </c>
      <c r="F269" s="8" t="s">
        <v>60</v>
      </c>
      <c r="G269">
        <v>2</v>
      </c>
      <c r="H269" s="8" t="s">
        <v>10347</v>
      </c>
      <c r="I269" s="8" t="s">
        <v>10281</v>
      </c>
      <c r="J269" s="8" t="s">
        <v>2982</v>
      </c>
      <c r="K269" t="s">
        <v>10282</v>
      </c>
      <c r="L269" t="s">
        <v>10283</v>
      </c>
      <c r="M269" s="3" t="str">
        <f>HYPERLINK(склад2въезд1319[[#This Row],[RelativePath]])</f>
        <v>5 Крыльцо общага\K07156189_22_20260123T092908Z.jpg</v>
      </c>
    </row>
    <row r="270" spans="1:13" x14ac:dyDescent="0.25">
      <c r="A270" s="2" t="s">
        <v>17</v>
      </c>
      <c r="B270" s="4">
        <v>46045</v>
      </c>
      <c r="C270" s="5">
        <v>0.39759259259259261</v>
      </c>
      <c r="D270" s="8" t="s">
        <v>290</v>
      </c>
      <c r="E270" s="8" t="s">
        <v>86</v>
      </c>
      <c r="F270" s="8" t="s">
        <v>60</v>
      </c>
      <c r="G270">
        <v>3</v>
      </c>
      <c r="H270" s="8" t="s">
        <v>10347</v>
      </c>
      <c r="I270" s="8" t="s">
        <v>10284</v>
      </c>
      <c r="J270" s="8" t="s">
        <v>2982</v>
      </c>
      <c r="K270" t="s">
        <v>10285</v>
      </c>
      <c r="L270" t="s">
        <v>10286</v>
      </c>
      <c r="M270" s="3" t="str">
        <f>HYPERLINK(склад2въезд1319[[#This Row],[RelativePath]])</f>
        <v>5 Крыльцо общага\K07156189_22_20260123T093232Z.jpg</v>
      </c>
    </row>
    <row r="271" spans="1:13" x14ac:dyDescent="0.25">
      <c r="A271" s="2" t="s">
        <v>17</v>
      </c>
      <c r="B271" s="4">
        <v>46045</v>
      </c>
      <c r="C271" s="5">
        <v>0.40006944444444442</v>
      </c>
      <c r="D271" s="8" t="s">
        <v>290</v>
      </c>
      <c r="E271" s="8" t="s">
        <v>86</v>
      </c>
      <c r="F271" s="8" t="s">
        <v>60</v>
      </c>
      <c r="G271">
        <v>3</v>
      </c>
      <c r="H271" s="8" t="s">
        <v>10347</v>
      </c>
      <c r="I271" s="8" t="s">
        <v>10287</v>
      </c>
      <c r="J271" s="8" t="s">
        <v>2982</v>
      </c>
      <c r="K271" t="s">
        <v>10288</v>
      </c>
      <c r="L271" t="s">
        <v>10289</v>
      </c>
      <c r="M271" s="3" t="str">
        <f>HYPERLINK(склад2въезд1319[[#This Row],[RelativePath]])</f>
        <v>5 Крыльцо общага\K07156189_22_20260123T093606Z.jpg</v>
      </c>
    </row>
    <row r="272" spans="1:13" x14ac:dyDescent="0.25">
      <c r="A272" s="2" t="s">
        <v>17</v>
      </c>
      <c r="B272" s="4">
        <v>46045</v>
      </c>
      <c r="C272" s="5">
        <v>0.40269675925925924</v>
      </c>
      <c r="D272" s="8" t="s">
        <v>290</v>
      </c>
      <c r="E272" s="8" t="s">
        <v>86</v>
      </c>
      <c r="F272" s="8" t="s">
        <v>60</v>
      </c>
      <c r="G272">
        <v>4</v>
      </c>
      <c r="H272" s="8" t="s">
        <v>10347</v>
      </c>
      <c r="I272" s="8" t="s">
        <v>10290</v>
      </c>
      <c r="J272" s="8" t="s">
        <v>2982</v>
      </c>
      <c r="K272" t="s">
        <v>10291</v>
      </c>
      <c r="L272" t="s">
        <v>10292</v>
      </c>
      <c r="M272" s="3" t="str">
        <f>HYPERLINK(склад2въезд1319[[#This Row],[RelativePath]])</f>
        <v>5 Крыльцо общага\K07156189_22_20260123T093953Z.jpg</v>
      </c>
    </row>
    <row r="273" spans="1:13" x14ac:dyDescent="0.25">
      <c r="A273" s="2" t="s">
        <v>17</v>
      </c>
      <c r="B273" s="4">
        <v>46045</v>
      </c>
      <c r="C273" s="5">
        <v>0.40763888888888888</v>
      </c>
      <c r="D273" s="8" t="s">
        <v>290</v>
      </c>
      <c r="E273" s="8" t="s">
        <v>86</v>
      </c>
      <c r="F273" s="8" t="s">
        <v>60</v>
      </c>
      <c r="G273">
        <v>4</v>
      </c>
      <c r="H273" s="8" t="s">
        <v>10347</v>
      </c>
      <c r="I273" s="8" t="s">
        <v>10293</v>
      </c>
      <c r="J273" s="8" t="s">
        <v>2982</v>
      </c>
      <c r="K273" t="s">
        <v>10294</v>
      </c>
      <c r="L273" t="s">
        <v>10295</v>
      </c>
      <c r="M273" s="3" t="str">
        <f>HYPERLINK(склад2въезд1319[[#This Row],[RelativePath]])</f>
        <v>5 Крыльцо общага\K07156189_22_20260123T094700Z.jpg</v>
      </c>
    </row>
    <row r="274" spans="1:13" x14ac:dyDescent="0.25">
      <c r="A274" s="2" t="s">
        <v>17</v>
      </c>
      <c r="B274" s="4">
        <v>46045</v>
      </c>
      <c r="C274" s="5">
        <v>0.41028935185185184</v>
      </c>
      <c r="D274" s="8" t="s">
        <v>290</v>
      </c>
      <c r="E274" s="8" t="s">
        <v>86</v>
      </c>
      <c r="F274" s="8" t="s">
        <v>60</v>
      </c>
      <c r="G274">
        <v>4</v>
      </c>
      <c r="H274" s="8" t="s">
        <v>10347</v>
      </c>
      <c r="I274" s="8" t="s">
        <v>10296</v>
      </c>
      <c r="J274" s="8" t="s">
        <v>2982</v>
      </c>
      <c r="K274" t="s">
        <v>10297</v>
      </c>
      <c r="L274" t="s">
        <v>10298</v>
      </c>
      <c r="M274" s="3" t="str">
        <f>HYPERLINK(склад2въезд1319[[#This Row],[RelativePath]])</f>
        <v>5 Крыльцо общага\K07156189_22_20260123T095049Z.jpg</v>
      </c>
    </row>
    <row r="275" spans="1:13" x14ac:dyDescent="0.25">
      <c r="A275" s="2" t="s">
        <v>17</v>
      </c>
      <c r="B275" s="4">
        <v>46045</v>
      </c>
      <c r="C275" s="5">
        <v>0.41259259259259257</v>
      </c>
      <c r="D275" s="8" t="s">
        <v>290</v>
      </c>
      <c r="E275" s="8" t="s">
        <v>86</v>
      </c>
      <c r="F275" s="8" t="s">
        <v>60</v>
      </c>
      <c r="G275">
        <v>5</v>
      </c>
      <c r="H275" s="8" t="s">
        <v>10347</v>
      </c>
      <c r="I275" s="8" t="s">
        <v>10299</v>
      </c>
      <c r="J275" s="8" t="s">
        <v>2982</v>
      </c>
      <c r="K275" t="s">
        <v>10300</v>
      </c>
      <c r="L275" t="s">
        <v>10301</v>
      </c>
      <c r="M275" s="3" t="str">
        <f>HYPERLINK(склад2въезд1319[[#This Row],[RelativePath]])</f>
        <v>5 Крыльцо общага\K07156189_22_20260123T095408Z.jpg</v>
      </c>
    </row>
    <row r="276" spans="1:13" x14ac:dyDescent="0.25">
      <c r="A276" s="2" t="s">
        <v>17</v>
      </c>
      <c r="B276" s="4">
        <v>46045</v>
      </c>
      <c r="C276" s="5">
        <v>0.41501157407407407</v>
      </c>
      <c r="D276" s="8" t="s">
        <v>290</v>
      </c>
      <c r="E276" s="8" t="s">
        <v>86</v>
      </c>
      <c r="F276" s="8" t="s">
        <v>60</v>
      </c>
      <c r="G276">
        <v>2</v>
      </c>
      <c r="H276" s="8" t="s">
        <v>10347</v>
      </c>
      <c r="I276" s="8" t="s">
        <v>10302</v>
      </c>
      <c r="J276" s="8" t="s">
        <v>2982</v>
      </c>
      <c r="K276" t="s">
        <v>10303</v>
      </c>
      <c r="L276" t="s">
        <v>10304</v>
      </c>
      <c r="M276" s="3" t="str">
        <f>HYPERLINK(склад2въезд1319[[#This Row],[RelativePath]])</f>
        <v>5 Крыльцо общага\K07156189_22_20260123T095737Z.jpg</v>
      </c>
    </row>
    <row r="277" spans="1:13" x14ac:dyDescent="0.25">
      <c r="A277" s="2" t="s">
        <v>17</v>
      </c>
      <c r="B277" s="4">
        <v>46045</v>
      </c>
      <c r="C277" s="5">
        <v>0.41718749999999999</v>
      </c>
      <c r="D277" s="8" t="s">
        <v>290</v>
      </c>
      <c r="E277" s="8" t="s">
        <v>86</v>
      </c>
      <c r="F277" s="8" t="s">
        <v>60</v>
      </c>
      <c r="G277">
        <v>3</v>
      </c>
      <c r="H277" s="8" t="s">
        <v>10347</v>
      </c>
      <c r="I277" s="8" t="s">
        <v>10305</v>
      </c>
      <c r="J277" s="8" t="s">
        <v>2982</v>
      </c>
      <c r="K277" t="s">
        <v>10306</v>
      </c>
      <c r="L277" t="s">
        <v>10307</v>
      </c>
      <c r="M277" s="3" t="str">
        <f>HYPERLINK(склад2въезд1319[[#This Row],[RelativePath]])</f>
        <v>5 Крыльцо общага\K07156189_22_20260123T100045Z.jpg</v>
      </c>
    </row>
    <row r="278" spans="1:13" x14ac:dyDescent="0.25">
      <c r="A278" s="2" t="s">
        <v>17</v>
      </c>
      <c r="B278" s="4">
        <v>46045</v>
      </c>
      <c r="C278" s="5">
        <v>0.42162037037037037</v>
      </c>
      <c r="D278" s="8" t="s">
        <v>290</v>
      </c>
      <c r="E278" s="8" t="s">
        <v>86</v>
      </c>
      <c r="F278" s="8" t="s">
        <v>60</v>
      </c>
      <c r="G278">
        <v>3</v>
      </c>
      <c r="H278" s="8" t="s">
        <v>10347</v>
      </c>
      <c r="I278" s="8" t="s">
        <v>10308</v>
      </c>
      <c r="J278" s="8" t="s">
        <v>2982</v>
      </c>
      <c r="K278" t="s">
        <v>10309</v>
      </c>
      <c r="L278" t="s">
        <v>10310</v>
      </c>
      <c r="M278" s="3" t="str">
        <f>HYPERLINK(склад2въезд1319[[#This Row],[RelativePath]])</f>
        <v>5 Крыльцо общага\K07156189_22_20260123T100708Z.jpg</v>
      </c>
    </row>
    <row r="279" spans="1:13" x14ac:dyDescent="0.25">
      <c r="A279" s="2" t="s">
        <v>17</v>
      </c>
      <c r="B279" s="4">
        <v>46045</v>
      </c>
      <c r="C279" s="5">
        <v>0.42399305555555555</v>
      </c>
      <c r="D279" s="8" t="s">
        <v>290</v>
      </c>
      <c r="E279" s="8" t="s">
        <v>86</v>
      </c>
      <c r="F279" s="8" t="s">
        <v>60</v>
      </c>
      <c r="G279">
        <v>3</v>
      </c>
      <c r="H279" s="8" t="s">
        <v>10347</v>
      </c>
      <c r="I279" s="8" t="s">
        <v>10311</v>
      </c>
      <c r="J279" s="8" t="s">
        <v>2982</v>
      </c>
      <c r="K279" t="s">
        <v>10312</v>
      </c>
      <c r="L279" t="s">
        <v>10313</v>
      </c>
      <c r="M279" s="3" t="str">
        <f>HYPERLINK(склад2въезд1319[[#This Row],[RelativePath]])</f>
        <v>5 Крыльцо общага\K07156189_22_20260123T101033Z.jpg</v>
      </c>
    </row>
    <row r="280" spans="1:13" x14ac:dyDescent="0.25">
      <c r="A280" s="2" t="s">
        <v>17</v>
      </c>
      <c r="B280" s="4">
        <v>46045</v>
      </c>
      <c r="C280" s="5">
        <v>0.42623842592592592</v>
      </c>
      <c r="D280" s="8" t="s">
        <v>290</v>
      </c>
      <c r="E280" s="8" t="s">
        <v>86</v>
      </c>
      <c r="F280" s="8" t="s">
        <v>60</v>
      </c>
      <c r="G280">
        <v>2</v>
      </c>
      <c r="H280" s="8" t="s">
        <v>10347</v>
      </c>
      <c r="I280" s="8" t="s">
        <v>10314</v>
      </c>
      <c r="J280" s="8" t="s">
        <v>2982</v>
      </c>
      <c r="K280" t="s">
        <v>10315</v>
      </c>
      <c r="L280" t="s">
        <v>10316</v>
      </c>
      <c r="M280" s="3" t="str">
        <f>HYPERLINK(склад2въезд1319[[#This Row],[RelativePath]])</f>
        <v>5 Крыльцо общага\K07156189_22_20260123T101347Z.jpg</v>
      </c>
    </row>
    <row r="281" spans="1:13" x14ac:dyDescent="0.25">
      <c r="A281" s="2" t="s">
        <v>17</v>
      </c>
      <c r="B281" s="4">
        <v>46045</v>
      </c>
      <c r="C281" s="5">
        <v>0.4287037037037037</v>
      </c>
      <c r="D281" s="8" t="s">
        <v>290</v>
      </c>
      <c r="E281" s="8" t="s">
        <v>86</v>
      </c>
      <c r="F281" s="8" t="s">
        <v>60</v>
      </c>
      <c r="G281">
        <v>2</v>
      </c>
      <c r="H281" s="8" t="s">
        <v>10347</v>
      </c>
      <c r="I281" s="8" t="s">
        <v>10317</v>
      </c>
      <c r="J281" s="8" t="s">
        <v>2982</v>
      </c>
      <c r="K281" t="s">
        <v>10318</v>
      </c>
      <c r="L281" t="s">
        <v>10319</v>
      </c>
      <c r="M281" s="3" t="str">
        <f>HYPERLINK(склад2въезд1319[[#This Row],[RelativePath]])</f>
        <v>5 Крыльцо общага\K07156189_22_20260123T101720Z.jpg</v>
      </c>
    </row>
    <row r="282" spans="1:13" x14ac:dyDescent="0.25">
      <c r="A282" s="2" t="s">
        <v>17</v>
      </c>
      <c r="B282" s="4">
        <v>46045</v>
      </c>
      <c r="C282" s="5">
        <v>0.43062499999999998</v>
      </c>
      <c r="D282" s="8" t="s">
        <v>290</v>
      </c>
      <c r="E282" s="8" t="s">
        <v>86</v>
      </c>
      <c r="F282" s="8" t="s">
        <v>60</v>
      </c>
      <c r="G282">
        <v>3</v>
      </c>
      <c r="H282" s="8" t="s">
        <v>10347</v>
      </c>
      <c r="I282" s="8" t="s">
        <v>10320</v>
      </c>
      <c r="J282" s="8" t="s">
        <v>2982</v>
      </c>
      <c r="K282" t="s">
        <v>10321</v>
      </c>
      <c r="L282" t="s">
        <v>10322</v>
      </c>
      <c r="M282" s="3" t="str">
        <f>HYPERLINK(склад2въезд1319[[#This Row],[RelativePath]])</f>
        <v>5 Крыльцо общага\K07156189_22_20260123T102006Z.jpg</v>
      </c>
    </row>
    <row r="283" spans="1:13" x14ac:dyDescent="0.25">
      <c r="A283" s="2" t="s">
        <v>17</v>
      </c>
      <c r="B283" s="4">
        <v>46045</v>
      </c>
      <c r="C283" s="5">
        <v>0.43278935185185186</v>
      </c>
      <c r="D283" s="8" t="s">
        <v>290</v>
      </c>
      <c r="E283" s="8" t="s">
        <v>86</v>
      </c>
      <c r="F283" s="8" t="s">
        <v>60</v>
      </c>
      <c r="G283">
        <v>3</v>
      </c>
      <c r="H283" s="8" t="s">
        <v>10347</v>
      </c>
      <c r="I283" s="8" t="s">
        <v>10323</v>
      </c>
      <c r="J283" s="8" t="s">
        <v>2982</v>
      </c>
      <c r="K283" t="s">
        <v>10324</v>
      </c>
      <c r="L283" t="s">
        <v>10325</v>
      </c>
      <c r="M283" s="3" t="str">
        <f>HYPERLINK(склад2въезд1319[[#This Row],[RelativePath]])</f>
        <v>5 Крыльцо общага\K07156189_22_20260123T102313Z.jpg</v>
      </c>
    </row>
    <row r="284" spans="1:13" x14ac:dyDescent="0.25">
      <c r="A284" s="2" t="s">
        <v>17</v>
      </c>
      <c r="B284" s="4">
        <v>46045</v>
      </c>
      <c r="C284" s="5">
        <v>0.4349884259259259</v>
      </c>
      <c r="D284" s="8" t="s">
        <v>290</v>
      </c>
      <c r="E284" s="8" t="s">
        <v>86</v>
      </c>
      <c r="F284" s="8" t="s">
        <v>60</v>
      </c>
      <c r="G284">
        <v>3</v>
      </c>
      <c r="H284" s="8" t="s">
        <v>10347</v>
      </c>
      <c r="I284" s="8" t="s">
        <v>10326</v>
      </c>
      <c r="J284" s="8" t="s">
        <v>2982</v>
      </c>
      <c r="K284" t="s">
        <v>10327</v>
      </c>
      <c r="L284" t="s">
        <v>10328</v>
      </c>
      <c r="M284" s="3" t="str">
        <f>HYPERLINK(склад2въезд1319[[#This Row],[RelativePath]])</f>
        <v>5 Крыльцо общага\K07156189_22_20260123T102623Z.jpg</v>
      </c>
    </row>
    <row r="285" spans="1:13" x14ac:dyDescent="0.25">
      <c r="A285" s="2" t="s">
        <v>17</v>
      </c>
      <c r="B285" s="4">
        <v>46045</v>
      </c>
      <c r="C285" s="5">
        <v>0.43710648148148146</v>
      </c>
      <c r="D285" s="8" t="s">
        <v>290</v>
      </c>
      <c r="E285" s="8" t="s">
        <v>86</v>
      </c>
      <c r="F285" s="8" t="s">
        <v>60</v>
      </c>
      <c r="G285">
        <v>2</v>
      </c>
      <c r="H285" s="8" t="s">
        <v>10347</v>
      </c>
      <c r="I285" s="8" t="s">
        <v>10329</v>
      </c>
      <c r="J285" s="8" t="s">
        <v>2982</v>
      </c>
      <c r="K285" t="s">
        <v>10330</v>
      </c>
      <c r="L285" t="s">
        <v>10331</v>
      </c>
      <c r="M285" s="3" t="str">
        <f>HYPERLINK(склад2въезд1319[[#This Row],[RelativePath]])</f>
        <v>5 Крыльцо общага\K07156189_22_20260123T102926Z.jpg</v>
      </c>
    </row>
    <row r="286" spans="1:13" x14ac:dyDescent="0.25">
      <c r="A286" s="2" t="s">
        <v>17</v>
      </c>
      <c r="B286" s="4">
        <v>46045</v>
      </c>
      <c r="C286" s="5">
        <v>0.43928240740740743</v>
      </c>
      <c r="D286" s="8" t="s">
        <v>290</v>
      </c>
      <c r="E286" s="8" t="s">
        <v>86</v>
      </c>
      <c r="F286" s="8" t="s">
        <v>60</v>
      </c>
      <c r="G286">
        <v>2</v>
      </c>
      <c r="H286" s="8" t="s">
        <v>10347</v>
      </c>
      <c r="I286" s="8" t="s">
        <v>10332</v>
      </c>
      <c r="J286" s="8" t="s">
        <v>2982</v>
      </c>
      <c r="K286" t="s">
        <v>10333</v>
      </c>
      <c r="L286" t="s">
        <v>10334</v>
      </c>
      <c r="M286" s="3" t="str">
        <f>HYPERLINK(склад2въезд1319[[#This Row],[RelativePath]])</f>
        <v>5 Крыльцо общага\K07156189_22_20260123T103234Z.jpg</v>
      </c>
    </row>
    <row r="287" spans="1:13" x14ac:dyDescent="0.25">
      <c r="A287" s="2" t="s">
        <v>17</v>
      </c>
      <c r="B287" s="4">
        <v>46045</v>
      </c>
      <c r="C287" s="5">
        <v>0.44248842592592591</v>
      </c>
      <c r="D287" s="8" t="s">
        <v>290</v>
      </c>
      <c r="E287" s="8" t="s">
        <v>86</v>
      </c>
      <c r="F287" s="8" t="s">
        <v>60</v>
      </c>
      <c r="G287">
        <v>2</v>
      </c>
      <c r="H287" s="8" t="s">
        <v>10347</v>
      </c>
      <c r="I287" s="8" t="s">
        <v>10335</v>
      </c>
      <c r="J287" s="8" t="s">
        <v>2982</v>
      </c>
      <c r="K287" t="s">
        <v>10336</v>
      </c>
      <c r="L287" t="s">
        <v>10337</v>
      </c>
      <c r="M287" s="3" t="str">
        <f>HYPERLINK(склад2въезд1319[[#This Row],[RelativePath]])</f>
        <v>5 Крыльцо общага\K07156189_22_20260123T103711Z.jpg</v>
      </c>
    </row>
    <row r="288" spans="1:13" x14ac:dyDescent="0.25">
      <c r="A288" s="2" t="s">
        <v>17</v>
      </c>
      <c r="B288" s="4">
        <v>46045</v>
      </c>
      <c r="C288" s="5">
        <v>0.44937500000000002</v>
      </c>
      <c r="D288" s="8" t="s">
        <v>10348</v>
      </c>
      <c r="E288" s="8" t="s">
        <v>86</v>
      </c>
      <c r="F288" s="8" t="s">
        <v>10167</v>
      </c>
      <c r="G288">
        <v>1</v>
      </c>
      <c r="H288" s="8" t="s">
        <v>10349</v>
      </c>
      <c r="I288" s="8" t="s">
        <v>10338</v>
      </c>
      <c r="J288" s="8" t="s">
        <v>2982</v>
      </c>
      <c r="K288" t="s">
        <v>10339</v>
      </c>
      <c r="L288" t="s">
        <v>10340</v>
      </c>
      <c r="M288" s="3" t="str">
        <f>HYPERLINK(склад2въезд1319[[#This Row],[RelativePath]])</f>
        <v>5 Крыльцо общага\K07156189_22_20260123T104706Z.jpg</v>
      </c>
    </row>
    <row r="289" spans="1:13" x14ac:dyDescent="0.25">
      <c r="A289" s="2" t="s">
        <v>17</v>
      </c>
      <c r="B289" s="4">
        <v>46045</v>
      </c>
      <c r="C289" s="5">
        <v>0.6310648148148148</v>
      </c>
      <c r="D289" s="8" t="s">
        <v>4</v>
      </c>
      <c r="E289" s="8" t="s">
        <v>9876</v>
      </c>
      <c r="F289" s="8"/>
      <c r="H289" s="8"/>
      <c r="I289" s="8" t="s">
        <v>10341</v>
      </c>
      <c r="J289" s="8" t="s">
        <v>2982</v>
      </c>
      <c r="K289" t="s">
        <v>10342</v>
      </c>
      <c r="L289" t="s">
        <v>10343</v>
      </c>
      <c r="M289" s="3" t="str">
        <f>HYPERLINK(склад2въезд1319[[#This Row],[RelativePath]])</f>
        <v>5 Крыльцо общага\K07156189_22_20260123T150844Z.jpg</v>
      </c>
    </row>
    <row r="290" spans="1:13" x14ac:dyDescent="0.25">
      <c r="A290" s="2" t="s">
        <v>17</v>
      </c>
      <c r="B290" s="4">
        <v>46045</v>
      </c>
      <c r="C290" s="5">
        <v>0.7228472222222222</v>
      </c>
      <c r="D290" s="8" t="s">
        <v>4</v>
      </c>
      <c r="E290" s="8" t="s">
        <v>2932</v>
      </c>
      <c r="F290" s="8"/>
      <c r="H290" s="8"/>
      <c r="I290" s="8" t="s">
        <v>10344</v>
      </c>
      <c r="J290" s="8" t="s">
        <v>2982</v>
      </c>
      <c r="K290" t="s">
        <v>10345</v>
      </c>
      <c r="L290" t="s">
        <v>10346</v>
      </c>
      <c r="M290" s="3" t="str">
        <f>HYPERLINK(склад2въезд1319[[#This Row],[RelativePath]])</f>
        <v>5 Крыльцо общага\K07156189_22_20260123T172054Z.jpg</v>
      </c>
    </row>
    <row r="291" spans="1:13" x14ac:dyDescent="0.25">
      <c r="A291" s="2" t="s">
        <v>18</v>
      </c>
      <c r="B291" s="4">
        <v>46046</v>
      </c>
      <c r="C291" s="5">
        <v>0.7195138888888889</v>
      </c>
      <c r="D291" s="8" t="s">
        <v>2004</v>
      </c>
      <c r="E291" s="8" t="s">
        <v>8</v>
      </c>
      <c r="F291" s="8"/>
      <c r="H291" s="8"/>
      <c r="I291" s="8" t="s">
        <v>10500</v>
      </c>
      <c r="J291" s="8" t="s">
        <v>2982</v>
      </c>
      <c r="K291" t="s">
        <v>10501</v>
      </c>
      <c r="L291" t="s">
        <v>10502</v>
      </c>
      <c r="M291" s="3" t="str">
        <f>HYPERLINK(склад2въезд1319[[#This Row],[RelativePath]])</f>
        <v>5 Крыльцо общага\K07156189_22_20260124T171606Z.jpg</v>
      </c>
    </row>
    <row r="292" spans="1:13" x14ac:dyDescent="0.25">
      <c r="A292" s="2" t="s">
        <v>22</v>
      </c>
      <c r="B292" s="4">
        <v>46047</v>
      </c>
      <c r="C292" s="5">
        <v>0.71619212962962964</v>
      </c>
      <c r="D292" s="8" t="s">
        <v>2004</v>
      </c>
      <c r="E292" s="8" t="s">
        <v>8</v>
      </c>
      <c r="F292" s="8"/>
      <c r="H292" s="8"/>
      <c r="I292" s="8" t="s">
        <v>10503</v>
      </c>
      <c r="J292" s="8" t="s">
        <v>2982</v>
      </c>
      <c r="K292" t="s">
        <v>10504</v>
      </c>
      <c r="L292" t="s">
        <v>10505</v>
      </c>
      <c r="M292" s="3" t="str">
        <f>HYPERLINK(склад2въезд1319[[#This Row],[RelativePath]])</f>
        <v>5 Крыльцо общага\K07156189_22_20260125T171119Z.jpg</v>
      </c>
    </row>
    <row r="293" spans="1:13" x14ac:dyDescent="0.25">
      <c r="A293" s="2" t="s">
        <v>13</v>
      </c>
      <c r="B293" s="4">
        <v>46048</v>
      </c>
      <c r="C293" s="5">
        <v>0.71994212962962967</v>
      </c>
      <c r="D293" s="8" t="s">
        <v>4</v>
      </c>
      <c r="E293" s="8" t="s">
        <v>2932</v>
      </c>
      <c r="F293" s="8"/>
      <c r="H293" s="8"/>
      <c r="I293" s="8" t="s">
        <v>10546</v>
      </c>
      <c r="J293" s="8" t="s">
        <v>2982</v>
      </c>
      <c r="K293" t="s">
        <v>10547</v>
      </c>
      <c r="L293" t="s">
        <v>10548</v>
      </c>
      <c r="M293" s="3" t="str">
        <f>HYPERLINK(склад2въезд1319[[#This Row],[RelativePath]])</f>
        <v>5 Крыльцо общага\K07156189_22_20260126T171643Z.jpg</v>
      </c>
    </row>
    <row r="294" spans="1:13" x14ac:dyDescent="0.25">
      <c r="A294" s="2" t="s">
        <v>14</v>
      </c>
      <c r="B294" s="4">
        <v>46049</v>
      </c>
      <c r="C294" s="5">
        <v>0.62032407407407408</v>
      </c>
      <c r="D294" s="8" t="s">
        <v>4</v>
      </c>
      <c r="E294" s="8" t="s">
        <v>10630</v>
      </c>
      <c r="F294" s="8"/>
      <c r="H294" s="8"/>
      <c r="I294" s="8" t="s">
        <v>10549</v>
      </c>
      <c r="J294" s="8" t="s">
        <v>2982</v>
      </c>
      <c r="K294" t="s">
        <v>10550</v>
      </c>
      <c r="L294" t="s">
        <v>10551</v>
      </c>
      <c r="M294" s="3" t="str">
        <f>HYPERLINK(склад2въезд1319[[#This Row],[RelativePath]])</f>
        <v>5 Крыльцо общага\K07156189_22_20260127T145316Z.jpg</v>
      </c>
    </row>
    <row r="295" spans="1:13" x14ac:dyDescent="0.25">
      <c r="A295" s="2" t="s">
        <v>15</v>
      </c>
      <c r="B295" s="4">
        <v>46050</v>
      </c>
      <c r="C295" s="5">
        <v>0.41630787037037037</v>
      </c>
      <c r="D295" s="8" t="s">
        <v>4</v>
      </c>
      <c r="E295" s="8" t="s">
        <v>9876</v>
      </c>
      <c r="F295" s="8"/>
      <c r="H295" s="8"/>
      <c r="I295" s="8" t="s">
        <v>10722</v>
      </c>
      <c r="J295" s="8" t="s">
        <v>2982</v>
      </c>
      <c r="K295" t="s">
        <v>10723</v>
      </c>
      <c r="L295" t="s">
        <v>10724</v>
      </c>
      <c r="M295" s="3" t="str">
        <f>HYPERLINK(склад2въезд1319[[#This Row],[RelativePath]])</f>
        <v>5 Крыльцо общага\K07156189_22_20260128T095929Z.jpg</v>
      </c>
    </row>
    <row r="296" spans="1:13" x14ac:dyDescent="0.25">
      <c r="A296" s="2" t="s">
        <v>15</v>
      </c>
      <c r="B296" s="4">
        <v>46050</v>
      </c>
      <c r="C296" s="5">
        <v>0.66324074074074069</v>
      </c>
      <c r="D296" s="8" t="s">
        <v>158</v>
      </c>
      <c r="E296" s="8" t="s">
        <v>86</v>
      </c>
      <c r="F296" s="8" t="s">
        <v>60</v>
      </c>
      <c r="H296" s="8" t="s">
        <v>10887</v>
      </c>
      <c r="I296" s="8" t="s">
        <v>10725</v>
      </c>
      <c r="J296" s="8" t="s">
        <v>2982</v>
      </c>
      <c r="K296" t="s">
        <v>10726</v>
      </c>
      <c r="L296" t="s">
        <v>10727</v>
      </c>
      <c r="M296" s="3" t="str">
        <f>HYPERLINK(склад2въезд1319[[#This Row],[RelativePath]])</f>
        <v>5 Крыльцо общага\K07156189_22_20260128T155504Z.jpg</v>
      </c>
    </row>
    <row r="297" spans="1:13" x14ac:dyDescent="0.25">
      <c r="A297" s="2" t="s">
        <v>15</v>
      </c>
      <c r="B297" s="4">
        <v>46050</v>
      </c>
      <c r="C297" s="5">
        <v>0.70317129629629627</v>
      </c>
      <c r="D297" s="8" t="s">
        <v>4</v>
      </c>
      <c r="E297" s="8" t="s">
        <v>2932</v>
      </c>
      <c r="F297" s="8"/>
      <c r="H297" s="8"/>
      <c r="I297" s="8" t="s">
        <v>10728</v>
      </c>
      <c r="J297" s="8" t="s">
        <v>2982</v>
      </c>
      <c r="K297" t="s">
        <v>10729</v>
      </c>
      <c r="L297" t="s">
        <v>10730</v>
      </c>
      <c r="M297" s="3" t="str">
        <f>HYPERLINK(склад2въезд1319[[#This Row],[RelativePath]])</f>
        <v>5 Крыльцо общага\K07156189_22_20260128T165234Z.jpg</v>
      </c>
    </row>
    <row r="298" spans="1:13" x14ac:dyDescent="0.25">
      <c r="A298" s="2" t="s">
        <v>16</v>
      </c>
      <c r="B298" s="4">
        <v>46051</v>
      </c>
      <c r="C298" s="5">
        <v>0.51928240740740739</v>
      </c>
      <c r="D298" s="8" t="s">
        <v>4</v>
      </c>
      <c r="E298" s="8" t="s">
        <v>9876</v>
      </c>
      <c r="F298" s="8"/>
      <c r="H298" s="8"/>
      <c r="I298" s="8" t="s">
        <v>10731</v>
      </c>
      <c r="J298" s="8" t="s">
        <v>2982</v>
      </c>
      <c r="K298" t="s">
        <v>10732</v>
      </c>
      <c r="L298" t="s">
        <v>10733</v>
      </c>
      <c r="M298" s="3" t="str">
        <f>HYPERLINK(склад2въезд1319[[#This Row],[RelativePath]])</f>
        <v>5 Крыльцо общага\K07156189_22_20260129T122746Z.jpg</v>
      </c>
    </row>
    <row r="299" spans="1:13" x14ac:dyDescent="0.25">
      <c r="A299" s="2" t="s">
        <v>16</v>
      </c>
      <c r="B299" s="4">
        <v>46051</v>
      </c>
      <c r="C299" s="5">
        <v>0.74149305555555556</v>
      </c>
      <c r="D299" s="8" t="s">
        <v>4</v>
      </c>
      <c r="E299" s="8" t="s">
        <v>9876</v>
      </c>
      <c r="F299" s="8"/>
      <c r="H299" s="8"/>
      <c r="I299" s="8" t="s">
        <v>10734</v>
      </c>
      <c r="J299" s="8" t="s">
        <v>2982</v>
      </c>
      <c r="K299" t="s">
        <v>10735</v>
      </c>
      <c r="L299" t="s">
        <v>10736</v>
      </c>
      <c r="M299" s="3" t="str">
        <f>HYPERLINK(склад2въезд1319[[#This Row],[RelativePath]])</f>
        <v>5 Крыльцо общага\K07156189_22_20260129T174745Z.jpg</v>
      </c>
    </row>
    <row r="300" spans="1:13" x14ac:dyDescent="0.25">
      <c r="A300" s="2" t="s">
        <v>17</v>
      </c>
      <c r="B300" s="4">
        <v>46052</v>
      </c>
      <c r="C300" s="5">
        <v>0.42017361111111112</v>
      </c>
      <c r="D300" s="8" t="s">
        <v>4</v>
      </c>
      <c r="E300" s="8" t="s">
        <v>8045</v>
      </c>
      <c r="F300" s="8"/>
      <c r="H300" s="8"/>
      <c r="I300" s="8" t="s">
        <v>10914</v>
      </c>
      <c r="J300" s="8" t="s">
        <v>2982</v>
      </c>
      <c r="K300" t="s">
        <v>10915</v>
      </c>
      <c r="L300" t="s">
        <v>10916</v>
      </c>
      <c r="M300" s="3" t="str">
        <f>HYPERLINK(склад2въезд1319[[#This Row],[RelativePath]])</f>
        <v>5 Крыльцо общага\K07156189_22_20260130T100503Z.jpg</v>
      </c>
    </row>
    <row r="301" spans="1:13" x14ac:dyDescent="0.25">
      <c r="A301" s="2" t="s">
        <v>17</v>
      </c>
      <c r="B301" s="4">
        <v>46052</v>
      </c>
      <c r="C301" s="5">
        <v>0.60381944444444446</v>
      </c>
      <c r="D301" s="8" t="s">
        <v>4</v>
      </c>
      <c r="E301" s="8" t="s">
        <v>8045</v>
      </c>
      <c r="F301" s="8"/>
      <c r="H301" s="8"/>
      <c r="I301" s="8" t="s">
        <v>10917</v>
      </c>
      <c r="J301" s="8" t="s">
        <v>2982</v>
      </c>
      <c r="K301" t="s">
        <v>10918</v>
      </c>
      <c r="L301" t="s">
        <v>10919</v>
      </c>
      <c r="M301" s="3" t="str">
        <f>HYPERLINK(склад2въезд1319[[#This Row],[RelativePath]])</f>
        <v>5 Крыльцо общага\K07156189_22_20260130T142930Z.jpg</v>
      </c>
    </row>
    <row r="302" spans="1:13" x14ac:dyDescent="0.25">
      <c r="A302" s="2" t="s">
        <v>18</v>
      </c>
      <c r="B302" s="4">
        <v>46053</v>
      </c>
      <c r="C302" s="5">
        <v>0.72431712962962957</v>
      </c>
      <c r="D302" s="8" t="s">
        <v>4</v>
      </c>
      <c r="E302" s="8" t="s">
        <v>8</v>
      </c>
      <c r="F302" s="8"/>
      <c r="H302" s="8"/>
      <c r="I302" s="8" t="s">
        <v>11067</v>
      </c>
      <c r="J302" s="8" t="s">
        <v>2982</v>
      </c>
      <c r="K302" t="s">
        <v>11068</v>
      </c>
      <c r="L302" t="s">
        <v>11069</v>
      </c>
      <c r="M302" s="3" t="str">
        <f>HYPERLINK(склад2въезд1319[[#This Row],[RelativePath]])</f>
        <v>5 Крыльцо общага\K07156189_22_20260131T172301Z.jpg</v>
      </c>
    </row>
    <row r="303" spans="1:13" x14ac:dyDescent="0.25">
      <c r="A303" s="2" t="s">
        <v>18</v>
      </c>
      <c r="B303" s="4">
        <v>46053</v>
      </c>
      <c r="C303" s="5">
        <v>0.72693287037037035</v>
      </c>
      <c r="D303" s="8" t="s">
        <v>650</v>
      </c>
      <c r="E303" s="8" t="s">
        <v>11125</v>
      </c>
      <c r="F303" s="8"/>
      <c r="H303" s="8" t="s">
        <v>11126</v>
      </c>
      <c r="I303" s="8" t="s">
        <v>11070</v>
      </c>
      <c r="J303" s="8" t="s">
        <v>2982</v>
      </c>
      <c r="K303" t="s">
        <v>11071</v>
      </c>
      <c r="L303" t="s">
        <v>11072</v>
      </c>
      <c r="M303" s="3" t="str">
        <f>HYPERLINK(склад2въезд1319[[#This Row],[RelativePath]])</f>
        <v>5 Крыльцо общага\K07156189_22_20260131T172647Z.jpg</v>
      </c>
    </row>
    <row r="304" spans="1:13" x14ac:dyDescent="0.25">
      <c r="A304" s="2" t="s">
        <v>22</v>
      </c>
      <c r="B304" s="4">
        <v>46054</v>
      </c>
      <c r="C304" s="5">
        <v>0.46425925925925926</v>
      </c>
      <c r="D304" s="8" t="s">
        <v>4</v>
      </c>
      <c r="E304" s="8" t="s">
        <v>9876</v>
      </c>
      <c r="F304" s="8"/>
      <c r="H304" s="8"/>
      <c r="I304" s="8" t="s">
        <v>11073</v>
      </c>
      <c r="J304" s="8" t="s">
        <v>2982</v>
      </c>
      <c r="K304" t="s">
        <v>11074</v>
      </c>
      <c r="L304" t="s">
        <v>11075</v>
      </c>
      <c r="M304" s="3" t="str">
        <f>HYPERLINK(склад2въезд1319[[#This Row],[RelativePath]])</f>
        <v>5 Крыльцо общага\K07156189_22_20260201T110832Z.jpg</v>
      </c>
    </row>
    <row r="305" spans="1:13" x14ac:dyDescent="0.25">
      <c r="A305" s="2" t="s">
        <v>13</v>
      </c>
      <c r="B305" s="4">
        <v>46055</v>
      </c>
      <c r="C305" s="5">
        <v>0.44791666666666669</v>
      </c>
      <c r="D305" s="8" t="s">
        <v>4</v>
      </c>
      <c r="E305" s="8" t="s">
        <v>9876</v>
      </c>
      <c r="F305" s="8"/>
      <c r="H305" s="8"/>
      <c r="I305" s="8" t="s">
        <v>11160</v>
      </c>
      <c r="J305" s="8" t="s">
        <v>2982</v>
      </c>
      <c r="K305" t="s">
        <v>11161</v>
      </c>
      <c r="L305" t="s">
        <v>11162</v>
      </c>
      <c r="M305" s="3" t="str">
        <f>HYPERLINK(склад2въезд1319[[#This Row],[RelativePath]])</f>
        <v>5 Крыльцо общага\K07156189_22_20260202T104500Z.jpg</v>
      </c>
    </row>
    <row r="306" spans="1:13" x14ac:dyDescent="0.25">
      <c r="A306" s="2" t="s">
        <v>13</v>
      </c>
      <c r="B306" s="4">
        <v>46055</v>
      </c>
      <c r="C306" s="5">
        <v>0.74973379629629633</v>
      </c>
      <c r="D306" s="8" t="s">
        <v>4</v>
      </c>
      <c r="E306" s="8" t="s">
        <v>9876</v>
      </c>
      <c r="F306" s="8"/>
      <c r="H306" s="8"/>
      <c r="I306" s="8" t="s">
        <v>11163</v>
      </c>
      <c r="J306" s="8" t="s">
        <v>2982</v>
      </c>
      <c r="K306" t="s">
        <v>11164</v>
      </c>
      <c r="L306" t="s">
        <v>11165</v>
      </c>
      <c r="M306" s="3" t="str">
        <f>HYPERLINK(склад2въезд1319[[#This Row],[RelativePath]])</f>
        <v>5 Крыльцо общага\K07156189_22_20260202T175937Z.jpg</v>
      </c>
    </row>
    <row r="307" spans="1:13" x14ac:dyDescent="0.25">
      <c r="A307" s="2" t="s">
        <v>14</v>
      </c>
      <c r="B307" s="4">
        <v>46056</v>
      </c>
      <c r="C307" s="5">
        <v>0.39356481481481481</v>
      </c>
      <c r="D307" s="8" t="s">
        <v>4</v>
      </c>
      <c r="E307" s="8" t="s">
        <v>9876</v>
      </c>
      <c r="F307" s="8"/>
      <c r="H307" s="8"/>
      <c r="I307" s="8" t="s">
        <v>11166</v>
      </c>
      <c r="J307" s="8" t="s">
        <v>2982</v>
      </c>
      <c r="K307" t="s">
        <v>11167</v>
      </c>
      <c r="L307" t="s">
        <v>11168</v>
      </c>
      <c r="M307" s="3" t="str">
        <f>HYPERLINK(склад2въезд1319[[#This Row],[RelativePath]])</f>
        <v>5 Крыльцо общага\K07156189_22_20260203T092644Z.jpg</v>
      </c>
    </row>
    <row r="308" spans="1:13" x14ac:dyDescent="0.25">
      <c r="A308" s="2" t="s">
        <v>14</v>
      </c>
      <c r="B308" s="4">
        <v>46056</v>
      </c>
      <c r="C308" s="5">
        <v>0.68864583333333329</v>
      </c>
      <c r="D308" s="8" t="s">
        <v>4</v>
      </c>
      <c r="E308" s="8" t="s">
        <v>9876</v>
      </c>
      <c r="F308" s="8"/>
      <c r="H308" s="8"/>
      <c r="I308" s="8" t="s">
        <v>11169</v>
      </c>
      <c r="J308" s="8" t="s">
        <v>2982</v>
      </c>
      <c r="K308" t="s">
        <v>11170</v>
      </c>
      <c r="L308" t="s">
        <v>11171</v>
      </c>
      <c r="M308" s="3" t="str">
        <f>HYPERLINK(склад2въезд1319[[#This Row],[RelativePath]])</f>
        <v>5 Крыльцо общага\K07156189_22_20260203T163139Z.jpg</v>
      </c>
    </row>
    <row r="309" spans="1:13" x14ac:dyDescent="0.25">
      <c r="A309" s="2" t="s">
        <v>15</v>
      </c>
      <c r="B309" s="4">
        <v>46057</v>
      </c>
      <c r="C309" s="5">
        <v>0.66666666666666663</v>
      </c>
      <c r="D309" s="8" t="s">
        <v>4</v>
      </c>
      <c r="E309" s="8" t="s">
        <v>8</v>
      </c>
      <c r="F309" s="8"/>
      <c r="H309" s="8"/>
      <c r="I309" s="8" t="s">
        <v>11604</v>
      </c>
      <c r="J309" s="8" t="s">
        <v>2982</v>
      </c>
      <c r="K309" t="s">
        <v>11605</v>
      </c>
      <c r="L309" t="s">
        <v>11606</v>
      </c>
      <c r="M309" s="3" t="str">
        <f>HYPERLINK(склад2въезд1319[[#This Row],[RelativePath]])</f>
        <v>5 Крыльцо общага\K07156189_22_20260204T160000Z.jpg</v>
      </c>
    </row>
    <row r="310" spans="1:13" x14ac:dyDescent="0.25">
      <c r="A310" s="2" t="s">
        <v>16</v>
      </c>
      <c r="B310" s="4">
        <v>46058</v>
      </c>
      <c r="C310" s="5">
        <v>0.69664351851851847</v>
      </c>
      <c r="D310" s="8" t="s">
        <v>4</v>
      </c>
      <c r="E310" s="8" t="s">
        <v>11638</v>
      </c>
      <c r="F310" s="8"/>
      <c r="H310" s="8"/>
      <c r="I310" s="8" t="s">
        <v>11607</v>
      </c>
      <c r="J310" s="8" t="s">
        <v>2982</v>
      </c>
      <c r="K310" t="s">
        <v>11608</v>
      </c>
      <c r="L310" t="s">
        <v>11609</v>
      </c>
      <c r="M310" s="3" t="str">
        <f>HYPERLINK(склад2въезд1319[[#This Row],[RelativePath]])</f>
        <v>5 Крыльцо общага\K07156189_22_20260205T164310Z.jpg</v>
      </c>
    </row>
    <row r="311" spans="1:13" x14ac:dyDescent="0.25">
      <c r="A311" s="2" t="s">
        <v>17</v>
      </c>
      <c r="B311" s="4">
        <v>46059</v>
      </c>
      <c r="C311" s="5">
        <v>0.68755787037037042</v>
      </c>
      <c r="D311" s="8" t="s">
        <v>4</v>
      </c>
      <c r="E311" s="8" t="s">
        <v>8</v>
      </c>
      <c r="F311" s="8"/>
      <c r="H311" s="8"/>
      <c r="I311" s="8" t="s">
        <v>11610</v>
      </c>
      <c r="J311" s="8" t="s">
        <v>2982</v>
      </c>
      <c r="K311" t="s">
        <v>11611</v>
      </c>
      <c r="L311" t="s">
        <v>11612</v>
      </c>
      <c r="M311" s="3" t="str">
        <f>HYPERLINK(склад2въезд1319[[#This Row],[RelativePath]])</f>
        <v>5 Крыльцо общага\K07156189_22_20260206T163005Z.jpg</v>
      </c>
    </row>
    <row r="312" spans="1:13" x14ac:dyDescent="0.25">
      <c r="A312" s="2" t="s">
        <v>18</v>
      </c>
      <c r="B312" s="4">
        <v>46060</v>
      </c>
      <c r="C312" s="5">
        <v>0.68214120370370368</v>
      </c>
      <c r="D312" s="8" t="s">
        <v>2004</v>
      </c>
      <c r="E312" s="8" t="s">
        <v>8</v>
      </c>
      <c r="F312" s="8"/>
      <c r="H312" s="8"/>
      <c r="I312" s="8" t="s">
        <v>11676</v>
      </c>
      <c r="J312" s="8" t="s">
        <v>2982</v>
      </c>
      <c r="K312" t="s">
        <v>11677</v>
      </c>
      <c r="L312" t="s">
        <v>11678</v>
      </c>
      <c r="M312" s="3" t="str">
        <f>HYPERLINK(склад2въезд1319[[#This Row],[RelativePath]])</f>
        <v>5 Крыльцо общага\K07156189_22_20260207T162217Z.jpg</v>
      </c>
    </row>
    <row r="313" spans="1:13" x14ac:dyDescent="0.25">
      <c r="A313" s="2" t="s">
        <v>22</v>
      </c>
      <c r="B313" s="4">
        <v>46061</v>
      </c>
      <c r="C313" s="5">
        <v>0.71369212962962958</v>
      </c>
      <c r="D313" s="8" t="s">
        <v>4</v>
      </c>
      <c r="E313" s="8" t="s">
        <v>2932</v>
      </c>
      <c r="F313" s="8"/>
      <c r="H313" s="8"/>
      <c r="I313" s="8" t="s">
        <v>11679</v>
      </c>
      <c r="J313" s="8" t="s">
        <v>2982</v>
      </c>
      <c r="K313" t="s">
        <v>11680</v>
      </c>
      <c r="L313" t="s">
        <v>11681</v>
      </c>
      <c r="M313" s="3" t="str">
        <f>HYPERLINK(склад2въезд1319[[#This Row],[RelativePath]])</f>
        <v>5 Крыльцо общага\K07156189_22_20260208T170743Z.jpg</v>
      </c>
    </row>
  </sheetData>
  <conditionalFormatting sqref="E314:E327 D314:D324 G2:H313 D2:E313">
    <cfRule type="containsText" dxfId="712" priority="17" operator="containsText" text="Выезд с территории">
      <formula>NOT(ISERROR(SEARCH("Выезд с территории",D2)))</formula>
    </cfRule>
  </conditionalFormatting>
  <conditionalFormatting sqref="F2:F313">
    <cfRule type="notContainsText" dxfId="711" priority="16" operator="notContains" text="порожний">
      <formula>ISERROR(SEARCH("порожний",F2))</formula>
    </cfRule>
  </conditionalFormatting>
  <conditionalFormatting sqref="E2:E327">
    <cfRule type="containsText" dxfId="710" priority="14" operator="containsText" text="Газель базы">
      <formula>NOT(ISERROR(SEARCH("Газель базы",E2)))</formula>
    </cfRule>
    <cfRule type="containsText" dxfId="709" priority="15" operator="containsText" text="Погрузчик базы">
      <formula>NOT(ISERROR(SEARCH("Погрузчик базы",E2)))</formula>
    </cfRule>
  </conditionalFormatting>
  <conditionalFormatting sqref="E2:E327">
    <cfRule type="containsText" dxfId="708" priority="13" operator="containsText" text="Трактор базы">
      <formula>NOT(ISERROR(SEARCH("Трактор базы",E2)))</formula>
    </cfRule>
  </conditionalFormatting>
  <conditionalFormatting sqref="A2:C313">
    <cfRule type="expression" dxfId="707" priority="12">
      <formula>$A2="пн"</formula>
    </cfRule>
  </conditionalFormatting>
  <conditionalFormatting sqref="A2:C315">
    <cfRule type="expression" dxfId="706" priority="6">
      <formula>$A2="вс"</formula>
    </cfRule>
    <cfRule type="expression" dxfId="705" priority="7">
      <formula>$A2="сб"</formula>
    </cfRule>
    <cfRule type="expression" dxfId="704" priority="8">
      <formula>$A2="пт"</formula>
    </cfRule>
    <cfRule type="expression" dxfId="703" priority="9">
      <formula>$A2="чт"</formula>
    </cfRule>
    <cfRule type="expression" dxfId="702" priority="10">
      <formula>$A2="ср"</formula>
    </cfRule>
    <cfRule type="expression" dxfId="701" priority="11">
      <formula>$A2="вт"</formula>
    </cfRule>
  </conditionalFormatting>
  <conditionalFormatting sqref="D2:D324">
    <cfRule type="containsText" dxfId="70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4">
    <cfRule type="containsText" dxfId="699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133"/>
  <sheetViews>
    <sheetView zoomScale="90" zoomScaleNormal="90" workbookViewId="0">
      <pane ySplit="1" topLeftCell="A118" activePane="bottomLeft" state="frozen"/>
      <selection pane="bottomLeft" activeCell="I132" sqref="I132:I13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9.5703125" bestFit="1" customWidth="1"/>
    <col min="7" max="7" width="7.28515625" bestFit="1" customWidth="1"/>
    <col min="8" max="8" width="16.855468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480</v>
      </c>
      <c r="J2" s="8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483</v>
      </c>
      <c r="J3" s="8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486</v>
      </c>
      <c r="J4" s="8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8" t="s">
        <v>289</v>
      </c>
      <c r="E5" s="8" t="s">
        <v>86</v>
      </c>
      <c r="F5" s="8" t="s">
        <v>528</v>
      </c>
      <c r="H5" s="8"/>
      <c r="I5" s="8" t="s">
        <v>489</v>
      </c>
      <c r="J5" s="8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8" t="s">
        <v>159</v>
      </c>
      <c r="E6" s="8" t="s">
        <v>86</v>
      </c>
      <c r="F6" s="8" t="s">
        <v>528</v>
      </c>
      <c r="H6" s="8"/>
      <c r="I6" s="8" t="s">
        <v>492</v>
      </c>
      <c r="J6" s="8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8" t="s">
        <v>4</v>
      </c>
      <c r="E7" s="8" t="s">
        <v>8</v>
      </c>
      <c r="F7" s="8"/>
      <c r="H7" s="8"/>
      <c r="I7" s="8" t="s">
        <v>495</v>
      </c>
      <c r="J7" s="8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8" t="s">
        <v>4</v>
      </c>
      <c r="E8" s="8" t="s">
        <v>8</v>
      </c>
      <c r="F8" s="8"/>
      <c r="H8" s="8"/>
      <c r="I8" s="8" t="s">
        <v>498</v>
      </c>
      <c r="J8" s="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8" t="s">
        <v>4</v>
      </c>
      <c r="E9" s="8" t="s">
        <v>529</v>
      </c>
      <c r="F9" s="8"/>
      <c r="H9" s="8"/>
      <c r="I9" s="8" t="s">
        <v>501</v>
      </c>
      <c r="J9" s="8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504</v>
      </c>
      <c r="J10" s="8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507</v>
      </c>
      <c r="J11" s="8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8" t="s">
        <v>289</v>
      </c>
      <c r="E12" s="8" t="s">
        <v>86</v>
      </c>
      <c r="F12" s="8" t="s">
        <v>530</v>
      </c>
      <c r="H12" s="8"/>
      <c r="I12" s="8" t="s">
        <v>510</v>
      </c>
      <c r="J12" s="8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8" t="s">
        <v>289</v>
      </c>
      <c r="E13" s="8" t="s">
        <v>86</v>
      </c>
      <c r="F13" s="8" t="s">
        <v>530</v>
      </c>
      <c r="H13" s="8"/>
      <c r="I13" s="8" t="s">
        <v>513</v>
      </c>
      <c r="J13" s="8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8" t="s">
        <v>533</v>
      </c>
      <c r="E14" s="8" t="s">
        <v>531</v>
      </c>
      <c r="F14" s="8" t="s">
        <v>534</v>
      </c>
      <c r="H14" s="8"/>
      <c r="I14" s="8" t="s">
        <v>516</v>
      </c>
      <c r="J14" s="8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8" t="s">
        <v>289</v>
      </c>
      <c r="E15" s="8" t="s">
        <v>86</v>
      </c>
      <c r="F15" s="8" t="s">
        <v>532</v>
      </c>
      <c r="H15" s="8"/>
      <c r="I15" s="8" t="s">
        <v>519</v>
      </c>
      <c r="J15" s="8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8" t="s">
        <v>289</v>
      </c>
      <c r="E16" s="8" t="s">
        <v>86</v>
      </c>
      <c r="F16" s="8" t="s">
        <v>532</v>
      </c>
      <c r="H16" s="8"/>
      <c r="I16" s="8" t="s">
        <v>522</v>
      </c>
      <c r="J16" s="8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525</v>
      </c>
      <c r="J17" s="8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8" t="s">
        <v>4</v>
      </c>
      <c r="E18" s="8" t="s">
        <v>8</v>
      </c>
      <c r="F18" s="8"/>
      <c r="H18" s="8" t="s">
        <v>2009</v>
      </c>
      <c r="I18" s="8" t="s">
        <v>2015</v>
      </c>
      <c r="J18" s="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8" t="s">
        <v>4</v>
      </c>
      <c r="E19" s="8" t="s">
        <v>8</v>
      </c>
      <c r="F19" s="8"/>
      <c r="H19" s="8" t="s">
        <v>2004</v>
      </c>
      <c r="I19" s="8" t="s">
        <v>2018</v>
      </c>
      <c r="J19" s="8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8" t="s">
        <v>4</v>
      </c>
      <c r="E20" s="8" t="s">
        <v>8</v>
      </c>
      <c r="F20" s="8"/>
      <c r="H20" s="8" t="s">
        <v>2004</v>
      </c>
      <c r="I20" s="8" t="s">
        <v>2021</v>
      </c>
      <c r="J20" s="8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8" t="s">
        <v>2004</v>
      </c>
      <c r="E21" s="8"/>
      <c r="F21" s="8"/>
      <c r="H21" s="8"/>
      <c r="I21" s="8" t="s">
        <v>2115</v>
      </c>
      <c r="J21" s="8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8" t="s">
        <v>4</v>
      </c>
      <c r="E22" s="8" t="s">
        <v>8</v>
      </c>
      <c r="F22" s="8"/>
      <c r="H22" s="8" t="s">
        <v>2932</v>
      </c>
      <c r="I22" s="8" t="s">
        <v>2934</v>
      </c>
      <c r="J22" s="8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8" t="s">
        <v>2004</v>
      </c>
      <c r="E23" s="8"/>
      <c r="F23" s="8"/>
      <c r="H23" s="8"/>
      <c r="I23" s="8" t="s">
        <v>2118</v>
      </c>
      <c r="J23" s="8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8" t="s">
        <v>2004</v>
      </c>
      <c r="E24" s="8"/>
      <c r="F24" s="8"/>
      <c r="H24" s="8"/>
      <c r="I24" s="8" t="s">
        <v>2121</v>
      </c>
      <c r="J24" s="8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8" t="s">
        <v>2004</v>
      </c>
      <c r="E25" s="8"/>
      <c r="F25" s="8"/>
      <c r="H25" s="8"/>
      <c r="I25" s="8" t="s">
        <v>2124</v>
      </c>
      <c r="J25" s="8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8" t="s">
        <v>2004</v>
      </c>
      <c r="E26" s="8"/>
      <c r="F26" s="8"/>
      <c r="H26" s="8"/>
      <c r="I26" s="8" t="s">
        <v>2127</v>
      </c>
      <c r="J26" s="8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8" t="s">
        <v>2004</v>
      </c>
      <c r="E27" s="8"/>
      <c r="F27" s="8"/>
      <c r="H27" s="8"/>
      <c r="I27" s="8" t="s">
        <v>2130</v>
      </c>
      <c r="J27" s="8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8" t="s">
        <v>4</v>
      </c>
      <c r="E28" s="8" t="s">
        <v>8</v>
      </c>
      <c r="F28" s="8"/>
      <c r="H28" s="8"/>
      <c r="I28" s="8" t="s">
        <v>3405</v>
      </c>
      <c r="J28" s="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8" t="s">
        <v>4</v>
      </c>
      <c r="E29" s="8" t="s">
        <v>8</v>
      </c>
      <c r="F29" s="8"/>
      <c r="H29" s="8"/>
      <c r="I29" s="8" t="s">
        <v>4206</v>
      </c>
      <c r="J29" s="8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8" t="s">
        <v>4</v>
      </c>
      <c r="E30" s="8" t="s">
        <v>8</v>
      </c>
      <c r="F30" s="8"/>
      <c r="H30" s="8"/>
      <c r="I30" s="8" t="s">
        <v>3408</v>
      </c>
      <c r="J30" s="8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8" t="s">
        <v>4209</v>
      </c>
      <c r="E31" s="8" t="s">
        <v>4210</v>
      </c>
      <c r="F31" s="8"/>
      <c r="H31" s="8"/>
      <c r="I31" s="8" t="s">
        <v>3411</v>
      </c>
      <c r="J31" s="8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8" t="s">
        <v>4209</v>
      </c>
      <c r="E32" s="8" t="s">
        <v>4210</v>
      </c>
      <c r="F32" s="8"/>
      <c r="H32" s="8" t="s">
        <v>2936</v>
      </c>
      <c r="I32" s="8" t="s">
        <v>3414</v>
      </c>
      <c r="J32" s="8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8" t="s">
        <v>4209</v>
      </c>
      <c r="E33" s="8" t="s">
        <v>4210</v>
      </c>
      <c r="F33" s="8"/>
      <c r="H33" s="8" t="s">
        <v>2936</v>
      </c>
      <c r="I33" s="8" t="s">
        <v>3417</v>
      </c>
      <c r="J33" s="8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8" t="s">
        <v>4209</v>
      </c>
      <c r="E34" s="8" t="s">
        <v>4210</v>
      </c>
      <c r="F34" s="8"/>
      <c r="H34" s="8" t="s">
        <v>2936</v>
      </c>
      <c r="I34" s="8" t="s">
        <v>3420</v>
      </c>
      <c r="J34" s="8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8" t="s">
        <v>4209</v>
      </c>
      <c r="E35" s="8" t="s">
        <v>4210</v>
      </c>
      <c r="F35" s="8"/>
      <c r="H35" s="8" t="s">
        <v>2936</v>
      </c>
      <c r="I35" s="8" t="s">
        <v>3423</v>
      </c>
      <c r="J35" s="8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8" t="s">
        <v>4209</v>
      </c>
      <c r="E36" s="8" t="s">
        <v>4210</v>
      </c>
      <c r="F36" s="8"/>
      <c r="H36" s="8" t="s">
        <v>2936</v>
      </c>
      <c r="I36" s="8" t="s">
        <v>3426</v>
      </c>
      <c r="J36" s="8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8" t="s">
        <v>4209</v>
      </c>
      <c r="E37" s="8" t="s">
        <v>4210</v>
      </c>
      <c r="F37" s="8"/>
      <c r="H37" s="8" t="s">
        <v>2936</v>
      </c>
      <c r="I37" s="8" t="s">
        <v>3429</v>
      </c>
      <c r="J37" s="8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8" t="s">
        <v>4209</v>
      </c>
      <c r="E38" s="8" t="s">
        <v>4210</v>
      </c>
      <c r="F38" s="8"/>
      <c r="H38" s="8" t="s">
        <v>2936</v>
      </c>
      <c r="I38" s="8" t="s">
        <v>3432</v>
      </c>
      <c r="J38" s="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8" t="s">
        <v>4209</v>
      </c>
      <c r="E39" s="8" t="s">
        <v>4210</v>
      </c>
      <c r="F39" s="8"/>
      <c r="H39" s="8" t="s">
        <v>2936</v>
      </c>
      <c r="I39" s="8" t="s">
        <v>3435</v>
      </c>
      <c r="J39" s="8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8" t="s">
        <v>4209</v>
      </c>
      <c r="E40" s="8" t="s">
        <v>4210</v>
      </c>
      <c r="F40" s="8"/>
      <c r="H40" s="8" t="s">
        <v>2936</v>
      </c>
      <c r="I40" s="8" t="s">
        <v>3438</v>
      </c>
      <c r="J40" s="8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8" t="s">
        <v>4209</v>
      </c>
      <c r="E41" s="8" t="s">
        <v>4210</v>
      </c>
      <c r="F41" s="8"/>
      <c r="H41" s="8" t="s">
        <v>2936</v>
      </c>
      <c r="I41" s="8" t="s">
        <v>3441</v>
      </c>
      <c r="J41" s="8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8" t="s">
        <v>4209</v>
      </c>
      <c r="E42" s="8" t="s">
        <v>4210</v>
      </c>
      <c r="F42" s="8"/>
      <c r="H42" s="8" t="s">
        <v>2936</v>
      </c>
      <c r="I42" s="8" t="s">
        <v>3444</v>
      </c>
      <c r="J42" s="8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8" t="s">
        <v>4</v>
      </c>
      <c r="E43" s="8" t="s">
        <v>8</v>
      </c>
      <c r="F43" s="8"/>
      <c r="H43" s="8"/>
      <c r="I43" s="8" t="s">
        <v>3447</v>
      </c>
      <c r="J43" s="8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8" t="s">
        <v>289</v>
      </c>
      <c r="E44" s="8" t="s">
        <v>4211</v>
      </c>
      <c r="F44" s="8"/>
      <c r="H44" s="8"/>
      <c r="I44" s="8" t="s">
        <v>3450</v>
      </c>
      <c r="J44" s="8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8" t="s">
        <v>289</v>
      </c>
      <c r="E45" s="8" t="s">
        <v>4211</v>
      </c>
      <c r="F45" s="8"/>
      <c r="H45" s="8" t="s">
        <v>2936</v>
      </c>
      <c r="I45" s="8" t="s">
        <v>3453</v>
      </c>
      <c r="J45" s="8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8" t="s">
        <v>289</v>
      </c>
      <c r="E46" s="8" t="s">
        <v>4211</v>
      </c>
      <c r="F46" s="8"/>
      <c r="H46" s="8" t="s">
        <v>2936</v>
      </c>
      <c r="I46" s="8" t="s">
        <v>3456</v>
      </c>
      <c r="J46" s="8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8" t="s">
        <v>289</v>
      </c>
      <c r="E47" s="8" t="s">
        <v>4211</v>
      </c>
      <c r="F47" s="8"/>
      <c r="H47" s="8" t="s">
        <v>2936</v>
      </c>
      <c r="I47" s="8" t="s">
        <v>3459</v>
      </c>
      <c r="J47" s="8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8" t="s">
        <v>289</v>
      </c>
      <c r="E48" s="8" t="s">
        <v>4211</v>
      </c>
      <c r="F48" s="8"/>
      <c r="H48" s="8" t="s">
        <v>2936</v>
      </c>
      <c r="I48" s="8" t="s">
        <v>3462</v>
      </c>
      <c r="J48" s="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8" t="s">
        <v>4</v>
      </c>
      <c r="E49" s="8" t="s">
        <v>8</v>
      </c>
      <c r="F49" s="8"/>
      <c r="H49" s="8"/>
      <c r="I49" s="8" t="s">
        <v>3465</v>
      </c>
      <c r="J49" s="8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8" t="s">
        <v>2004</v>
      </c>
      <c r="E50" s="8"/>
      <c r="F50" s="8"/>
      <c r="H50" s="8"/>
      <c r="I50" s="8" t="s">
        <v>4273</v>
      </c>
      <c r="J50" s="8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8" t="s">
        <v>1615</v>
      </c>
      <c r="E51" s="8" t="s">
        <v>86</v>
      </c>
      <c r="F51" s="8" t="s">
        <v>200</v>
      </c>
      <c r="H51" s="8"/>
      <c r="I51" s="8" t="s">
        <v>5110</v>
      </c>
      <c r="J51" s="8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8" t="s">
        <v>1094</v>
      </c>
      <c r="E52" s="8" t="s">
        <v>4247</v>
      </c>
      <c r="F52" s="8" t="s">
        <v>60</v>
      </c>
      <c r="H52" s="8"/>
      <c r="I52" s="8" t="s">
        <v>5112</v>
      </c>
      <c r="J52" s="8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8" t="s">
        <v>533</v>
      </c>
      <c r="E53" s="8" t="s">
        <v>1607</v>
      </c>
      <c r="F53" s="8" t="s">
        <v>58</v>
      </c>
      <c r="H53" s="8"/>
      <c r="I53" s="8" t="s">
        <v>5114</v>
      </c>
      <c r="J53" s="8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8" t="s">
        <v>1615</v>
      </c>
      <c r="E54" s="8" t="s">
        <v>86</v>
      </c>
      <c r="F54" s="8" t="s">
        <v>200</v>
      </c>
      <c r="H54" s="8"/>
      <c r="I54" s="8" t="s">
        <v>4576</v>
      </c>
      <c r="J54" s="8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8" t="s">
        <v>1094</v>
      </c>
      <c r="E55" s="8" t="s">
        <v>4247</v>
      </c>
      <c r="F55" s="8" t="s">
        <v>200</v>
      </c>
      <c r="H55" s="8"/>
      <c r="I55" s="8" t="s">
        <v>4579</v>
      </c>
      <c r="J55" s="8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8" t="s">
        <v>1094</v>
      </c>
      <c r="E56" s="8" t="s">
        <v>4247</v>
      </c>
      <c r="F56" s="8" t="s">
        <v>200</v>
      </c>
      <c r="H56" s="8"/>
      <c r="I56" s="8" t="s">
        <v>4582</v>
      </c>
      <c r="J56" s="8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8" t="s">
        <v>5109</v>
      </c>
      <c r="E57" s="8" t="s">
        <v>86</v>
      </c>
      <c r="F57" s="8"/>
      <c r="H57" s="8"/>
      <c r="I57" s="8" t="s">
        <v>4585</v>
      </c>
      <c r="J57" s="8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8" t="s">
        <v>4</v>
      </c>
      <c r="E58" s="8" t="s">
        <v>8</v>
      </c>
      <c r="F58" s="8"/>
      <c r="H58" s="8"/>
      <c r="I58" s="8" t="s">
        <v>4588</v>
      </c>
      <c r="J58" s="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8" t="s">
        <v>5109</v>
      </c>
      <c r="E59" s="8" t="s">
        <v>86</v>
      </c>
      <c r="F59" s="8"/>
      <c r="H59" s="8"/>
      <c r="I59" s="8" t="s">
        <v>4591</v>
      </c>
      <c r="J59" s="8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8" t="s">
        <v>5109</v>
      </c>
      <c r="E60" s="8" t="s">
        <v>86</v>
      </c>
      <c r="F60" s="8"/>
      <c r="H60" s="8"/>
      <c r="I60" s="8" t="s">
        <v>4594</v>
      </c>
      <c r="J60" s="8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8" t="s">
        <v>2004</v>
      </c>
      <c r="E61" s="8" t="s">
        <v>8</v>
      </c>
      <c r="F61" s="8"/>
      <c r="H61" s="8"/>
      <c r="I61" s="8" t="s">
        <v>4597</v>
      </c>
      <c r="J61" s="8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8" t="s">
        <v>2004</v>
      </c>
      <c r="E62" s="8" t="s">
        <v>8</v>
      </c>
      <c r="F62" s="8"/>
      <c r="H62" s="8"/>
      <c r="I62" s="8" t="s">
        <v>5175</v>
      </c>
      <c r="J62" s="8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8" t="s">
        <v>4</v>
      </c>
      <c r="E63" s="8" t="s">
        <v>8</v>
      </c>
      <c r="F63" s="8"/>
      <c r="H63" s="8"/>
      <c r="I63" s="8" t="s">
        <v>5310</v>
      </c>
      <c r="J63" s="8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8" t="s">
        <v>2004</v>
      </c>
      <c r="E64" s="8" t="s">
        <v>8</v>
      </c>
      <c r="F64" s="8"/>
      <c r="H64" s="8"/>
      <c r="I64" s="8" t="s">
        <v>5313</v>
      </c>
      <c r="J64" s="8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8" t="s">
        <v>2004</v>
      </c>
      <c r="E65" s="8" t="s">
        <v>8</v>
      </c>
      <c r="F65" s="8"/>
      <c r="H65" s="8"/>
      <c r="I65" s="8" t="s">
        <v>5539</v>
      </c>
      <c r="J65" s="8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8" t="s">
        <v>2004</v>
      </c>
      <c r="E66" s="8" t="s">
        <v>8</v>
      </c>
      <c r="F66" s="8"/>
      <c r="H66" s="8"/>
      <c r="I66" s="8" t="s">
        <v>5542</v>
      </c>
      <c r="J66" s="8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8" t="s">
        <v>2004</v>
      </c>
      <c r="E67" s="8" t="s">
        <v>8</v>
      </c>
      <c r="F67" s="8"/>
      <c r="H67" s="8"/>
      <c r="I67" s="8" t="s">
        <v>5545</v>
      </c>
      <c r="J67" s="8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8" t="s">
        <v>1615</v>
      </c>
      <c r="E68" s="8" t="s">
        <v>86</v>
      </c>
      <c r="F68" s="8" t="s">
        <v>200</v>
      </c>
      <c r="H68" s="8"/>
      <c r="I68" s="8" t="s">
        <v>5867</v>
      </c>
      <c r="J68" s="8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8" t="s">
        <v>1615</v>
      </c>
      <c r="E69" s="8" t="s">
        <v>86</v>
      </c>
      <c r="F69" s="8" t="s">
        <v>200</v>
      </c>
      <c r="H69" s="8"/>
      <c r="I69" s="8" t="s">
        <v>5870</v>
      </c>
      <c r="J69" s="8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8" t="s">
        <v>1615</v>
      </c>
      <c r="E70" s="8" t="s">
        <v>86</v>
      </c>
      <c r="F70" s="8" t="s">
        <v>200</v>
      </c>
      <c r="H70" s="8"/>
      <c r="I70" s="8" t="s">
        <v>5873</v>
      </c>
      <c r="J70" s="8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8" t="s">
        <v>2004</v>
      </c>
      <c r="E71" s="8" t="s">
        <v>8</v>
      </c>
      <c r="F71" s="8"/>
      <c r="H71" s="8"/>
      <c r="I71" s="8" t="s">
        <v>6077</v>
      </c>
      <c r="J71" s="8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8" t="s">
        <v>2004</v>
      </c>
      <c r="E72" s="8" t="s">
        <v>8</v>
      </c>
      <c r="F72" s="8"/>
      <c r="H72" s="8"/>
      <c r="I72" s="8" t="s">
        <v>6207</v>
      </c>
      <c r="J72" s="8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s="8" t="s">
        <v>2004</v>
      </c>
      <c r="E73" s="8" t="s">
        <v>8</v>
      </c>
      <c r="F73" s="8"/>
      <c r="H73" s="8"/>
      <c r="I73" s="8" t="s">
        <v>6326</v>
      </c>
      <c r="J73" s="8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s="8" t="s">
        <v>2004</v>
      </c>
      <c r="E74" s="8" t="s">
        <v>8</v>
      </c>
      <c r="F74" s="8"/>
      <c r="H74" s="8"/>
      <c r="I74" s="8" t="s">
        <v>6566</v>
      </c>
      <c r="J74" s="8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s="8" t="s">
        <v>2004</v>
      </c>
      <c r="E75" s="8" t="s">
        <v>8</v>
      </c>
      <c r="F75" s="8"/>
      <c r="H75" s="8"/>
      <c r="I75" s="8" t="s">
        <v>6715</v>
      </c>
      <c r="J75" s="8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s="8" t="s">
        <v>2004</v>
      </c>
      <c r="E76" s="8" t="s">
        <v>8</v>
      </c>
      <c r="F76" s="8"/>
      <c r="H76" s="8"/>
      <c r="I76" s="8" t="s">
        <v>6917</v>
      </c>
      <c r="J76" s="8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s="8" t="s">
        <v>2004</v>
      </c>
      <c r="E77" s="8" t="s">
        <v>8</v>
      </c>
      <c r="F77" s="8"/>
      <c r="H77" s="8"/>
      <c r="I77" s="8" t="s">
        <v>6920</v>
      </c>
      <c r="J77" s="8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s="8" t="s">
        <v>2004</v>
      </c>
      <c r="E78" s="8" t="s">
        <v>8</v>
      </c>
      <c r="F78" s="8"/>
      <c r="H78" s="8"/>
      <c r="I78" s="8" t="s">
        <v>6923</v>
      </c>
      <c r="J78" s="8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s="8" t="s">
        <v>2004</v>
      </c>
      <c r="E79" s="8" t="s">
        <v>8</v>
      </c>
      <c r="F79" s="8"/>
      <c r="H79" s="8"/>
      <c r="I79" s="8" t="s">
        <v>7187</v>
      </c>
      <c r="J79" s="8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s="8" t="s">
        <v>2004</v>
      </c>
      <c r="E80" s="8" t="s">
        <v>8</v>
      </c>
      <c r="F80" s="8"/>
      <c r="H80" s="8"/>
      <c r="I80" s="8" t="s">
        <v>7254</v>
      </c>
      <c r="J80" s="8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s="8" t="s">
        <v>2004</v>
      </c>
      <c r="E81" s="8" t="s">
        <v>8</v>
      </c>
      <c r="F81" s="8"/>
      <c r="H81" s="8"/>
      <c r="I81" s="8" t="s">
        <v>7257</v>
      </c>
      <c r="J81" s="8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s="8" t="s">
        <v>2004</v>
      </c>
      <c r="E82" s="8" t="s">
        <v>8</v>
      </c>
      <c r="F82" s="8"/>
      <c r="H82" s="8"/>
      <c r="I82" s="8" t="s">
        <v>7694</v>
      </c>
      <c r="J82" s="8" t="s">
        <v>2983</v>
      </c>
      <c r="K82" t="s">
        <v>7695</v>
      </c>
      <c r="L82" t="s">
        <v>7696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s="8" t="s">
        <v>2004</v>
      </c>
      <c r="E83" s="8" t="s">
        <v>8</v>
      </c>
      <c r="F83" s="8"/>
      <c r="H83" s="8"/>
      <c r="I83" s="8" t="s">
        <v>7697</v>
      </c>
      <c r="J83" s="8" t="s">
        <v>2983</v>
      </c>
      <c r="K83" t="s">
        <v>7698</v>
      </c>
      <c r="L83" t="s">
        <v>7699</v>
      </c>
      <c r="M83" s="3" t="str">
        <f>HYPERLINK(склад2въезд131920[[#This Row],[RelativePath]])</f>
        <v>6 Площадка 1 общага\826398429_1_20251225T171511Z.jpg</v>
      </c>
    </row>
    <row r="84" spans="1:13" x14ac:dyDescent="0.25">
      <c r="A84" s="2" t="s">
        <v>17</v>
      </c>
      <c r="B84" s="4">
        <v>46017</v>
      </c>
      <c r="C84" s="5">
        <v>0.42701388888888892</v>
      </c>
      <c r="D84" s="8" t="s">
        <v>290</v>
      </c>
      <c r="E84" s="8" t="s">
        <v>86</v>
      </c>
      <c r="F84" s="8" t="s">
        <v>60</v>
      </c>
      <c r="H84" s="8" t="s">
        <v>5104</v>
      </c>
      <c r="I84" s="8" t="s">
        <v>7855</v>
      </c>
      <c r="J84" s="8" t="s">
        <v>2983</v>
      </c>
      <c r="K84" t="s">
        <v>7856</v>
      </c>
      <c r="L84" t="s">
        <v>7857</v>
      </c>
      <c r="M84" s="3" t="str">
        <f>HYPERLINK(склад2въезд131920[[#This Row],[RelativePath]])</f>
        <v>6 Площадка 1 общага\826398429_1_20251226T101454Z.jpg</v>
      </c>
    </row>
    <row r="85" spans="1:13" x14ac:dyDescent="0.25">
      <c r="A85" s="2" t="s">
        <v>17</v>
      </c>
      <c r="B85" s="4">
        <v>46017</v>
      </c>
      <c r="C85" s="5">
        <v>0.43680555555555556</v>
      </c>
      <c r="D85" s="8" t="s">
        <v>290</v>
      </c>
      <c r="E85" s="8" t="s">
        <v>86</v>
      </c>
      <c r="F85" s="8" t="s">
        <v>60</v>
      </c>
      <c r="H85" s="8" t="s">
        <v>2936</v>
      </c>
      <c r="I85" s="8" t="s">
        <v>7858</v>
      </c>
      <c r="J85" s="8" t="s">
        <v>2983</v>
      </c>
      <c r="K85" t="s">
        <v>7859</v>
      </c>
      <c r="L85" t="s">
        <v>7860</v>
      </c>
      <c r="M85" s="3" t="str">
        <f>HYPERLINK(склад2въезд131920[[#This Row],[RelativePath]])</f>
        <v>6 Площадка 1 общага\826398429_1_20251226T102900Z.jpg</v>
      </c>
    </row>
    <row r="86" spans="1:13" x14ac:dyDescent="0.25">
      <c r="A86" s="2" t="s">
        <v>17</v>
      </c>
      <c r="B86" s="4">
        <v>46017</v>
      </c>
      <c r="C86" s="5">
        <v>0.46421296296296294</v>
      </c>
      <c r="D86" s="8" t="s">
        <v>290</v>
      </c>
      <c r="E86" s="8" t="s">
        <v>86</v>
      </c>
      <c r="F86" s="8" t="s">
        <v>60</v>
      </c>
      <c r="H86" s="8" t="s">
        <v>2936</v>
      </c>
      <c r="I86" s="8" t="s">
        <v>7861</v>
      </c>
      <c r="J86" s="8" t="s">
        <v>2983</v>
      </c>
      <c r="K86" t="s">
        <v>7862</v>
      </c>
      <c r="L86" t="s">
        <v>7863</v>
      </c>
      <c r="M86" s="3" t="str">
        <f>HYPERLINK(склад2въезд131920[[#This Row],[RelativePath]])</f>
        <v>6 Площадка 1 общага\826398429_1_20251226T110828Z.jpg</v>
      </c>
    </row>
    <row r="87" spans="1:13" x14ac:dyDescent="0.25">
      <c r="A87" s="2" t="s">
        <v>18</v>
      </c>
      <c r="B87" s="4">
        <v>46018</v>
      </c>
      <c r="C87" s="5">
        <v>0.73623842592592592</v>
      </c>
      <c r="D87" s="8" t="s">
        <v>2004</v>
      </c>
      <c r="E87" s="8" t="s">
        <v>8</v>
      </c>
      <c r="F87" s="8"/>
      <c r="H87" s="8"/>
      <c r="I87" s="8" t="s">
        <v>8016</v>
      </c>
      <c r="J87" s="8" t="s">
        <v>2983</v>
      </c>
      <c r="K87" t="s">
        <v>8017</v>
      </c>
      <c r="L87" t="s">
        <v>8018</v>
      </c>
      <c r="M87" s="3" t="str">
        <f>HYPERLINK(склад2въезд131920[[#This Row],[RelativePath]])</f>
        <v>6 Площадка 1 общага\826398429_1_20251227T174011Z.jpg</v>
      </c>
    </row>
    <row r="88" spans="1:13" x14ac:dyDescent="0.25">
      <c r="A88" s="2" t="s">
        <v>22</v>
      </c>
      <c r="B88" s="4">
        <v>46019</v>
      </c>
      <c r="C88" s="5">
        <v>0.84684027777777782</v>
      </c>
      <c r="D88" s="8" t="s">
        <v>2004</v>
      </c>
      <c r="E88" s="8" t="s">
        <v>8</v>
      </c>
      <c r="F88" s="8"/>
      <c r="H88" s="8"/>
      <c r="I88" s="8" t="s">
        <v>8019</v>
      </c>
      <c r="J88" s="8" t="s">
        <v>2983</v>
      </c>
      <c r="K88" t="s">
        <v>8020</v>
      </c>
      <c r="L88" t="s">
        <v>8021</v>
      </c>
      <c r="M88" s="3" t="str">
        <f>HYPERLINK(склад2въезд131920[[#This Row],[RelativePath]])</f>
        <v>6 Площадка 1 общага\826398429_1_20251228T201927Z.jpg</v>
      </c>
    </row>
    <row r="89" spans="1:13" x14ac:dyDescent="0.25">
      <c r="A89" s="2" t="s">
        <v>13</v>
      </c>
      <c r="B89" s="4">
        <v>46020</v>
      </c>
      <c r="C89" s="5">
        <v>0.75085648148148143</v>
      </c>
      <c r="D89" s="8" t="s">
        <v>2004</v>
      </c>
      <c r="E89" s="8" t="s">
        <v>8</v>
      </c>
      <c r="F89" s="8"/>
      <c r="H89" s="8"/>
      <c r="I89" s="8" t="s">
        <v>8303</v>
      </c>
      <c r="J89" s="8" t="s">
        <v>2983</v>
      </c>
      <c r="K89" t="s">
        <v>8304</v>
      </c>
      <c r="L89" t="s">
        <v>8305</v>
      </c>
      <c r="M89" s="3" t="str">
        <f>HYPERLINK(склад2въезд131920[[#This Row],[RelativePath]])</f>
        <v>6 Площадка 1 общага\826398429_1_20251229T180114Z.jpg</v>
      </c>
    </row>
    <row r="90" spans="1:13" x14ac:dyDescent="0.25">
      <c r="A90" s="2" t="s">
        <v>14</v>
      </c>
      <c r="B90" s="4">
        <v>46021</v>
      </c>
      <c r="C90" s="5">
        <v>0.74648148148148152</v>
      </c>
      <c r="D90" s="8" t="s">
        <v>2004</v>
      </c>
      <c r="E90" s="8" t="s">
        <v>8</v>
      </c>
      <c r="F90" s="8"/>
      <c r="H90" s="8"/>
      <c r="I90" s="8" t="s">
        <v>8306</v>
      </c>
      <c r="J90" s="8" t="s">
        <v>2983</v>
      </c>
      <c r="K90" t="s">
        <v>8307</v>
      </c>
      <c r="L90" t="s">
        <v>8308</v>
      </c>
      <c r="M90" s="3" t="str">
        <f>HYPERLINK(склад2въезд131920[[#This Row],[RelativePath]])</f>
        <v>6 Площадка 1 общага\826398429_1_20251230T175456Z.jpg</v>
      </c>
    </row>
    <row r="91" spans="1:13" x14ac:dyDescent="0.25">
      <c r="A91" s="2" t="s">
        <v>15</v>
      </c>
      <c r="B91" s="4">
        <v>46022</v>
      </c>
      <c r="C91" s="5">
        <v>0.7459027777777778</v>
      </c>
      <c r="D91" s="8" t="s">
        <v>2004</v>
      </c>
      <c r="E91" s="8" t="s">
        <v>8</v>
      </c>
      <c r="F91" s="8"/>
      <c r="H91" s="8"/>
      <c r="I91" s="8" t="s">
        <v>8309</v>
      </c>
      <c r="J91" s="8" t="s">
        <v>2983</v>
      </c>
      <c r="K91" t="s">
        <v>8310</v>
      </c>
      <c r="L91" t="s">
        <v>8311</v>
      </c>
      <c r="M91" s="3" t="str">
        <f>HYPERLINK(склад2въезд131920[[#This Row],[RelativePath]])</f>
        <v>6 Площадка 1 общага\826398429_1_20251231T175406Z.jpg</v>
      </c>
    </row>
    <row r="92" spans="1:13" x14ac:dyDescent="0.25">
      <c r="A92" s="2" t="s">
        <v>16</v>
      </c>
      <c r="B92" s="4">
        <v>46023</v>
      </c>
      <c r="C92" s="5">
        <v>0.74651620370370375</v>
      </c>
      <c r="D92" s="8" t="s">
        <v>2004</v>
      </c>
      <c r="E92" s="8" t="s">
        <v>8</v>
      </c>
      <c r="F92" s="8"/>
      <c r="H92" s="8"/>
      <c r="I92" s="8" t="s">
        <v>8312</v>
      </c>
      <c r="J92" s="8" t="s">
        <v>2983</v>
      </c>
      <c r="K92" t="s">
        <v>8313</v>
      </c>
      <c r="L92" t="s">
        <v>8314</v>
      </c>
      <c r="M92" s="3" t="str">
        <f>HYPERLINK(склад2въезд131920[[#This Row],[RelativePath]])</f>
        <v>6 Площадка 1 общага\826398429_1_20260101T175459Z.jpg</v>
      </c>
    </row>
    <row r="93" spans="1:13" x14ac:dyDescent="0.25">
      <c r="A93" s="2" t="s">
        <v>17</v>
      </c>
      <c r="B93" s="4">
        <v>46024</v>
      </c>
      <c r="C93" s="5">
        <v>0.74740740740740741</v>
      </c>
      <c r="D93" s="8" t="s">
        <v>2004</v>
      </c>
      <c r="E93" s="8" t="s">
        <v>8</v>
      </c>
      <c r="F93" s="8"/>
      <c r="H93" s="8"/>
      <c r="I93" s="8" t="s">
        <v>8393</v>
      </c>
      <c r="J93" s="8" t="s">
        <v>2983</v>
      </c>
      <c r="K93" t="s">
        <v>8394</v>
      </c>
      <c r="L93" t="s">
        <v>8395</v>
      </c>
      <c r="M93" s="3" t="str">
        <f>HYPERLINK(склад2въезд131920[[#This Row],[RelativePath]])</f>
        <v>6 Площадка 1 общага\826398429_1_20260102T175616Z.jpg</v>
      </c>
    </row>
    <row r="94" spans="1:13" x14ac:dyDescent="0.25">
      <c r="A94" s="2" t="s">
        <v>18</v>
      </c>
      <c r="B94" s="4">
        <v>46025</v>
      </c>
      <c r="C94" s="5">
        <v>0.67440972222222217</v>
      </c>
      <c r="D94" s="8" t="s">
        <v>2004</v>
      </c>
      <c r="E94" s="8" t="s">
        <v>8</v>
      </c>
      <c r="F94" s="8"/>
      <c r="H94" s="8"/>
      <c r="I94" s="8" t="s">
        <v>8396</v>
      </c>
      <c r="J94" s="8" t="s">
        <v>2983</v>
      </c>
      <c r="K94" t="s">
        <v>8397</v>
      </c>
      <c r="L94" t="s">
        <v>8398</v>
      </c>
      <c r="M94" s="3" t="str">
        <f>HYPERLINK(склад2въезд131920[[#This Row],[RelativePath]])</f>
        <v>6 Площадка 1 общага\826398429_1_20260103T161109Z.jpg</v>
      </c>
    </row>
    <row r="95" spans="1:13" x14ac:dyDescent="0.25">
      <c r="A95" s="2" t="s">
        <v>22</v>
      </c>
      <c r="B95" s="4">
        <v>46026</v>
      </c>
      <c r="C95" s="5">
        <v>0.74752314814814813</v>
      </c>
      <c r="D95" s="8" t="s">
        <v>2004</v>
      </c>
      <c r="E95" s="8" t="s">
        <v>8</v>
      </c>
      <c r="F95" s="8"/>
      <c r="H95" s="8"/>
      <c r="I95" s="8" t="s">
        <v>8399</v>
      </c>
      <c r="J95" s="8" t="s">
        <v>2983</v>
      </c>
      <c r="K95" t="s">
        <v>8400</v>
      </c>
      <c r="L95" t="s">
        <v>8401</v>
      </c>
      <c r="M95" s="3" t="str">
        <f>HYPERLINK(склад2въезд131920[[#This Row],[RelativePath]])</f>
        <v>6 Площадка 1 общага\826398429_1_20260104T175626Z.jpg</v>
      </c>
    </row>
    <row r="96" spans="1:13" x14ac:dyDescent="0.25">
      <c r="A96" s="2" t="s">
        <v>13</v>
      </c>
      <c r="B96" s="4">
        <v>46027</v>
      </c>
      <c r="C96" s="5">
        <v>0.68761574074074072</v>
      </c>
      <c r="D96" s="8" t="s">
        <v>2004</v>
      </c>
      <c r="E96" s="8" t="s">
        <v>8</v>
      </c>
      <c r="F96" s="8"/>
      <c r="H96" s="8"/>
      <c r="I96" s="8" t="s">
        <v>8577</v>
      </c>
      <c r="J96" s="8" t="s">
        <v>2983</v>
      </c>
      <c r="K96" t="s">
        <v>8578</v>
      </c>
      <c r="L96" t="s">
        <v>8579</v>
      </c>
      <c r="M96" s="3" t="str">
        <f>HYPERLINK(склад2въезд131920[[#This Row],[RelativePath]])</f>
        <v>6 Площадка 1 общага\826398429_1_20260105T163010Z.jpg</v>
      </c>
    </row>
    <row r="97" spans="1:13" x14ac:dyDescent="0.25">
      <c r="A97" s="2" t="s">
        <v>14</v>
      </c>
      <c r="B97" s="4">
        <v>46028</v>
      </c>
      <c r="C97" s="5">
        <v>0.7259606481481482</v>
      </c>
      <c r="D97" s="8" t="s">
        <v>2004</v>
      </c>
      <c r="E97" s="8" t="s">
        <v>8</v>
      </c>
      <c r="F97" s="8"/>
      <c r="H97" s="8"/>
      <c r="I97" s="8" t="s">
        <v>8580</v>
      </c>
      <c r="J97" s="8" t="s">
        <v>2983</v>
      </c>
      <c r="K97" t="s">
        <v>8581</v>
      </c>
      <c r="L97" t="s">
        <v>8582</v>
      </c>
      <c r="M97" s="3" t="str">
        <f>HYPERLINK(склад2въезд131920[[#This Row],[RelativePath]])</f>
        <v>6 Площадка 1 общага\826398429_1_20260106T172523Z.jpg</v>
      </c>
    </row>
    <row r="98" spans="1:13" x14ac:dyDescent="0.25">
      <c r="A98" s="2" t="s">
        <v>15</v>
      </c>
      <c r="B98" s="4">
        <v>46029</v>
      </c>
      <c r="C98" s="5">
        <v>0.75358796296296293</v>
      </c>
      <c r="D98" s="8" t="s">
        <v>2004</v>
      </c>
      <c r="E98" s="8" t="s">
        <v>8</v>
      </c>
      <c r="F98" s="8"/>
      <c r="H98" s="8"/>
      <c r="I98" s="8" t="s">
        <v>8583</v>
      </c>
      <c r="J98" s="8" t="s">
        <v>2983</v>
      </c>
      <c r="K98" t="s">
        <v>8584</v>
      </c>
      <c r="L98" t="s">
        <v>8585</v>
      </c>
      <c r="M98" s="3" t="str">
        <f>HYPERLINK(склад2въезд131920[[#This Row],[RelativePath]])</f>
        <v>6 Площадка 1 общага\826398429_1_20260107T180510Z.jpg</v>
      </c>
    </row>
    <row r="99" spans="1:13" x14ac:dyDescent="0.25">
      <c r="A99" s="2" t="s">
        <v>16</v>
      </c>
      <c r="B99" s="4">
        <v>46030</v>
      </c>
      <c r="C99" s="5">
        <v>0.74864583333333334</v>
      </c>
      <c r="D99" s="8" t="s">
        <v>2004</v>
      </c>
      <c r="E99" s="8" t="s">
        <v>8</v>
      </c>
      <c r="F99" s="8"/>
      <c r="H99" s="8"/>
      <c r="I99" s="8" t="s">
        <v>8586</v>
      </c>
      <c r="J99" s="8" t="s">
        <v>2983</v>
      </c>
      <c r="K99" t="s">
        <v>8587</v>
      </c>
      <c r="L99" t="s">
        <v>8588</v>
      </c>
      <c r="M99" s="3" t="str">
        <f>HYPERLINK(склад2въезд131920[[#This Row],[RelativePath]])</f>
        <v>6 Площадка 1 общага\826398429_1_20260108T175803Z.jpg</v>
      </c>
    </row>
    <row r="100" spans="1:13" x14ac:dyDescent="0.25">
      <c r="A100" s="2" t="s">
        <v>17</v>
      </c>
      <c r="B100" s="4">
        <v>46031</v>
      </c>
      <c r="C100" s="5">
        <v>0.75556712962962957</v>
      </c>
      <c r="D100" s="8" t="s">
        <v>2004</v>
      </c>
      <c r="E100" s="8" t="s">
        <v>8</v>
      </c>
      <c r="F100" s="8"/>
      <c r="H100" s="8"/>
      <c r="I100" s="8" t="s">
        <v>8589</v>
      </c>
      <c r="J100" s="8" t="s">
        <v>2983</v>
      </c>
      <c r="K100" t="s">
        <v>8590</v>
      </c>
      <c r="L100" t="s">
        <v>8591</v>
      </c>
      <c r="M100" s="3" t="str">
        <f>HYPERLINK(склад2въезд131920[[#This Row],[RelativePath]])</f>
        <v>6 Площадка 1 общага\826398429_1_20260109T180801Z.jpg</v>
      </c>
    </row>
    <row r="101" spans="1:13" x14ac:dyDescent="0.25">
      <c r="A101" s="2" t="s">
        <v>18</v>
      </c>
      <c r="B101" s="4">
        <v>46032</v>
      </c>
      <c r="C101" s="5">
        <v>0.55688657407407405</v>
      </c>
      <c r="D101" s="8" t="s">
        <v>2004</v>
      </c>
      <c r="E101" s="8" t="s">
        <v>8</v>
      </c>
      <c r="F101" s="8"/>
      <c r="H101" s="8"/>
      <c r="I101" s="8" t="s">
        <v>8592</v>
      </c>
      <c r="J101" s="8" t="s">
        <v>2983</v>
      </c>
      <c r="K101" t="s">
        <v>8593</v>
      </c>
      <c r="L101" t="s">
        <v>8594</v>
      </c>
      <c r="M101" s="3" t="str">
        <f>HYPERLINK(склад2въезд131920[[#This Row],[RelativePath]])</f>
        <v>6 Площадка 1 общага\826398429_1_20260110T132155Z.jpg</v>
      </c>
    </row>
    <row r="102" spans="1:13" x14ac:dyDescent="0.25">
      <c r="A102" s="2" t="s">
        <v>22</v>
      </c>
      <c r="B102" s="4">
        <v>46033</v>
      </c>
      <c r="C102" s="5">
        <v>0.75489583333333332</v>
      </c>
      <c r="D102" s="8" t="s">
        <v>2004</v>
      </c>
      <c r="E102" s="8" t="s">
        <v>8</v>
      </c>
      <c r="F102" s="8"/>
      <c r="H102" s="8"/>
      <c r="I102" s="8" t="s">
        <v>8595</v>
      </c>
      <c r="J102" s="8" t="s">
        <v>2983</v>
      </c>
      <c r="K102" t="s">
        <v>8596</v>
      </c>
      <c r="L102" t="s">
        <v>8597</v>
      </c>
      <c r="M102" s="3" t="str">
        <f>HYPERLINK(склад2въезд131920[[#This Row],[RelativePath]])</f>
        <v>6 Площадка 1 общага\826398429_1_20260111T180703Z.jpg</v>
      </c>
    </row>
    <row r="103" spans="1:13" x14ac:dyDescent="0.25">
      <c r="A103" s="2" t="s">
        <v>13</v>
      </c>
      <c r="B103" s="4">
        <v>46034</v>
      </c>
      <c r="C103" s="5">
        <v>0.45675925925925925</v>
      </c>
      <c r="D103" s="8" t="s">
        <v>9191</v>
      </c>
      <c r="E103" s="8" t="s">
        <v>5480</v>
      </c>
      <c r="F103" s="8" t="s">
        <v>9190</v>
      </c>
      <c r="H103" s="8"/>
      <c r="I103" s="8" t="s">
        <v>8994</v>
      </c>
      <c r="J103" s="8" t="s">
        <v>2983</v>
      </c>
      <c r="K103" t="s">
        <v>8995</v>
      </c>
      <c r="L103" t="s">
        <v>8996</v>
      </c>
      <c r="M103" s="3" t="str">
        <f>HYPERLINK(склад2въезд131920[[#This Row],[RelativePath]])</f>
        <v>6 Площадка 1 общага\826398429_1_20260112T105744Z.jpg</v>
      </c>
    </row>
    <row r="104" spans="1:13" x14ac:dyDescent="0.25">
      <c r="A104" s="2" t="s">
        <v>14</v>
      </c>
      <c r="B104" s="4">
        <v>46035</v>
      </c>
      <c r="C104" s="5">
        <v>0.75629629629629624</v>
      </c>
      <c r="D104" s="8" t="s">
        <v>2004</v>
      </c>
      <c r="E104" s="8" t="s">
        <v>8</v>
      </c>
      <c r="F104" s="8"/>
      <c r="H104" s="8"/>
      <c r="I104" s="8" t="s">
        <v>8997</v>
      </c>
      <c r="J104" s="8" t="s">
        <v>2983</v>
      </c>
      <c r="K104" t="s">
        <v>8998</v>
      </c>
      <c r="L104" t="s">
        <v>8999</v>
      </c>
      <c r="M104" s="3" t="str">
        <f>HYPERLINK(склад2въезд131920[[#This Row],[RelativePath]])</f>
        <v>6 Площадка 1 общага\826398429_1_20260113T180904Z.jpg</v>
      </c>
    </row>
    <row r="105" spans="1:13" x14ac:dyDescent="0.25">
      <c r="A105" s="2" t="s">
        <v>15</v>
      </c>
      <c r="B105" s="4">
        <v>46036</v>
      </c>
      <c r="C105" s="5">
        <v>0.6895486111111111</v>
      </c>
      <c r="D105" s="8" t="s">
        <v>2004</v>
      </c>
      <c r="E105" s="8" t="s">
        <v>8</v>
      </c>
      <c r="F105" s="8"/>
      <c r="H105" s="8"/>
      <c r="I105" s="8" t="s">
        <v>9267</v>
      </c>
      <c r="J105" s="8" t="s">
        <v>2983</v>
      </c>
      <c r="K105" t="s">
        <v>9268</v>
      </c>
      <c r="L105" t="s">
        <v>9269</v>
      </c>
      <c r="M105" s="3" t="str">
        <f>HYPERLINK(склад2въезд131920[[#This Row],[RelativePath]])</f>
        <v>6 Площадка 1 общага\826398429_1_20260114T163257Z.jpg</v>
      </c>
    </row>
    <row r="106" spans="1:13" x14ac:dyDescent="0.25">
      <c r="A106" s="2" t="s">
        <v>16</v>
      </c>
      <c r="B106" s="4">
        <v>46037</v>
      </c>
      <c r="C106" s="5">
        <v>0.69920138888888894</v>
      </c>
      <c r="D106" s="8" t="s">
        <v>2004</v>
      </c>
      <c r="E106" s="8" t="s">
        <v>8</v>
      </c>
      <c r="F106" s="8"/>
      <c r="H106" s="8"/>
      <c r="I106" s="8" t="s">
        <v>9387</v>
      </c>
      <c r="J106" s="8" t="s">
        <v>2983</v>
      </c>
      <c r="K106" t="s">
        <v>9388</v>
      </c>
      <c r="L106" t="s">
        <v>9389</v>
      </c>
      <c r="M106" s="3" t="str">
        <f>HYPERLINK(склад2въезд131920[[#This Row],[RelativePath]])</f>
        <v>6 Площадка 1 общага\826398429_1_20260115T164651Z.jpg</v>
      </c>
    </row>
    <row r="107" spans="1:13" x14ac:dyDescent="0.25">
      <c r="A107" s="2" t="s">
        <v>17</v>
      </c>
      <c r="B107" s="4">
        <v>46038</v>
      </c>
      <c r="C107" s="5">
        <v>0.49086805555555557</v>
      </c>
      <c r="D107" s="8" t="s">
        <v>9399</v>
      </c>
      <c r="E107" s="8" t="s">
        <v>60</v>
      </c>
      <c r="F107" s="8"/>
      <c r="H107" s="8"/>
      <c r="I107" s="8" t="s">
        <v>9390</v>
      </c>
      <c r="J107" s="8" t="s">
        <v>2983</v>
      </c>
      <c r="K107" t="s">
        <v>9391</v>
      </c>
      <c r="L107" t="s">
        <v>9392</v>
      </c>
      <c r="M107" s="3" t="str">
        <f>HYPERLINK(склад2въезд131920[[#This Row],[RelativePath]])</f>
        <v>6 Площадка 1 общага\826398429_1_20260116T114651Z.jpg</v>
      </c>
    </row>
    <row r="108" spans="1:13" x14ac:dyDescent="0.25">
      <c r="A108" s="2" t="s">
        <v>17</v>
      </c>
      <c r="B108" s="4">
        <v>46038</v>
      </c>
      <c r="C108" s="5">
        <v>0.51019675925925922</v>
      </c>
      <c r="D108" s="8" t="s">
        <v>1094</v>
      </c>
      <c r="E108" s="8" t="s">
        <v>4247</v>
      </c>
      <c r="F108" s="8" t="s">
        <v>60</v>
      </c>
      <c r="H108" s="8"/>
      <c r="I108" s="8" t="s">
        <v>9393</v>
      </c>
      <c r="J108" s="8" t="s">
        <v>2983</v>
      </c>
      <c r="K108" t="s">
        <v>9394</v>
      </c>
      <c r="L108" t="s">
        <v>9395</v>
      </c>
      <c r="M108" s="3" t="str">
        <f>HYPERLINK(склад2въезд131920[[#This Row],[RelativePath]])</f>
        <v>6 Площадка 1 общага\826398429_1_20260116T121441Z.jpg</v>
      </c>
    </row>
    <row r="109" spans="1:13" x14ac:dyDescent="0.25">
      <c r="A109" s="2" t="s">
        <v>17</v>
      </c>
      <c r="B109" s="4">
        <v>46038</v>
      </c>
      <c r="C109" s="5">
        <v>0.67813657407407413</v>
      </c>
      <c r="D109" s="8" t="s">
        <v>4</v>
      </c>
      <c r="E109" s="8" t="s">
        <v>8</v>
      </c>
      <c r="F109" s="8"/>
      <c r="H109" s="8"/>
      <c r="I109" s="8" t="s">
        <v>9396</v>
      </c>
      <c r="J109" s="8" t="s">
        <v>2983</v>
      </c>
      <c r="K109" t="s">
        <v>9397</v>
      </c>
      <c r="L109" t="s">
        <v>9398</v>
      </c>
      <c r="M109" s="3" t="str">
        <f>HYPERLINK(склад2въезд131920[[#This Row],[RelativePath]])</f>
        <v>6 Площадка 1 общага\826398429_1_20260116T161631Z.jpg</v>
      </c>
    </row>
    <row r="110" spans="1:13" x14ac:dyDescent="0.25">
      <c r="A110" s="2" t="s">
        <v>22</v>
      </c>
      <c r="B110" s="4">
        <v>46033</v>
      </c>
      <c r="C110" s="5">
        <v>0.75490740740740736</v>
      </c>
      <c r="D110" s="8" t="s">
        <v>2004</v>
      </c>
      <c r="E110" s="8" t="s">
        <v>8</v>
      </c>
      <c r="F110" s="8"/>
      <c r="H110" s="8"/>
      <c r="I110" s="8" t="s">
        <v>9612</v>
      </c>
      <c r="J110" s="8" t="s">
        <v>2983</v>
      </c>
      <c r="K110" t="s">
        <v>9613</v>
      </c>
      <c r="L110" t="s">
        <v>9614</v>
      </c>
      <c r="M110" s="3" t="str">
        <f>HYPERLINK(склад2въезд131920[[#This Row],[RelativePath]])</f>
        <v>6 Площадка 1 общага\826398429_1_20260111T180704Z.jpg</v>
      </c>
    </row>
    <row r="111" spans="1:13" x14ac:dyDescent="0.25">
      <c r="A111" s="2" t="s">
        <v>18</v>
      </c>
      <c r="B111" s="4">
        <v>46039</v>
      </c>
      <c r="C111" s="5">
        <v>0.76306712962962964</v>
      </c>
      <c r="D111" s="8" t="s">
        <v>2004</v>
      </c>
      <c r="E111" s="8" t="s">
        <v>8</v>
      </c>
      <c r="F111" s="8"/>
      <c r="H111" s="8"/>
      <c r="I111" s="8" t="s">
        <v>9615</v>
      </c>
      <c r="J111" s="8" t="s">
        <v>2983</v>
      </c>
      <c r="K111" t="s">
        <v>9616</v>
      </c>
      <c r="L111" t="s">
        <v>9617</v>
      </c>
      <c r="M111" s="3" t="str">
        <f>HYPERLINK(склад2въезд131920[[#This Row],[RelativePath]])</f>
        <v>6 Площадка 1 общага\826398429_1_20260117T181849Z.jpg</v>
      </c>
    </row>
    <row r="112" spans="1:13" x14ac:dyDescent="0.25">
      <c r="A112" s="2" t="s">
        <v>13</v>
      </c>
      <c r="B112" s="4">
        <v>46041</v>
      </c>
      <c r="C112" s="5">
        <v>0.64368055555555559</v>
      </c>
      <c r="D112" s="8" t="s">
        <v>2004</v>
      </c>
      <c r="E112" s="8" t="s">
        <v>8</v>
      </c>
      <c r="F112" s="8"/>
      <c r="H112" s="8"/>
      <c r="I112" s="8" t="s">
        <v>9735</v>
      </c>
      <c r="J112" s="8" t="s">
        <v>2983</v>
      </c>
      <c r="K112" t="s">
        <v>9736</v>
      </c>
      <c r="L112" t="s">
        <v>9737</v>
      </c>
      <c r="M112" s="3" t="str">
        <f>HYPERLINK(склад2въезд131920[[#This Row],[RelativePath]])</f>
        <v>6 Площадка 1 общага\826398429_1_20260119T152654Z.jpg</v>
      </c>
    </row>
    <row r="113" spans="1:13" x14ac:dyDescent="0.25">
      <c r="A113" s="2" t="s">
        <v>14</v>
      </c>
      <c r="B113" s="4">
        <v>46042</v>
      </c>
      <c r="C113" s="5">
        <v>0.73013888888888889</v>
      </c>
      <c r="D113" s="8" t="s">
        <v>2004</v>
      </c>
      <c r="E113" s="8" t="s">
        <v>8</v>
      </c>
      <c r="F113" s="8"/>
      <c r="H113" s="8"/>
      <c r="I113" s="8" t="s">
        <v>9738</v>
      </c>
      <c r="J113" s="8" t="s">
        <v>2983</v>
      </c>
      <c r="K113" t="s">
        <v>9739</v>
      </c>
      <c r="L113" t="s">
        <v>9740</v>
      </c>
      <c r="M113" s="3" t="str">
        <f>HYPERLINK(склад2въезд131920[[#This Row],[RelativePath]])</f>
        <v>6 Площадка 1 общага\826398429_1_20260120T173124Z.jpg</v>
      </c>
    </row>
    <row r="114" spans="1:13" x14ac:dyDescent="0.25">
      <c r="A114" s="2" t="s">
        <v>15</v>
      </c>
      <c r="B114" s="4">
        <v>46043</v>
      </c>
      <c r="C114" s="5">
        <v>0.50771990740740736</v>
      </c>
      <c r="D114" s="8" t="s">
        <v>2004</v>
      </c>
      <c r="E114" s="8" t="s">
        <v>8</v>
      </c>
      <c r="F114" s="8"/>
      <c r="H114" s="8"/>
      <c r="I114" s="8" t="s">
        <v>9969</v>
      </c>
      <c r="J114" s="8" t="s">
        <v>2983</v>
      </c>
      <c r="K114" t="s">
        <v>9970</v>
      </c>
      <c r="L114" t="s">
        <v>9971</v>
      </c>
      <c r="M114" s="3" t="str">
        <f>HYPERLINK(склад2въезд131920[[#This Row],[RelativePath]])</f>
        <v>6 Площадка 1 общага\826398429_1_20260121T121107Z.jpg</v>
      </c>
    </row>
    <row r="115" spans="1:13" x14ac:dyDescent="0.25">
      <c r="A115" s="2" t="s">
        <v>16</v>
      </c>
      <c r="B115" s="4">
        <v>46044</v>
      </c>
      <c r="C115" s="5">
        <v>0.41822916666666665</v>
      </c>
      <c r="D115" s="8" t="s">
        <v>4</v>
      </c>
      <c r="E115" s="8" t="s">
        <v>8</v>
      </c>
      <c r="F115" s="8"/>
      <c r="H115" s="8"/>
      <c r="I115" s="8" t="s">
        <v>9972</v>
      </c>
      <c r="J115" s="8" t="s">
        <v>2983</v>
      </c>
      <c r="K115" t="s">
        <v>9973</v>
      </c>
      <c r="L115" t="s">
        <v>9974</v>
      </c>
      <c r="M115" s="3" t="str">
        <f>HYPERLINK(склад2въезд131920[[#This Row],[RelativePath]])</f>
        <v>6 Площадка 1 общага\826398429_1_20260122T100215Z.jpg</v>
      </c>
    </row>
    <row r="116" spans="1:13" x14ac:dyDescent="0.25">
      <c r="A116" s="2" t="s">
        <v>16</v>
      </c>
      <c r="B116" s="4">
        <v>46044</v>
      </c>
      <c r="C116" s="5">
        <v>0.62998842592592597</v>
      </c>
      <c r="D116" s="8" t="s">
        <v>4</v>
      </c>
      <c r="E116" s="8" t="s">
        <v>8</v>
      </c>
      <c r="F116" s="8"/>
      <c r="H116" s="8" t="s">
        <v>2936</v>
      </c>
      <c r="I116" s="8" t="s">
        <v>9975</v>
      </c>
      <c r="J116" s="8" t="s">
        <v>2983</v>
      </c>
      <c r="K116" t="s">
        <v>9976</v>
      </c>
      <c r="L116" t="s">
        <v>9977</v>
      </c>
      <c r="M116" s="3" t="str">
        <f>HYPERLINK(склад2въезд131920[[#This Row],[RelativePath]])</f>
        <v>6 Площадка 1 общага\826398429_1_20260122T150711Z.jpg</v>
      </c>
    </row>
    <row r="117" spans="1:13" x14ac:dyDescent="0.25">
      <c r="A117" s="2" t="s">
        <v>17</v>
      </c>
      <c r="B117" s="4">
        <v>46045</v>
      </c>
      <c r="C117" s="5">
        <v>0.58543981481481477</v>
      </c>
      <c r="D117" s="8" t="s">
        <v>2004</v>
      </c>
      <c r="E117" s="8" t="s">
        <v>8</v>
      </c>
      <c r="F117" s="8"/>
      <c r="H117" s="8"/>
      <c r="I117" s="8" t="s">
        <v>10350</v>
      </c>
      <c r="J117" s="8" t="s">
        <v>2983</v>
      </c>
      <c r="K117" t="s">
        <v>10351</v>
      </c>
      <c r="L117" t="s">
        <v>10352</v>
      </c>
      <c r="M117" s="3" t="str">
        <f>HYPERLINK(склад2въезд131920[[#This Row],[RelativePath]])</f>
        <v>6 Площадка 1 общага\826398429_1_20260123T140302Z.jpg</v>
      </c>
    </row>
    <row r="118" spans="1:13" x14ac:dyDescent="0.25">
      <c r="A118" s="2" t="s">
        <v>18</v>
      </c>
      <c r="B118" s="4">
        <v>46046</v>
      </c>
      <c r="C118" s="5">
        <v>0.70499999999999996</v>
      </c>
      <c r="D118" s="8" t="s">
        <v>2004</v>
      </c>
      <c r="E118" s="8" t="s">
        <v>8</v>
      </c>
      <c r="F118" s="8"/>
      <c r="H118" s="8"/>
      <c r="I118" s="8" t="s">
        <v>10506</v>
      </c>
      <c r="J118" s="8" t="s">
        <v>2983</v>
      </c>
      <c r="K118" t="s">
        <v>10507</v>
      </c>
      <c r="L118" t="s">
        <v>10508</v>
      </c>
      <c r="M118" s="3" t="str">
        <f>HYPERLINK(склад2въезд131920[[#This Row],[RelativePath]])</f>
        <v>6 Площадка 1 общага\826398429_1_20260124T165512Z.jpg</v>
      </c>
    </row>
    <row r="119" spans="1:13" x14ac:dyDescent="0.25">
      <c r="A119" s="2" t="s">
        <v>22</v>
      </c>
      <c r="B119" s="4">
        <v>46047</v>
      </c>
      <c r="C119" s="5">
        <v>0.77231481481481479</v>
      </c>
      <c r="D119" s="8" t="s">
        <v>2004</v>
      </c>
      <c r="E119" s="8" t="s">
        <v>8</v>
      </c>
      <c r="F119" s="8"/>
      <c r="H119" s="8"/>
      <c r="I119" s="8" t="s">
        <v>10509</v>
      </c>
      <c r="J119" s="8" t="s">
        <v>2983</v>
      </c>
      <c r="K119" t="s">
        <v>10510</v>
      </c>
      <c r="L119" t="s">
        <v>10511</v>
      </c>
      <c r="M119" s="3" t="str">
        <f>HYPERLINK(склад2въезд131920[[#This Row],[RelativePath]])</f>
        <v>6 Площадка 1 общага\826398429_1_20260125T183208Z.jpg</v>
      </c>
    </row>
    <row r="120" spans="1:13" x14ac:dyDescent="0.25">
      <c r="A120" s="2" t="s">
        <v>13</v>
      </c>
      <c r="B120" s="4">
        <v>46048</v>
      </c>
      <c r="C120" s="5">
        <v>0.67927083333333338</v>
      </c>
      <c r="D120" s="8" t="s">
        <v>2004</v>
      </c>
      <c r="E120" s="8" t="s">
        <v>8</v>
      </c>
      <c r="F120" s="8"/>
      <c r="H120" s="8"/>
      <c r="I120" s="8" t="s">
        <v>10552</v>
      </c>
      <c r="J120" s="8" t="s">
        <v>2983</v>
      </c>
      <c r="K120" t="s">
        <v>10553</v>
      </c>
      <c r="L120" t="s">
        <v>10554</v>
      </c>
      <c r="M120" s="3" t="str">
        <f>HYPERLINK(склад2въезд131920[[#This Row],[RelativePath]])</f>
        <v>6 Площадка 1 общага\826398429_1_20260126T161809Z.jpg</v>
      </c>
    </row>
    <row r="121" spans="1:13" x14ac:dyDescent="0.25">
      <c r="A121" s="2" t="s">
        <v>14</v>
      </c>
      <c r="B121" s="4">
        <v>46049</v>
      </c>
      <c r="C121" s="5">
        <v>0.52552083333333333</v>
      </c>
      <c r="D121" s="8" t="s">
        <v>2004</v>
      </c>
      <c r="E121" s="8" t="s">
        <v>8</v>
      </c>
      <c r="F121" s="8"/>
      <c r="H121" s="8"/>
      <c r="I121" s="8" t="s">
        <v>10555</v>
      </c>
      <c r="J121" s="8" t="s">
        <v>2983</v>
      </c>
      <c r="K121" t="s">
        <v>10556</v>
      </c>
      <c r="L121" t="s">
        <v>10557</v>
      </c>
      <c r="M121" s="3" t="str">
        <f>HYPERLINK(склад2въезд131920[[#This Row],[RelativePath]])</f>
        <v>6 Площадка 1 общага\826398429_1_20260127T123645Z.jpg</v>
      </c>
    </row>
    <row r="122" spans="1:13" x14ac:dyDescent="0.25">
      <c r="A122" s="2" t="s">
        <v>15</v>
      </c>
      <c r="B122" s="4">
        <v>46050</v>
      </c>
      <c r="C122" s="5">
        <v>0.68431712962962965</v>
      </c>
      <c r="D122" s="8" t="s">
        <v>2004</v>
      </c>
      <c r="E122" s="8" t="s">
        <v>8</v>
      </c>
      <c r="F122" s="8"/>
      <c r="H122" s="8"/>
      <c r="I122" s="8" t="s">
        <v>10782</v>
      </c>
      <c r="J122" s="8" t="s">
        <v>2983</v>
      </c>
      <c r="K122" t="s">
        <v>10783</v>
      </c>
      <c r="L122" t="s">
        <v>10784</v>
      </c>
      <c r="M122" s="3" t="str">
        <f>HYPERLINK(склад2въезд131920[[#This Row],[RelativePath]])</f>
        <v>6 Площадка 1 общага\826398429_1_20260128T162525Z.jpg</v>
      </c>
    </row>
    <row r="123" spans="1:13" x14ac:dyDescent="0.25">
      <c r="A123" s="2" t="s">
        <v>16</v>
      </c>
      <c r="B123" s="4">
        <v>46051</v>
      </c>
      <c r="C123" s="5">
        <v>0.68480324074074073</v>
      </c>
      <c r="D123" s="8" t="s">
        <v>2004</v>
      </c>
      <c r="E123" s="8" t="s">
        <v>8</v>
      </c>
      <c r="F123" s="8"/>
      <c r="H123" s="8"/>
      <c r="I123" s="8" t="s">
        <v>10785</v>
      </c>
      <c r="J123" s="8" t="s">
        <v>2983</v>
      </c>
      <c r="K123" t="s">
        <v>10786</v>
      </c>
      <c r="L123" t="s">
        <v>10787</v>
      </c>
      <c r="M123" s="3" t="str">
        <f>HYPERLINK(склад2въезд131920[[#This Row],[RelativePath]])</f>
        <v>6 Площадка 1 общага\826398429_1_20260129T162607Z.jpg</v>
      </c>
    </row>
    <row r="124" spans="1:13" x14ac:dyDescent="0.25">
      <c r="A124" s="2" t="s">
        <v>17</v>
      </c>
      <c r="B124" s="4">
        <v>46052</v>
      </c>
      <c r="C124" s="5">
        <v>0.54097222222222219</v>
      </c>
      <c r="D124" s="8" t="s">
        <v>2004</v>
      </c>
      <c r="E124" s="8" t="s">
        <v>8</v>
      </c>
      <c r="F124" s="8"/>
      <c r="H124" s="8"/>
      <c r="I124" s="8" t="s">
        <v>10920</v>
      </c>
      <c r="J124" s="8" t="s">
        <v>2983</v>
      </c>
      <c r="K124" t="s">
        <v>10921</v>
      </c>
      <c r="L124" t="s">
        <v>10922</v>
      </c>
      <c r="M124" s="3" t="str">
        <f>HYPERLINK(склад2въезд131920[[#This Row],[RelativePath]])</f>
        <v>6 Площадка 1 общага\826398429_1_20260130T125900Z.jpg</v>
      </c>
    </row>
    <row r="125" spans="1:13" x14ac:dyDescent="0.25">
      <c r="A125" s="2" t="s">
        <v>18</v>
      </c>
      <c r="B125" s="4">
        <v>46053</v>
      </c>
      <c r="C125" s="5">
        <v>0.46357638888888891</v>
      </c>
      <c r="D125" s="8" t="s">
        <v>4</v>
      </c>
      <c r="E125" s="8" t="s">
        <v>8045</v>
      </c>
      <c r="F125" s="8"/>
      <c r="H125" s="8"/>
      <c r="I125" s="8" t="s">
        <v>11034</v>
      </c>
      <c r="J125" s="8" t="s">
        <v>2983</v>
      </c>
      <c r="K125" t="s">
        <v>11035</v>
      </c>
      <c r="L125" t="s">
        <v>11036</v>
      </c>
      <c r="M125" s="3" t="str">
        <f>HYPERLINK(склад2въезд131920[[#This Row],[RelativePath]])</f>
        <v>6 Площадка 1 общага\826398429_1_20260131T110733Z.jpg</v>
      </c>
    </row>
    <row r="126" spans="1:13" x14ac:dyDescent="0.25">
      <c r="A126" s="2" t="s">
        <v>22</v>
      </c>
      <c r="B126" s="4">
        <v>46054</v>
      </c>
      <c r="C126" s="5">
        <v>0.69827546296296295</v>
      </c>
      <c r="D126" s="8" t="s">
        <v>2004</v>
      </c>
      <c r="E126" s="8" t="s">
        <v>8</v>
      </c>
      <c r="F126" s="8"/>
      <c r="H126" s="8"/>
      <c r="I126" s="8" t="s">
        <v>11037</v>
      </c>
      <c r="J126" s="8" t="s">
        <v>2983</v>
      </c>
      <c r="K126" t="s">
        <v>11038</v>
      </c>
      <c r="L126" t="s">
        <v>11039</v>
      </c>
      <c r="M126" s="3" t="str">
        <f>HYPERLINK(склад2въезд131920[[#This Row],[RelativePath]])</f>
        <v>6 Площадка 1 общага\826398429_1_20260201T164531Z.jpg</v>
      </c>
    </row>
    <row r="127" spans="1:13" x14ac:dyDescent="0.25">
      <c r="A127" s="2" t="s">
        <v>13</v>
      </c>
      <c r="B127" s="4">
        <v>46055</v>
      </c>
      <c r="C127" s="5">
        <v>0.50019675925925922</v>
      </c>
      <c r="D127" s="8" t="s">
        <v>2004</v>
      </c>
      <c r="E127" s="8" t="s">
        <v>8</v>
      </c>
      <c r="F127" s="8"/>
      <c r="H127" s="8"/>
      <c r="I127" s="8" t="s">
        <v>11181</v>
      </c>
      <c r="J127" s="8" t="s">
        <v>2983</v>
      </c>
      <c r="K127" t="s">
        <v>11182</v>
      </c>
      <c r="L127" t="s">
        <v>11183</v>
      </c>
      <c r="M127" s="3" t="str">
        <f>HYPERLINK(склад2въезд131920[[#This Row],[RelativePath]])</f>
        <v>6 Площадка 1 общага\826398429_1_20260202T120017Z.jpg</v>
      </c>
    </row>
    <row r="128" spans="1:13" x14ac:dyDescent="0.25">
      <c r="A128" s="2" t="s">
        <v>14</v>
      </c>
      <c r="B128" s="4">
        <v>46056</v>
      </c>
      <c r="C128" s="5">
        <v>0.71646990740740746</v>
      </c>
      <c r="D128" s="8" t="s">
        <v>4</v>
      </c>
      <c r="E128" s="8" t="s">
        <v>8045</v>
      </c>
      <c r="F128" s="8"/>
      <c r="H128" s="8"/>
      <c r="I128" s="8" t="s">
        <v>11184</v>
      </c>
      <c r="J128" s="8" t="s">
        <v>2983</v>
      </c>
      <c r="K128" t="s">
        <v>11185</v>
      </c>
      <c r="L128" t="s">
        <v>11186</v>
      </c>
      <c r="M128" s="3" t="str">
        <f>HYPERLINK(склад2въезд131920[[#This Row],[RelativePath]])</f>
        <v>6 Площадка 1 общага\826398429_1_20260203T171143Z.jpg</v>
      </c>
    </row>
    <row r="129" spans="1:13" x14ac:dyDescent="0.25">
      <c r="A129" s="2" t="s">
        <v>15</v>
      </c>
      <c r="B129" s="4">
        <v>46057</v>
      </c>
      <c r="C129" s="5">
        <v>0.52496527777777779</v>
      </c>
      <c r="D129" s="8" t="s">
        <v>4</v>
      </c>
      <c r="E129" s="8" t="s">
        <v>8805</v>
      </c>
      <c r="F129" s="8"/>
      <c r="H129" s="8"/>
      <c r="I129" s="8" t="s">
        <v>11639</v>
      </c>
      <c r="J129" s="8" t="s">
        <v>2983</v>
      </c>
      <c r="K129" t="s">
        <v>11640</v>
      </c>
      <c r="L129" t="s">
        <v>11641</v>
      </c>
      <c r="M129" s="3" t="str">
        <f>HYPERLINK(склад2въезд131920[[#This Row],[RelativePath]])</f>
        <v>6 Площадка 1 общага\826398429_1_20260204T123557Z.jpg</v>
      </c>
    </row>
    <row r="130" spans="1:13" x14ac:dyDescent="0.25">
      <c r="A130" s="2" t="s">
        <v>16</v>
      </c>
      <c r="B130" s="4">
        <v>46058</v>
      </c>
      <c r="C130" s="5">
        <v>0.5090393518518519</v>
      </c>
      <c r="D130" s="8" t="s">
        <v>2004</v>
      </c>
      <c r="E130" s="8" t="s">
        <v>8</v>
      </c>
      <c r="F130" s="8"/>
      <c r="H130" s="8"/>
      <c r="I130" s="8" t="s">
        <v>11613</v>
      </c>
      <c r="J130" s="8" t="s">
        <v>2983</v>
      </c>
      <c r="K130" t="s">
        <v>11614</v>
      </c>
      <c r="L130" t="s">
        <v>11615</v>
      </c>
      <c r="M130" s="3" t="str">
        <f>HYPERLINK(склад2въезд131920[[#This Row],[RelativePath]])</f>
        <v>6 Площадка 1 общага\826398429_1_20260205T121301Z.jpg</v>
      </c>
    </row>
    <row r="131" spans="1:13" x14ac:dyDescent="0.25">
      <c r="A131" s="2" t="s">
        <v>17</v>
      </c>
      <c r="B131" s="4">
        <v>46059</v>
      </c>
      <c r="C131" s="5">
        <v>0.67365740740740743</v>
      </c>
      <c r="D131" s="8" t="s">
        <v>2004</v>
      </c>
      <c r="E131" s="8" t="s">
        <v>8</v>
      </c>
      <c r="F131" s="8"/>
      <c r="H131" s="8"/>
      <c r="I131" s="8" t="s">
        <v>11616</v>
      </c>
      <c r="J131" s="8" t="s">
        <v>2983</v>
      </c>
      <c r="K131" t="s">
        <v>11617</v>
      </c>
      <c r="L131" t="s">
        <v>11618</v>
      </c>
      <c r="M131" s="3" t="str">
        <f>HYPERLINK(склад2въезд131920[[#This Row],[RelativePath]])</f>
        <v>6 Площадка 1 общага\826398429_1_20260206T161004Z.jpg</v>
      </c>
    </row>
    <row r="132" spans="1:13" x14ac:dyDescent="0.25">
      <c r="A132" s="2" t="s">
        <v>18</v>
      </c>
      <c r="B132" s="4">
        <v>46060</v>
      </c>
      <c r="C132" s="5">
        <v>0.35116898148148146</v>
      </c>
      <c r="D132" s="8" t="s">
        <v>2004</v>
      </c>
      <c r="E132" s="8" t="s">
        <v>8</v>
      </c>
      <c r="F132" s="8"/>
      <c r="H132" s="8"/>
      <c r="I132" s="8" t="s">
        <v>11691</v>
      </c>
      <c r="J132" s="8" t="s">
        <v>2983</v>
      </c>
      <c r="K132" t="s">
        <v>11692</v>
      </c>
      <c r="L132" t="s">
        <v>11693</v>
      </c>
      <c r="M132" s="3" t="str">
        <f>HYPERLINK(склад2въезд131920[[#This Row],[RelativePath]])</f>
        <v>6 Площадка 1 общага\826398429_1_20260207T082541Z.jpg</v>
      </c>
    </row>
    <row r="133" spans="1:13" x14ac:dyDescent="0.25">
      <c r="A133" s="2" t="s">
        <v>22</v>
      </c>
      <c r="B133" s="4">
        <v>46061</v>
      </c>
      <c r="C133" s="5">
        <v>0.68150462962962965</v>
      </c>
      <c r="D133" s="8" t="s">
        <v>2004</v>
      </c>
      <c r="E133" s="8" t="s">
        <v>8</v>
      </c>
      <c r="F133" s="8"/>
      <c r="H133" s="8"/>
      <c r="I133" s="8" t="s">
        <v>11694</v>
      </c>
      <c r="J133" s="8" t="s">
        <v>2983</v>
      </c>
      <c r="K133" t="s">
        <v>11695</v>
      </c>
      <c r="L133" t="s">
        <v>11696</v>
      </c>
      <c r="M133" s="3" t="str">
        <f>HYPERLINK(склад2въезд131920[[#This Row],[RelativePath]])</f>
        <v>6 Площадка 1 общага\826398429_1_20260208T162122Z.jpg</v>
      </c>
    </row>
  </sheetData>
  <conditionalFormatting sqref="D134:D144 E134:E147 G2:H133 D2:E133">
    <cfRule type="containsText" dxfId="698" priority="14" operator="containsText" text="Выезд с территории">
      <formula>NOT(ISERROR(SEARCH("Выезд с территории",D2)))</formula>
    </cfRule>
  </conditionalFormatting>
  <conditionalFormatting sqref="F2:F133">
    <cfRule type="notContainsText" dxfId="697" priority="13" operator="notContains" text="порожний">
      <formula>ISERROR(SEARCH("порожний",F2))</formula>
    </cfRule>
  </conditionalFormatting>
  <conditionalFormatting sqref="E2:E147">
    <cfRule type="containsText" dxfId="696" priority="11" operator="containsText" text="Газель базы">
      <formula>NOT(ISERROR(SEARCH("Газель базы",E2)))</formula>
    </cfRule>
    <cfRule type="containsText" dxfId="695" priority="12" operator="containsText" text="Погрузчик базы">
      <formula>NOT(ISERROR(SEARCH("Погрузчик базы",E2)))</formula>
    </cfRule>
  </conditionalFormatting>
  <conditionalFormatting sqref="E2:E147">
    <cfRule type="containsText" dxfId="694" priority="10" operator="containsText" text="Трактор базы">
      <formula>NOT(ISERROR(SEARCH("Трактор базы",E2)))</formula>
    </cfRule>
  </conditionalFormatting>
  <conditionalFormatting sqref="A2:C133">
    <cfRule type="expression" dxfId="693" priority="9">
      <formula>$A2="пн"</formula>
    </cfRule>
  </conditionalFormatting>
  <conditionalFormatting sqref="A2:C135">
    <cfRule type="expression" dxfId="692" priority="3">
      <formula>$A2="вс"</formula>
    </cfRule>
    <cfRule type="expression" dxfId="691" priority="4">
      <formula>$A2="сб"</formula>
    </cfRule>
    <cfRule type="expression" dxfId="690" priority="5">
      <formula>$A2="пт"</formula>
    </cfRule>
    <cfRule type="expression" dxfId="689" priority="6">
      <formula>$A2="чт"</formula>
    </cfRule>
    <cfRule type="expression" dxfId="688" priority="7">
      <formula>$A2="ср"</formula>
    </cfRule>
    <cfRule type="expression" dxfId="687" priority="8">
      <formula>$A2="вт"</formula>
    </cfRule>
  </conditionalFormatting>
  <conditionalFormatting sqref="D2:D144">
    <cfRule type="containsText" dxfId="68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4">
    <cfRule type="containsText" dxfId="68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67"/>
  <sheetViews>
    <sheetView zoomScale="90" zoomScaleNormal="90" workbookViewId="0">
      <pane ySplit="1" topLeftCell="A257" activePane="bottomLeft" state="frozen"/>
      <selection pane="bottomLeft" activeCell="I266" sqref="I266:I26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8" t="s">
        <v>4</v>
      </c>
      <c r="E2" s="8" t="s">
        <v>8</v>
      </c>
      <c r="F2" s="8"/>
      <c r="H2" s="8" t="s">
        <v>5</v>
      </c>
      <c r="I2" s="8" t="s">
        <v>535</v>
      </c>
      <c r="J2" s="8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8" t="s">
        <v>4</v>
      </c>
      <c r="E3" s="8" t="s">
        <v>11</v>
      </c>
      <c r="F3" s="8"/>
      <c r="H3" s="8"/>
      <c r="I3" s="8" t="s">
        <v>538</v>
      </c>
      <c r="J3" s="8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8" t="s">
        <v>4</v>
      </c>
      <c r="E4" s="8" t="s">
        <v>19</v>
      </c>
      <c r="F4" s="8"/>
      <c r="H4" s="8"/>
      <c r="I4" s="8" t="s">
        <v>541</v>
      </c>
      <c r="J4" s="8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8" t="s">
        <v>4</v>
      </c>
      <c r="E5" s="8" t="s">
        <v>19</v>
      </c>
      <c r="F5" s="8"/>
      <c r="H5" s="8"/>
      <c r="I5" s="8" t="s">
        <v>544</v>
      </c>
      <c r="J5" s="8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8" t="s">
        <v>4</v>
      </c>
      <c r="E6" s="8" t="s">
        <v>8</v>
      </c>
      <c r="F6" s="8"/>
      <c r="H6" s="8" t="s">
        <v>6</v>
      </c>
      <c r="I6" s="8" t="s">
        <v>547</v>
      </c>
      <c r="J6" s="8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8" t="s">
        <v>4</v>
      </c>
      <c r="E7" s="8" t="s">
        <v>8</v>
      </c>
      <c r="F7" s="8"/>
      <c r="H7" s="8" t="s">
        <v>5</v>
      </c>
      <c r="I7" s="8" t="s">
        <v>550</v>
      </c>
      <c r="J7" s="8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8" t="s">
        <v>4</v>
      </c>
      <c r="E8" s="8" t="s">
        <v>19</v>
      </c>
      <c r="F8" s="8"/>
      <c r="H8" s="8"/>
      <c r="I8" s="8" t="s">
        <v>553</v>
      </c>
      <c r="J8" s="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8" t="s">
        <v>4</v>
      </c>
      <c r="E9" s="8" t="s">
        <v>19</v>
      </c>
      <c r="F9" s="8"/>
      <c r="H9" s="8"/>
      <c r="I9" s="8" t="s">
        <v>556</v>
      </c>
      <c r="J9" s="8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8" t="s">
        <v>648</v>
      </c>
      <c r="E10" s="8" t="s">
        <v>86</v>
      </c>
      <c r="F10" s="8" t="s">
        <v>528</v>
      </c>
      <c r="H10" s="8"/>
      <c r="I10" s="8" t="s">
        <v>559</v>
      </c>
      <c r="J10" s="8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8" t="s">
        <v>4</v>
      </c>
      <c r="E11" s="8" t="s">
        <v>19</v>
      </c>
      <c r="F11" s="8"/>
      <c r="H11" s="8"/>
      <c r="I11" s="8" t="s">
        <v>562</v>
      </c>
      <c r="J11" s="8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8" t="s">
        <v>158</v>
      </c>
      <c r="E12" s="8" t="s">
        <v>86</v>
      </c>
      <c r="F12" s="8" t="s">
        <v>649</v>
      </c>
      <c r="H12" s="8"/>
      <c r="I12" s="8" t="s">
        <v>565</v>
      </c>
      <c r="J12" s="8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8" t="s">
        <v>290</v>
      </c>
      <c r="E13" s="8" t="s">
        <v>86</v>
      </c>
      <c r="F13" s="8" t="s">
        <v>649</v>
      </c>
      <c r="H13" s="8"/>
      <c r="I13" s="8" t="s">
        <v>568</v>
      </c>
      <c r="J13" s="8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8" t="s">
        <v>289</v>
      </c>
      <c r="E14" s="8" t="s">
        <v>86</v>
      </c>
      <c r="F14" s="8" t="s">
        <v>60</v>
      </c>
      <c r="G14">
        <v>2</v>
      </c>
      <c r="H14" s="8"/>
      <c r="I14" s="8" t="s">
        <v>571</v>
      </c>
      <c r="J14" s="8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8" t="s">
        <v>650</v>
      </c>
      <c r="E15" s="8" t="s">
        <v>86</v>
      </c>
      <c r="F15" s="8" t="s">
        <v>60</v>
      </c>
      <c r="H15" s="8"/>
      <c r="I15" s="8" t="s">
        <v>574</v>
      </c>
      <c r="J15" s="8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8" t="s">
        <v>4</v>
      </c>
      <c r="E16" s="8" t="s">
        <v>12</v>
      </c>
      <c r="F16" s="8"/>
      <c r="H16" s="8"/>
      <c r="I16" s="8" t="s">
        <v>577</v>
      </c>
      <c r="J16" s="8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8" t="s">
        <v>4</v>
      </c>
      <c r="E17" s="8" t="s">
        <v>651</v>
      </c>
      <c r="F17" s="8"/>
      <c r="H17" s="8"/>
      <c r="I17" s="8" t="s">
        <v>580</v>
      </c>
      <c r="J17" s="8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8" t="s">
        <v>4</v>
      </c>
      <c r="E18" s="8" t="s">
        <v>8</v>
      </c>
      <c r="F18" s="8"/>
      <c r="H18" s="8" t="s">
        <v>6</v>
      </c>
      <c r="I18" s="8" t="s">
        <v>583</v>
      </c>
      <c r="J18" s="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8" t="s">
        <v>4</v>
      </c>
      <c r="E19" s="8" t="s">
        <v>652</v>
      </c>
      <c r="F19" s="8"/>
      <c r="H19" s="8"/>
      <c r="I19" s="8" t="s">
        <v>586</v>
      </c>
      <c r="J19" s="8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8" t="s">
        <v>4</v>
      </c>
      <c r="E20" s="8" t="s">
        <v>652</v>
      </c>
      <c r="F20" s="8"/>
      <c r="H20" s="8"/>
      <c r="I20" s="8" t="s">
        <v>589</v>
      </c>
      <c r="J20" s="8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8" t="s">
        <v>4</v>
      </c>
      <c r="E21" s="8" t="s">
        <v>7</v>
      </c>
      <c r="F21" s="8"/>
      <c r="H21" s="8"/>
      <c r="I21" s="8" t="s">
        <v>592</v>
      </c>
      <c r="J21" s="8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8" t="s">
        <v>4</v>
      </c>
      <c r="E22" s="8" t="s">
        <v>652</v>
      </c>
      <c r="F22" s="8"/>
      <c r="H22" s="8"/>
      <c r="I22" s="8" t="s">
        <v>595</v>
      </c>
      <c r="J22" s="8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8" t="s">
        <v>4</v>
      </c>
      <c r="E23" s="8" t="s">
        <v>8</v>
      </c>
      <c r="F23" s="8"/>
      <c r="H23" s="8" t="s">
        <v>5</v>
      </c>
      <c r="I23" s="8" t="s">
        <v>598</v>
      </c>
      <c r="J23" s="8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8" t="s">
        <v>4</v>
      </c>
      <c r="E24" s="8" t="s">
        <v>652</v>
      </c>
      <c r="F24" s="8"/>
      <c r="H24" s="8"/>
      <c r="I24" s="8" t="s">
        <v>601</v>
      </c>
      <c r="J24" s="8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8" t="s">
        <v>4</v>
      </c>
      <c r="E25" s="8" t="s">
        <v>7</v>
      </c>
      <c r="F25" s="8"/>
      <c r="H25" s="8"/>
      <c r="I25" s="8" t="s">
        <v>603</v>
      </c>
      <c r="J25" s="8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8" t="s">
        <v>4</v>
      </c>
      <c r="E26" s="8" t="s">
        <v>7</v>
      </c>
      <c r="F26" s="8"/>
      <c r="H26" s="8"/>
      <c r="I26" s="8" t="s">
        <v>606</v>
      </c>
      <c r="J26" s="8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8" t="s">
        <v>4</v>
      </c>
      <c r="E27" s="8" t="s">
        <v>652</v>
      </c>
      <c r="F27" s="8"/>
      <c r="H27" s="8"/>
      <c r="I27" s="8" t="s">
        <v>609</v>
      </c>
      <c r="J27" s="8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8" t="s">
        <v>4</v>
      </c>
      <c r="E28" s="8" t="s">
        <v>652</v>
      </c>
      <c r="F28" s="8"/>
      <c r="H28" s="8"/>
      <c r="I28" s="8" t="s">
        <v>612</v>
      </c>
      <c r="J28" s="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8" t="s">
        <v>4</v>
      </c>
      <c r="E29" s="8" t="s">
        <v>8</v>
      </c>
      <c r="F29" s="8"/>
      <c r="H29" s="8" t="s">
        <v>6</v>
      </c>
      <c r="I29" s="8" t="s">
        <v>615</v>
      </c>
      <c r="J29" s="8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8" t="s">
        <v>4</v>
      </c>
      <c r="E30" s="8" t="s">
        <v>12</v>
      </c>
      <c r="F30" s="8"/>
      <c r="H30" s="8"/>
      <c r="I30" s="8" t="s">
        <v>618</v>
      </c>
      <c r="J30" s="8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8" t="s">
        <v>4</v>
      </c>
      <c r="E31" s="8" t="s">
        <v>11</v>
      </c>
      <c r="F31" s="8"/>
      <c r="H31" s="8"/>
      <c r="I31" s="8" t="s">
        <v>621</v>
      </c>
      <c r="J31" s="8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8" t="s">
        <v>4</v>
      </c>
      <c r="E32" s="8" t="s">
        <v>11</v>
      </c>
      <c r="F32" s="8"/>
      <c r="H32" s="8"/>
      <c r="I32" s="8" t="s">
        <v>624</v>
      </c>
      <c r="J32" s="8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8" t="s">
        <v>289</v>
      </c>
      <c r="E33" s="8" t="s">
        <v>86</v>
      </c>
      <c r="F33" s="8" t="s">
        <v>60</v>
      </c>
      <c r="G33">
        <v>1</v>
      </c>
      <c r="H33" s="8"/>
      <c r="I33" s="8" t="s">
        <v>627</v>
      </c>
      <c r="J33" s="8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8" t="s">
        <v>653</v>
      </c>
      <c r="E34" s="8" t="s">
        <v>86</v>
      </c>
      <c r="F34" s="8" t="s">
        <v>200</v>
      </c>
      <c r="H34" s="8"/>
      <c r="I34" s="8" t="s">
        <v>630</v>
      </c>
      <c r="J34" s="8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8" t="s">
        <v>650</v>
      </c>
      <c r="E35" s="8" t="s">
        <v>86</v>
      </c>
      <c r="F35" s="8" t="s">
        <v>200</v>
      </c>
      <c r="H35" s="8"/>
      <c r="I35" s="8" t="s">
        <v>633</v>
      </c>
      <c r="J35" s="8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8" t="s">
        <v>289</v>
      </c>
      <c r="E36" s="8" t="s">
        <v>86</v>
      </c>
      <c r="F36" s="8" t="s">
        <v>200</v>
      </c>
      <c r="H36" s="8"/>
      <c r="I36" s="8" t="s">
        <v>636</v>
      </c>
      <c r="J36" s="8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8" t="s">
        <v>650</v>
      </c>
      <c r="E37" s="8" t="s">
        <v>86</v>
      </c>
      <c r="F37" s="8" t="s">
        <v>200</v>
      </c>
      <c r="H37" s="8"/>
      <c r="I37" s="8" t="s">
        <v>639</v>
      </c>
      <c r="J37" s="8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8" t="s">
        <v>4</v>
      </c>
      <c r="E38" s="8" t="s">
        <v>11</v>
      </c>
      <c r="F38" s="8"/>
      <c r="H38" s="8"/>
      <c r="I38" s="8" t="s">
        <v>642</v>
      </c>
      <c r="J38" s="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8" t="s">
        <v>4</v>
      </c>
      <c r="E39" s="8" t="s">
        <v>8</v>
      </c>
      <c r="F39" s="8"/>
      <c r="H39" s="8" t="s">
        <v>6</v>
      </c>
      <c r="I39" s="8" t="s">
        <v>645</v>
      </c>
      <c r="J39" s="8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8" t="s">
        <v>4</v>
      </c>
      <c r="E40" s="8" t="s">
        <v>8</v>
      </c>
      <c r="F40" s="8"/>
      <c r="H40" s="8"/>
      <c r="I40" s="8" t="s">
        <v>1115</v>
      </c>
      <c r="J40" s="8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8" t="s">
        <v>4</v>
      </c>
      <c r="E41" s="8" t="s">
        <v>8</v>
      </c>
      <c r="F41" s="8"/>
      <c r="H41" s="8" t="s">
        <v>2004</v>
      </c>
      <c r="I41" s="8" t="s">
        <v>1118</v>
      </c>
      <c r="J41" s="8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8" t="s">
        <v>4</v>
      </c>
      <c r="E42" s="8" t="s">
        <v>8</v>
      </c>
      <c r="F42" s="8"/>
      <c r="H42" s="8"/>
      <c r="I42" s="8" t="s">
        <v>1121</v>
      </c>
      <c r="J42" s="8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8" t="s">
        <v>4</v>
      </c>
      <c r="E43" s="8" t="s">
        <v>8</v>
      </c>
      <c r="F43" s="8"/>
      <c r="H43" s="8" t="s">
        <v>2004</v>
      </c>
      <c r="I43" s="8" t="s">
        <v>1124</v>
      </c>
      <c r="J43" s="8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8" t="s">
        <v>4</v>
      </c>
      <c r="E44" s="8" t="s">
        <v>8</v>
      </c>
      <c r="F44" s="8"/>
      <c r="H44" s="8"/>
      <c r="I44" s="8" t="s">
        <v>1127</v>
      </c>
      <c r="J44" s="8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8" t="s">
        <v>11</v>
      </c>
      <c r="E45" s="8"/>
      <c r="F45" s="8"/>
      <c r="H45" s="8"/>
      <c r="I45" s="8" t="s">
        <v>2154</v>
      </c>
      <c r="J45" s="8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8" t="s">
        <v>11</v>
      </c>
      <c r="E46" s="8"/>
      <c r="F46" s="8"/>
      <c r="H46" s="8"/>
      <c r="I46" s="8" t="s">
        <v>2157</v>
      </c>
      <c r="J46" s="8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8" t="s">
        <v>11</v>
      </c>
      <c r="E47" s="8"/>
      <c r="F47" s="8"/>
      <c r="H47" s="8"/>
      <c r="I47" s="8" t="s">
        <v>2160</v>
      </c>
      <c r="J47" s="8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8" t="s">
        <v>11</v>
      </c>
      <c r="E48" s="8"/>
      <c r="F48" s="8"/>
      <c r="H48" s="8"/>
      <c r="I48" s="8" t="s">
        <v>2163</v>
      </c>
      <c r="J48" s="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8" t="s">
        <v>11</v>
      </c>
      <c r="E49" s="8"/>
      <c r="F49" s="8"/>
      <c r="H49" s="8"/>
      <c r="I49" s="8" t="s">
        <v>2166</v>
      </c>
      <c r="J49" s="8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8" t="s">
        <v>11</v>
      </c>
      <c r="E50" s="8"/>
      <c r="F50" s="8"/>
      <c r="H50" s="8"/>
      <c r="I50" s="8" t="s">
        <v>2169</v>
      </c>
      <c r="J50" s="8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8" t="s">
        <v>11</v>
      </c>
      <c r="E51" s="8"/>
      <c r="F51" s="8"/>
      <c r="H51" s="8"/>
      <c r="I51" s="8" t="s">
        <v>2172</v>
      </c>
      <c r="J51" s="8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8" t="s">
        <v>11</v>
      </c>
      <c r="E52" s="8"/>
      <c r="F52" s="8"/>
      <c r="H52" s="8"/>
      <c r="I52" s="8" t="s">
        <v>2175</v>
      </c>
      <c r="J52" s="8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8" t="s">
        <v>11</v>
      </c>
      <c r="E53" s="8"/>
      <c r="F53" s="8"/>
      <c r="H53" s="8"/>
      <c r="I53" s="8" t="s">
        <v>2178</v>
      </c>
      <c r="J53" s="8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8" t="s">
        <v>4</v>
      </c>
      <c r="E54" s="8" t="s">
        <v>8</v>
      </c>
      <c r="F54" s="8"/>
      <c r="H54" s="8" t="s">
        <v>1625</v>
      </c>
      <c r="I54" s="8" t="s">
        <v>2181</v>
      </c>
      <c r="J54" s="8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8" t="s">
        <v>11</v>
      </c>
      <c r="E55" s="8"/>
      <c r="F55" s="8"/>
      <c r="H55" s="8"/>
      <c r="I55" s="8" t="s">
        <v>2184</v>
      </c>
      <c r="J55" s="8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8" t="s">
        <v>11</v>
      </c>
      <c r="E56" s="8"/>
      <c r="F56" s="8"/>
      <c r="H56" s="8"/>
      <c r="I56" s="8" t="s">
        <v>2187</v>
      </c>
      <c r="J56" s="8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8" t="s">
        <v>11</v>
      </c>
      <c r="E57" s="8"/>
      <c r="F57" s="8"/>
      <c r="H57" s="8"/>
      <c r="I57" s="8" t="s">
        <v>2190</v>
      </c>
      <c r="J57" s="8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8" t="s">
        <v>11</v>
      </c>
      <c r="E58" s="8"/>
      <c r="F58" s="8"/>
      <c r="H58" s="8"/>
      <c r="I58" s="8" t="s">
        <v>2193</v>
      </c>
      <c r="J58" s="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8" t="s">
        <v>11</v>
      </c>
      <c r="E59" s="8"/>
      <c r="F59" s="8"/>
      <c r="H59" s="8"/>
      <c r="I59" s="8" t="s">
        <v>2196</v>
      </c>
      <c r="J59" s="8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8" t="s">
        <v>11</v>
      </c>
      <c r="E60" s="8"/>
      <c r="F60" s="8"/>
      <c r="H60" s="8"/>
      <c r="I60" s="8" t="s">
        <v>2199</v>
      </c>
      <c r="J60" s="8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8" t="s">
        <v>11</v>
      </c>
      <c r="E61" s="8"/>
      <c r="F61" s="8"/>
      <c r="H61" s="8"/>
      <c r="I61" s="8" t="s">
        <v>2202</v>
      </c>
      <c r="J61" s="8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8" t="s">
        <v>11</v>
      </c>
      <c r="E62" s="8"/>
      <c r="F62" s="8"/>
      <c r="H62" s="8"/>
      <c r="I62" s="8" t="s">
        <v>2205</v>
      </c>
      <c r="J62" s="8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8" t="s">
        <v>11</v>
      </c>
      <c r="E63" s="8"/>
      <c r="F63" s="8"/>
      <c r="H63" s="8"/>
      <c r="I63" s="8" t="s">
        <v>2208</v>
      </c>
      <c r="J63" s="8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8" t="s">
        <v>11</v>
      </c>
      <c r="E64" s="8"/>
      <c r="F64" s="8"/>
      <c r="H64" s="8"/>
      <c r="I64" s="8" t="s">
        <v>2211</v>
      </c>
      <c r="J64" s="8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8" t="s">
        <v>11</v>
      </c>
      <c r="E65" s="8"/>
      <c r="F65" s="8"/>
      <c r="H65" s="8"/>
      <c r="I65" s="8" t="s">
        <v>2214</v>
      </c>
      <c r="J65" s="8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8" t="s">
        <v>11</v>
      </c>
      <c r="E66" s="8"/>
      <c r="F66" s="8"/>
      <c r="H66" s="8"/>
      <c r="I66" s="8" t="s">
        <v>2217</v>
      </c>
      <c r="J66" s="8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8" t="s">
        <v>11</v>
      </c>
      <c r="E67" s="8"/>
      <c r="F67" s="8"/>
      <c r="H67" s="8"/>
      <c r="I67" s="8" t="s">
        <v>2220</v>
      </c>
      <c r="J67" s="8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8" t="s">
        <v>4</v>
      </c>
      <c r="E68" s="8" t="s">
        <v>8</v>
      </c>
      <c r="F68" s="8"/>
      <c r="H68" s="8" t="s">
        <v>1625</v>
      </c>
      <c r="I68" s="8" t="s">
        <v>2223</v>
      </c>
      <c r="J68" s="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8" t="s">
        <v>2004</v>
      </c>
      <c r="E69" s="8"/>
      <c r="F69" s="8"/>
      <c r="H69" s="8"/>
      <c r="I69" s="8" t="s">
        <v>2226</v>
      </c>
      <c r="J69" s="8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8" t="s">
        <v>2004</v>
      </c>
      <c r="E70" s="8"/>
      <c r="F70" s="8"/>
      <c r="H70" s="8"/>
      <c r="I70" s="8" t="s">
        <v>2229</v>
      </c>
      <c r="J70" s="8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8" t="s">
        <v>4</v>
      </c>
      <c r="E71" s="8" t="s">
        <v>8</v>
      </c>
      <c r="F71" s="8"/>
      <c r="H71" s="8"/>
      <c r="I71" s="8" t="s">
        <v>3468</v>
      </c>
      <c r="J71" s="8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8" t="s">
        <v>4</v>
      </c>
      <c r="E72" s="8" t="s">
        <v>8</v>
      </c>
      <c r="F72" s="8"/>
      <c r="H72" s="8"/>
      <c r="I72" s="8" t="s">
        <v>3471</v>
      </c>
      <c r="J72" s="8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8" t="s">
        <v>4</v>
      </c>
      <c r="E73" s="8" t="s">
        <v>8</v>
      </c>
      <c r="F73" s="8"/>
      <c r="H73" s="8"/>
      <c r="I73" s="8" t="s">
        <v>3474</v>
      </c>
      <c r="J73" s="8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8" t="s">
        <v>4212</v>
      </c>
      <c r="E74" s="8"/>
      <c r="F74" s="8"/>
      <c r="H74" s="8"/>
      <c r="I74" s="8" t="s">
        <v>4213</v>
      </c>
      <c r="J74" s="8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8" t="s">
        <v>4</v>
      </c>
      <c r="E75" s="8" t="s">
        <v>8</v>
      </c>
      <c r="F75" s="8"/>
      <c r="H75" s="8"/>
      <c r="I75" s="8" t="s">
        <v>3477</v>
      </c>
      <c r="J75" s="8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8" t="s">
        <v>4209</v>
      </c>
      <c r="E76" s="8" t="s">
        <v>4210</v>
      </c>
      <c r="F76" s="8"/>
      <c r="H76" s="8"/>
      <c r="I76" s="8" t="s">
        <v>3480</v>
      </c>
      <c r="J76" s="8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8" t="s">
        <v>4209</v>
      </c>
      <c r="E77" s="8" t="s">
        <v>4210</v>
      </c>
      <c r="F77" s="8"/>
      <c r="H77" s="8" t="s">
        <v>2936</v>
      </c>
      <c r="I77" s="8" t="s">
        <v>3483</v>
      </c>
      <c r="J77" s="8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8" t="s">
        <v>4209</v>
      </c>
      <c r="E78" s="8" t="s">
        <v>4210</v>
      </c>
      <c r="F78" s="8"/>
      <c r="H78" s="8" t="s">
        <v>2936</v>
      </c>
      <c r="I78" s="8" t="s">
        <v>3486</v>
      </c>
      <c r="J78" s="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8" t="s">
        <v>4209</v>
      </c>
      <c r="E79" s="8" t="s">
        <v>4210</v>
      </c>
      <c r="F79" s="8"/>
      <c r="H79" s="8" t="s">
        <v>2936</v>
      </c>
      <c r="I79" s="8" t="s">
        <v>3489</v>
      </c>
      <c r="J79" s="8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8" t="s">
        <v>4209</v>
      </c>
      <c r="E80" s="8" t="s">
        <v>4210</v>
      </c>
      <c r="F80" s="8"/>
      <c r="H80" s="8" t="s">
        <v>2936</v>
      </c>
      <c r="I80" s="8" t="s">
        <v>3492</v>
      </c>
      <c r="J80" s="8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8" t="s">
        <v>4209</v>
      </c>
      <c r="E81" s="8" t="s">
        <v>4210</v>
      </c>
      <c r="F81" s="8"/>
      <c r="H81" s="8" t="s">
        <v>2936</v>
      </c>
      <c r="I81" s="8" t="s">
        <v>3495</v>
      </c>
      <c r="J81" s="8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8" t="s">
        <v>4209</v>
      </c>
      <c r="E82" s="8" t="s">
        <v>4210</v>
      </c>
      <c r="F82" s="8"/>
      <c r="H82" s="8" t="s">
        <v>2936</v>
      </c>
      <c r="I82" s="8" t="s">
        <v>3498</v>
      </c>
      <c r="J82" s="8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8" t="s">
        <v>4209</v>
      </c>
      <c r="E83" s="8" t="s">
        <v>4210</v>
      </c>
      <c r="F83" s="8"/>
      <c r="H83" s="8" t="s">
        <v>2936</v>
      </c>
      <c r="I83" s="8" t="s">
        <v>3501</v>
      </c>
      <c r="J83" s="8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8" t="s">
        <v>4209</v>
      </c>
      <c r="E84" s="8" t="s">
        <v>4210</v>
      </c>
      <c r="F84" s="8"/>
      <c r="H84" s="8" t="s">
        <v>2936</v>
      </c>
      <c r="I84" s="8" t="s">
        <v>3504</v>
      </c>
      <c r="J84" s="8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8" t="s">
        <v>4209</v>
      </c>
      <c r="E85" s="8" t="s">
        <v>4210</v>
      </c>
      <c r="F85" s="8"/>
      <c r="H85" s="8" t="s">
        <v>2936</v>
      </c>
      <c r="I85" s="8" t="s">
        <v>3507</v>
      </c>
      <c r="J85" s="8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8" t="s">
        <v>4209</v>
      </c>
      <c r="E86" s="8" t="s">
        <v>4210</v>
      </c>
      <c r="F86" s="8"/>
      <c r="H86" s="8" t="s">
        <v>2936</v>
      </c>
      <c r="I86" s="8" t="s">
        <v>3510</v>
      </c>
      <c r="J86" s="8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8" t="s">
        <v>4209</v>
      </c>
      <c r="E87" s="8" t="s">
        <v>4210</v>
      </c>
      <c r="F87" s="8"/>
      <c r="H87" s="8" t="s">
        <v>2936</v>
      </c>
      <c r="I87" s="8" t="s">
        <v>3513</v>
      </c>
      <c r="J87" s="8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8" t="s">
        <v>4209</v>
      </c>
      <c r="E88" s="8" t="s">
        <v>4210</v>
      </c>
      <c r="F88" s="8"/>
      <c r="H88" s="8" t="s">
        <v>2936</v>
      </c>
      <c r="I88" s="8" t="s">
        <v>3516</v>
      </c>
      <c r="J88" s="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8" t="s">
        <v>4209</v>
      </c>
      <c r="E89" s="8" t="s">
        <v>4210</v>
      </c>
      <c r="F89" s="8"/>
      <c r="H89" s="8" t="s">
        <v>2936</v>
      </c>
      <c r="I89" s="8" t="s">
        <v>3519</v>
      </c>
      <c r="J89" s="8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8" t="s">
        <v>4209</v>
      </c>
      <c r="E90" s="8" t="s">
        <v>4210</v>
      </c>
      <c r="F90" s="8"/>
      <c r="H90" s="8" t="s">
        <v>2936</v>
      </c>
      <c r="I90" s="8" t="s">
        <v>3522</v>
      </c>
      <c r="J90" s="8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8" t="s">
        <v>4209</v>
      </c>
      <c r="E91" s="8" t="s">
        <v>4210</v>
      </c>
      <c r="F91" s="8"/>
      <c r="H91" s="8" t="s">
        <v>2936</v>
      </c>
      <c r="I91" s="8" t="s">
        <v>3525</v>
      </c>
      <c r="J91" s="8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8" t="s">
        <v>4209</v>
      </c>
      <c r="E92" s="8" t="s">
        <v>4210</v>
      </c>
      <c r="F92" s="8"/>
      <c r="H92" s="8" t="s">
        <v>2936</v>
      </c>
      <c r="I92" s="8" t="s">
        <v>3528</v>
      </c>
      <c r="J92" s="8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8" t="s">
        <v>4209</v>
      </c>
      <c r="E93" s="8" t="s">
        <v>4210</v>
      </c>
      <c r="F93" s="8"/>
      <c r="H93" s="8" t="s">
        <v>2936</v>
      </c>
      <c r="I93" s="8" t="s">
        <v>3531</v>
      </c>
      <c r="J93" s="8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8" t="s">
        <v>4209</v>
      </c>
      <c r="E94" s="8" t="s">
        <v>4210</v>
      </c>
      <c r="F94" s="8"/>
      <c r="H94" s="8" t="s">
        <v>2936</v>
      </c>
      <c r="I94" s="8" t="s">
        <v>3534</v>
      </c>
      <c r="J94" s="8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8" t="s">
        <v>4209</v>
      </c>
      <c r="E95" s="8" t="s">
        <v>4210</v>
      </c>
      <c r="F95" s="8"/>
      <c r="H95" s="8" t="s">
        <v>2936</v>
      </c>
      <c r="I95" s="8" t="s">
        <v>3537</v>
      </c>
      <c r="J95" s="8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8" t="s">
        <v>4216</v>
      </c>
      <c r="E96" s="8" t="s">
        <v>4211</v>
      </c>
      <c r="F96" s="8"/>
      <c r="H96" s="8"/>
      <c r="I96" s="8" t="s">
        <v>3540</v>
      </c>
      <c r="J96" s="8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8" t="s">
        <v>4216</v>
      </c>
      <c r="E97" s="8" t="s">
        <v>4211</v>
      </c>
      <c r="F97" s="8"/>
      <c r="H97" s="8" t="s">
        <v>2936</v>
      </c>
      <c r="I97" s="8" t="s">
        <v>3543</v>
      </c>
      <c r="J97" s="8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8" t="s">
        <v>4216</v>
      </c>
      <c r="E98" s="8" t="s">
        <v>4211</v>
      </c>
      <c r="F98" s="8"/>
      <c r="H98" s="8" t="s">
        <v>2936</v>
      </c>
      <c r="I98" s="8" t="s">
        <v>3546</v>
      </c>
      <c r="J98" s="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8" t="s">
        <v>4216</v>
      </c>
      <c r="E99" s="8" t="s">
        <v>4211</v>
      </c>
      <c r="F99" s="8"/>
      <c r="H99" s="8" t="s">
        <v>2936</v>
      </c>
      <c r="I99" s="8" t="s">
        <v>3549</v>
      </c>
      <c r="J99" s="8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8" t="s">
        <v>4216</v>
      </c>
      <c r="E100" s="8" t="s">
        <v>4211</v>
      </c>
      <c r="F100" s="8"/>
      <c r="H100" s="8" t="s">
        <v>2936</v>
      </c>
      <c r="I100" s="8" t="s">
        <v>3552</v>
      </c>
      <c r="J100" s="8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8" t="s">
        <v>4216</v>
      </c>
      <c r="E101" s="8" t="s">
        <v>4211</v>
      </c>
      <c r="F101" s="8"/>
      <c r="H101" s="8" t="s">
        <v>2936</v>
      </c>
      <c r="I101" s="8" t="s">
        <v>3555</v>
      </c>
      <c r="J101" s="8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8" t="s">
        <v>4</v>
      </c>
      <c r="E102" s="8" t="s">
        <v>8</v>
      </c>
      <c r="F102" s="8"/>
      <c r="H102" s="8"/>
      <c r="I102" s="8" t="s">
        <v>3558</v>
      </c>
      <c r="J102" s="8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8" t="s">
        <v>1606</v>
      </c>
      <c r="E103" s="8" t="s">
        <v>4194</v>
      </c>
      <c r="F103" s="8"/>
      <c r="H103" s="8"/>
      <c r="I103" s="8" t="s">
        <v>3561</v>
      </c>
      <c r="J103" s="8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8" t="s">
        <v>1606</v>
      </c>
      <c r="E104" s="8" t="s">
        <v>4217</v>
      </c>
      <c r="F104" s="8"/>
      <c r="H104" s="8"/>
      <c r="I104" s="8" t="s">
        <v>3564</v>
      </c>
      <c r="J104" s="8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8" t="s">
        <v>289</v>
      </c>
      <c r="E105" s="8" t="s">
        <v>4217</v>
      </c>
      <c r="F105" s="8" t="s">
        <v>4211</v>
      </c>
      <c r="H105" s="8"/>
      <c r="I105" s="8" t="s">
        <v>3567</v>
      </c>
      <c r="J105" s="8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8" t="s">
        <v>289</v>
      </c>
      <c r="E106" s="8" t="s">
        <v>4217</v>
      </c>
      <c r="F106" s="8" t="s">
        <v>4211</v>
      </c>
      <c r="H106" s="8" t="s">
        <v>2936</v>
      </c>
      <c r="I106" s="8" t="s">
        <v>3570</v>
      </c>
      <c r="J106" s="8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8" t="s">
        <v>289</v>
      </c>
      <c r="E107" s="8" t="s">
        <v>4217</v>
      </c>
      <c r="F107" s="8" t="s">
        <v>4211</v>
      </c>
      <c r="H107" s="8" t="s">
        <v>2936</v>
      </c>
      <c r="I107" s="8" t="s">
        <v>3573</v>
      </c>
      <c r="J107" s="8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8" t="s">
        <v>289</v>
      </c>
      <c r="E108" s="8" t="s">
        <v>4217</v>
      </c>
      <c r="F108" s="8" t="s">
        <v>4211</v>
      </c>
      <c r="H108" s="8" t="s">
        <v>2936</v>
      </c>
      <c r="I108" s="8" t="s">
        <v>3576</v>
      </c>
      <c r="J108" s="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8" t="s">
        <v>289</v>
      </c>
      <c r="E109" s="8" t="s">
        <v>4217</v>
      </c>
      <c r="F109" s="8" t="s">
        <v>4211</v>
      </c>
      <c r="H109" s="8" t="s">
        <v>2936</v>
      </c>
      <c r="I109" s="8" t="s">
        <v>3579</v>
      </c>
      <c r="J109" s="8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8" t="s">
        <v>289</v>
      </c>
      <c r="E110" s="8" t="s">
        <v>4217</v>
      </c>
      <c r="F110" s="8" t="s">
        <v>4211</v>
      </c>
      <c r="H110" s="8" t="s">
        <v>2936</v>
      </c>
      <c r="I110" s="8" t="s">
        <v>3582</v>
      </c>
      <c r="J110" s="8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8" t="s">
        <v>289</v>
      </c>
      <c r="E111" s="8" t="s">
        <v>4217</v>
      </c>
      <c r="F111" s="8" t="s">
        <v>4211</v>
      </c>
      <c r="H111" s="8" t="s">
        <v>2936</v>
      </c>
      <c r="I111" s="8" t="s">
        <v>3585</v>
      </c>
      <c r="J111" s="8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8" t="s">
        <v>289</v>
      </c>
      <c r="E112" s="8" t="s">
        <v>4217</v>
      </c>
      <c r="F112" s="8" t="s">
        <v>4211</v>
      </c>
      <c r="H112" s="8" t="s">
        <v>2936</v>
      </c>
      <c r="I112" s="8" t="s">
        <v>3588</v>
      </c>
      <c r="J112" s="8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8" t="s">
        <v>289</v>
      </c>
      <c r="E113" s="8" t="s">
        <v>4217</v>
      </c>
      <c r="F113" s="8" t="s">
        <v>4211</v>
      </c>
      <c r="H113" s="8" t="s">
        <v>2936</v>
      </c>
      <c r="I113" s="8" t="s">
        <v>3591</v>
      </c>
      <c r="J113" s="8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8" t="s">
        <v>289</v>
      </c>
      <c r="E114" s="8" t="s">
        <v>4217</v>
      </c>
      <c r="F114" s="8" t="s">
        <v>4211</v>
      </c>
      <c r="H114" s="8" t="s">
        <v>2936</v>
      </c>
      <c r="I114" s="8" t="s">
        <v>3594</v>
      </c>
      <c r="J114" s="8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8" t="s">
        <v>289</v>
      </c>
      <c r="E115" s="8" t="s">
        <v>4217</v>
      </c>
      <c r="F115" s="8" t="s">
        <v>4211</v>
      </c>
      <c r="H115" s="8" t="s">
        <v>2936</v>
      </c>
      <c r="I115" s="8" t="s">
        <v>3597</v>
      </c>
      <c r="J115" s="8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8" t="s">
        <v>289</v>
      </c>
      <c r="E116" s="8" t="s">
        <v>4217</v>
      </c>
      <c r="F116" s="8" t="s">
        <v>4211</v>
      </c>
      <c r="H116" s="8" t="s">
        <v>2936</v>
      </c>
      <c r="I116" s="8" t="s">
        <v>3600</v>
      </c>
      <c r="J116" s="8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8" t="s">
        <v>289</v>
      </c>
      <c r="E117" s="8" t="s">
        <v>4217</v>
      </c>
      <c r="F117" s="8" t="s">
        <v>4211</v>
      </c>
      <c r="H117" s="8" t="s">
        <v>2936</v>
      </c>
      <c r="I117" s="8" t="s">
        <v>3603</v>
      </c>
      <c r="J117" s="8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8" t="s">
        <v>289</v>
      </c>
      <c r="E118" s="8" t="s">
        <v>4217</v>
      </c>
      <c r="F118" s="8" t="s">
        <v>4211</v>
      </c>
      <c r="H118" s="8" t="s">
        <v>2936</v>
      </c>
      <c r="I118" s="8" t="s">
        <v>3606</v>
      </c>
      <c r="J118" s="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8" t="s">
        <v>650</v>
      </c>
      <c r="E119" s="8" t="s">
        <v>4217</v>
      </c>
      <c r="F119" s="8" t="s">
        <v>4211</v>
      </c>
      <c r="H119" s="8" t="s">
        <v>4218</v>
      </c>
      <c r="I119" s="8" t="s">
        <v>3609</v>
      </c>
      <c r="J119" s="8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8" t="s">
        <v>289</v>
      </c>
      <c r="E120" s="8" t="s">
        <v>4194</v>
      </c>
      <c r="F120" s="8" t="s">
        <v>4211</v>
      </c>
      <c r="H120" s="8"/>
      <c r="I120" s="8" t="s">
        <v>3612</v>
      </c>
      <c r="J120" s="8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8" t="s">
        <v>289</v>
      </c>
      <c r="E121" s="8" t="s">
        <v>4194</v>
      </c>
      <c r="F121" s="8" t="s">
        <v>4211</v>
      </c>
      <c r="H121" s="8" t="s">
        <v>2936</v>
      </c>
      <c r="I121" s="8" t="s">
        <v>3615</v>
      </c>
      <c r="J121" s="8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8" t="s">
        <v>289</v>
      </c>
      <c r="E122" s="8" t="s">
        <v>4194</v>
      </c>
      <c r="F122" s="8" t="s">
        <v>4211</v>
      </c>
      <c r="H122" s="8" t="s">
        <v>2936</v>
      </c>
      <c r="I122" s="8" t="s">
        <v>3618</v>
      </c>
      <c r="J122" s="8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8" t="s">
        <v>289</v>
      </c>
      <c r="E123" s="8" t="s">
        <v>4194</v>
      </c>
      <c r="F123" s="8" t="s">
        <v>4211</v>
      </c>
      <c r="H123" s="8" t="s">
        <v>2936</v>
      </c>
      <c r="I123" s="8" t="s">
        <v>3621</v>
      </c>
      <c r="J123" s="8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8" t="s">
        <v>289</v>
      </c>
      <c r="E124" s="8" t="s">
        <v>4194</v>
      </c>
      <c r="F124" s="8" t="s">
        <v>4211</v>
      </c>
      <c r="H124" s="8" t="s">
        <v>2936</v>
      </c>
      <c r="I124" s="8" t="s">
        <v>3624</v>
      </c>
      <c r="J124" s="8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8" t="s">
        <v>289</v>
      </c>
      <c r="E125" s="8" t="s">
        <v>4194</v>
      </c>
      <c r="F125" s="8" t="s">
        <v>4211</v>
      </c>
      <c r="H125" s="8" t="s">
        <v>2936</v>
      </c>
      <c r="I125" s="8" t="s">
        <v>3627</v>
      </c>
      <c r="J125" s="8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8" t="s">
        <v>289</v>
      </c>
      <c r="E126" s="8" t="s">
        <v>4194</v>
      </c>
      <c r="F126" s="8" t="s">
        <v>4211</v>
      </c>
      <c r="H126" s="8" t="s">
        <v>2936</v>
      </c>
      <c r="I126" s="8" t="s">
        <v>3630</v>
      </c>
      <c r="J126" s="8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8" t="s">
        <v>289</v>
      </c>
      <c r="E127" s="8" t="s">
        <v>4194</v>
      </c>
      <c r="F127" s="8" t="s">
        <v>4211</v>
      </c>
      <c r="H127" s="8" t="s">
        <v>2936</v>
      </c>
      <c r="I127" s="8" t="s">
        <v>3633</v>
      </c>
      <c r="J127" s="8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8" t="s">
        <v>289</v>
      </c>
      <c r="E128" s="8" t="s">
        <v>4194</v>
      </c>
      <c r="F128" s="8" t="s">
        <v>4211</v>
      </c>
      <c r="H128" s="8" t="s">
        <v>2936</v>
      </c>
      <c r="I128" s="8" t="s">
        <v>3636</v>
      </c>
      <c r="J128" s="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8" t="s">
        <v>289</v>
      </c>
      <c r="E129" s="8" t="s">
        <v>4194</v>
      </c>
      <c r="F129" s="8" t="s">
        <v>4211</v>
      </c>
      <c r="H129" s="8" t="s">
        <v>2936</v>
      </c>
      <c r="I129" s="8" t="s">
        <v>3639</v>
      </c>
      <c r="J129" s="8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8" t="s">
        <v>289</v>
      </c>
      <c r="E130" s="8" t="s">
        <v>4194</v>
      </c>
      <c r="F130" s="8" t="s">
        <v>4211</v>
      </c>
      <c r="H130" s="8" t="s">
        <v>2936</v>
      </c>
      <c r="I130" s="8" t="s">
        <v>3642</v>
      </c>
      <c r="J130" s="8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8" t="s">
        <v>289</v>
      </c>
      <c r="E131" s="8" t="s">
        <v>4194</v>
      </c>
      <c r="F131" s="8" t="s">
        <v>87</v>
      </c>
      <c r="H131" s="8"/>
      <c r="I131" s="8" t="s">
        <v>3645</v>
      </c>
      <c r="J131" s="8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8" t="s">
        <v>1606</v>
      </c>
      <c r="E132" s="8" t="s">
        <v>4195</v>
      </c>
      <c r="F132" s="8"/>
      <c r="H132" s="8"/>
      <c r="I132" s="8" t="s">
        <v>3648</v>
      </c>
      <c r="J132" s="8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8" t="s">
        <v>1606</v>
      </c>
      <c r="E133" s="8" t="s">
        <v>4195</v>
      </c>
      <c r="F133" s="8"/>
      <c r="H133" s="8" t="s">
        <v>2936</v>
      </c>
      <c r="I133" s="8" t="s">
        <v>3650</v>
      </c>
      <c r="J133" s="8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8" t="s">
        <v>289</v>
      </c>
      <c r="E134" s="8" t="s">
        <v>4195</v>
      </c>
      <c r="F134" s="8" t="s">
        <v>4211</v>
      </c>
      <c r="H134" s="8"/>
      <c r="I134" s="8" t="s">
        <v>3653</v>
      </c>
      <c r="J134" s="8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8" t="s">
        <v>289</v>
      </c>
      <c r="E135" s="8" t="s">
        <v>4195</v>
      </c>
      <c r="F135" s="8" t="s">
        <v>4211</v>
      </c>
      <c r="H135" s="8" t="s">
        <v>2936</v>
      </c>
      <c r="I135" s="8" t="s">
        <v>3656</v>
      </c>
      <c r="J135" s="8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8" t="s">
        <v>289</v>
      </c>
      <c r="E136" s="8" t="s">
        <v>4195</v>
      </c>
      <c r="F136" s="8" t="s">
        <v>4211</v>
      </c>
      <c r="H136" s="8" t="s">
        <v>2936</v>
      </c>
      <c r="I136" s="8" t="s">
        <v>3659</v>
      </c>
      <c r="J136" s="8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8" t="s">
        <v>289</v>
      </c>
      <c r="E137" s="8" t="s">
        <v>4195</v>
      </c>
      <c r="F137" s="8" t="s">
        <v>4211</v>
      </c>
      <c r="H137" s="8" t="s">
        <v>2936</v>
      </c>
      <c r="I137" s="8" t="s">
        <v>3662</v>
      </c>
      <c r="J137" s="8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8" t="s">
        <v>289</v>
      </c>
      <c r="E138" s="8" t="s">
        <v>4195</v>
      </c>
      <c r="F138" s="8" t="s">
        <v>4211</v>
      </c>
      <c r="H138" s="8" t="s">
        <v>2936</v>
      </c>
      <c r="I138" s="8" t="s">
        <v>3665</v>
      </c>
      <c r="J138" s="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8" t="s">
        <v>289</v>
      </c>
      <c r="E139" s="8" t="s">
        <v>4195</v>
      </c>
      <c r="F139" s="8" t="s">
        <v>4211</v>
      </c>
      <c r="H139" s="8" t="s">
        <v>2936</v>
      </c>
      <c r="I139" s="8" t="s">
        <v>3668</v>
      </c>
      <c r="J139" s="8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8" t="s">
        <v>289</v>
      </c>
      <c r="E140" s="8" t="s">
        <v>4195</v>
      </c>
      <c r="F140" s="8" t="s">
        <v>4211</v>
      </c>
      <c r="H140" s="8" t="s">
        <v>2936</v>
      </c>
      <c r="I140" s="8" t="s">
        <v>3671</v>
      </c>
      <c r="J140" s="8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8" t="s">
        <v>289</v>
      </c>
      <c r="E141" s="8" t="s">
        <v>4195</v>
      </c>
      <c r="F141" s="8" t="s">
        <v>4211</v>
      </c>
      <c r="H141" s="8" t="s">
        <v>2936</v>
      </c>
      <c r="I141" s="8" t="s">
        <v>3674</v>
      </c>
      <c r="J141" s="8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8" t="s">
        <v>289</v>
      </c>
      <c r="E142" s="8" t="s">
        <v>4195</v>
      </c>
      <c r="F142" s="8" t="s">
        <v>4211</v>
      </c>
      <c r="H142" s="8" t="s">
        <v>2936</v>
      </c>
      <c r="I142" s="8" t="s">
        <v>3677</v>
      </c>
      <c r="J142" s="8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8" t="s">
        <v>289</v>
      </c>
      <c r="E143" s="8" t="s">
        <v>4195</v>
      </c>
      <c r="F143" s="8" t="s">
        <v>4211</v>
      </c>
      <c r="H143" s="8" t="s">
        <v>2936</v>
      </c>
      <c r="I143" s="8" t="s">
        <v>3680</v>
      </c>
      <c r="J143" s="8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8" t="s">
        <v>289</v>
      </c>
      <c r="E144" s="8" t="s">
        <v>4195</v>
      </c>
      <c r="F144" s="8" t="s">
        <v>4211</v>
      </c>
      <c r="H144" s="8" t="s">
        <v>2936</v>
      </c>
      <c r="I144" s="8" t="s">
        <v>3683</v>
      </c>
      <c r="J144" s="8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8" t="s">
        <v>289</v>
      </c>
      <c r="E145" s="8" t="s">
        <v>4195</v>
      </c>
      <c r="F145" s="8" t="s">
        <v>4211</v>
      </c>
      <c r="H145" s="8" t="s">
        <v>2936</v>
      </c>
      <c r="I145" s="8" t="s">
        <v>3686</v>
      </c>
      <c r="J145" s="8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8" t="s">
        <v>289</v>
      </c>
      <c r="E146" s="8" t="s">
        <v>4195</v>
      </c>
      <c r="F146" s="8" t="s">
        <v>4211</v>
      </c>
      <c r="H146" s="8" t="s">
        <v>2936</v>
      </c>
      <c r="I146" s="8" t="s">
        <v>3689</v>
      </c>
      <c r="J146" s="8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8" t="s">
        <v>289</v>
      </c>
      <c r="E147" s="8" t="s">
        <v>4195</v>
      </c>
      <c r="F147" s="8" t="s">
        <v>4211</v>
      </c>
      <c r="H147" s="8" t="s">
        <v>2936</v>
      </c>
      <c r="I147" s="8" t="s">
        <v>3692</v>
      </c>
      <c r="J147" s="8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8" t="s">
        <v>289</v>
      </c>
      <c r="E148" s="8" t="s">
        <v>4195</v>
      </c>
      <c r="F148" s="8" t="s">
        <v>4211</v>
      </c>
      <c r="H148" s="8" t="s">
        <v>2936</v>
      </c>
      <c r="I148" s="8" t="s">
        <v>3695</v>
      </c>
      <c r="J148" s="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8" t="s">
        <v>289</v>
      </c>
      <c r="E149" s="8" t="s">
        <v>4195</v>
      </c>
      <c r="F149" s="8" t="s">
        <v>4211</v>
      </c>
      <c r="H149" s="8" t="s">
        <v>2936</v>
      </c>
      <c r="I149" s="8" t="s">
        <v>3698</v>
      </c>
      <c r="J149" s="8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8" t="s">
        <v>289</v>
      </c>
      <c r="E150" s="8" t="s">
        <v>4195</v>
      </c>
      <c r="F150" s="8" t="s">
        <v>4211</v>
      </c>
      <c r="H150" s="8" t="s">
        <v>2936</v>
      </c>
      <c r="I150" s="8" t="s">
        <v>3701</v>
      </c>
      <c r="J150" s="8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8" t="s">
        <v>289</v>
      </c>
      <c r="E151" s="8" t="s">
        <v>4195</v>
      </c>
      <c r="F151" s="8" t="s">
        <v>4211</v>
      </c>
      <c r="H151" s="8" t="s">
        <v>2936</v>
      </c>
      <c r="I151" s="8" t="s">
        <v>3704</v>
      </c>
      <c r="J151" s="8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8" t="s">
        <v>289</v>
      </c>
      <c r="E152" s="8" t="s">
        <v>4195</v>
      </c>
      <c r="F152" s="8" t="s">
        <v>4211</v>
      </c>
      <c r="H152" s="8" t="s">
        <v>2936</v>
      </c>
      <c r="I152" s="8" t="s">
        <v>3707</v>
      </c>
      <c r="J152" s="8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8" t="s">
        <v>289</v>
      </c>
      <c r="E153" s="8" t="s">
        <v>4195</v>
      </c>
      <c r="F153" s="8" t="s">
        <v>4211</v>
      </c>
      <c r="H153" s="8" t="s">
        <v>2936</v>
      </c>
      <c r="I153" s="8" t="s">
        <v>3710</v>
      </c>
      <c r="J153" s="8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8" t="s">
        <v>471</v>
      </c>
      <c r="E154" s="8" t="s">
        <v>4195</v>
      </c>
      <c r="F154" s="8"/>
      <c r="H154" s="8"/>
      <c r="I154" s="8" t="s">
        <v>3713</v>
      </c>
      <c r="J154" s="8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8" t="s">
        <v>650</v>
      </c>
      <c r="E155" s="8" t="s">
        <v>4195</v>
      </c>
      <c r="F155" s="8" t="s">
        <v>4211</v>
      </c>
      <c r="H155" s="8" t="s">
        <v>4219</v>
      </c>
      <c r="I155" s="8" t="s">
        <v>3716</v>
      </c>
      <c r="J155" s="8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8" t="s">
        <v>4297</v>
      </c>
      <c r="E156" s="8" t="s">
        <v>55</v>
      </c>
      <c r="F156" s="8"/>
      <c r="H156" s="8"/>
      <c r="I156" s="8" t="s">
        <v>4276</v>
      </c>
      <c r="J156" s="8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8" t="s">
        <v>289</v>
      </c>
      <c r="E157" s="8" t="s">
        <v>86</v>
      </c>
      <c r="F157" s="8" t="s">
        <v>200</v>
      </c>
      <c r="H157" s="8"/>
      <c r="I157" s="8" t="s">
        <v>4999</v>
      </c>
      <c r="J157" s="8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8" t="s">
        <v>289</v>
      </c>
      <c r="E158" s="8" t="s">
        <v>86</v>
      </c>
      <c r="F158" s="8" t="s">
        <v>200</v>
      </c>
      <c r="H158" s="8"/>
      <c r="I158" s="8" t="s">
        <v>5002</v>
      </c>
      <c r="J158" s="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8" t="s">
        <v>289</v>
      </c>
      <c r="E159" s="8" t="s">
        <v>86</v>
      </c>
      <c r="F159" s="8" t="s">
        <v>200</v>
      </c>
      <c r="H159" s="8"/>
      <c r="I159" s="8" t="s">
        <v>5005</v>
      </c>
      <c r="J159" s="8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8" t="s">
        <v>1094</v>
      </c>
      <c r="E160" s="8" t="s">
        <v>4247</v>
      </c>
      <c r="F160" s="8" t="s">
        <v>58</v>
      </c>
      <c r="H160" s="8"/>
      <c r="I160" s="8" t="s">
        <v>5008</v>
      </c>
      <c r="J160" s="8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8" t="s">
        <v>289</v>
      </c>
      <c r="E161" s="8" t="s">
        <v>86</v>
      </c>
      <c r="F161" s="8" t="s">
        <v>200</v>
      </c>
      <c r="H161" s="8"/>
      <c r="I161" s="8" t="s">
        <v>5011</v>
      </c>
      <c r="J161" s="8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8" t="s">
        <v>1094</v>
      </c>
      <c r="E162" s="8" t="s">
        <v>4247</v>
      </c>
      <c r="F162" s="8" t="s">
        <v>58</v>
      </c>
      <c r="H162" s="8"/>
      <c r="I162" s="8" t="s">
        <v>5014</v>
      </c>
      <c r="J162" s="8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8" t="s">
        <v>1094</v>
      </c>
      <c r="E163" s="8" t="s">
        <v>531</v>
      </c>
      <c r="F163" s="8" t="s">
        <v>58</v>
      </c>
      <c r="H163" s="8"/>
      <c r="I163" s="8" t="s">
        <v>5017</v>
      </c>
      <c r="J163" s="8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8" t="s">
        <v>4</v>
      </c>
      <c r="E164" s="8" t="s">
        <v>8</v>
      </c>
      <c r="F164" s="8"/>
      <c r="H164" s="8"/>
      <c r="I164" s="8" t="s">
        <v>5020</v>
      </c>
      <c r="J164" s="8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8" t="s">
        <v>289</v>
      </c>
      <c r="E165" s="8" t="s">
        <v>86</v>
      </c>
      <c r="F165" s="8" t="s">
        <v>60</v>
      </c>
      <c r="H165" s="8"/>
      <c r="I165" s="8" t="s">
        <v>5023</v>
      </c>
      <c r="J165" s="8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8" t="s">
        <v>289</v>
      </c>
      <c r="E166" s="8" t="s">
        <v>86</v>
      </c>
      <c r="F166" s="8" t="s">
        <v>60</v>
      </c>
      <c r="H166" s="8"/>
      <c r="I166" s="8" t="s">
        <v>5026</v>
      </c>
      <c r="J166" s="8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8" t="s">
        <v>289</v>
      </c>
      <c r="E167" s="8" t="s">
        <v>86</v>
      </c>
      <c r="F167" s="8" t="s">
        <v>200</v>
      </c>
      <c r="H167" s="8"/>
      <c r="I167" s="8" t="s">
        <v>5029</v>
      </c>
      <c r="J167" s="8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8" t="s">
        <v>4</v>
      </c>
      <c r="E168" s="8" t="s">
        <v>8</v>
      </c>
      <c r="F168" s="8"/>
      <c r="H168" s="8"/>
      <c r="I168" s="8" t="s">
        <v>5032</v>
      </c>
      <c r="J168" s="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8" t="s">
        <v>289</v>
      </c>
      <c r="E169" s="8" t="s">
        <v>86</v>
      </c>
      <c r="F169" s="8" t="s">
        <v>60</v>
      </c>
      <c r="H169" s="8"/>
      <c r="I169" s="8" t="s">
        <v>5035</v>
      </c>
      <c r="J169" s="8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8" t="s">
        <v>289</v>
      </c>
      <c r="E170" s="8" t="s">
        <v>86</v>
      </c>
      <c r="F170" s="8" t="s">
        <v>60</v>
      </c>
      <c r="H170" s="8"/>
      <c r="I170" s="8" t="s">
        <v>5038</v>
      </c>
      <c r="J170" s="8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8" t="s">
        <v>4</v>
      </c>
      <c r="E171" s="8" t="s">
        <v>8</v>
      </c>
      <c r="F171" s="8"/>
      <c r="H171" s="8"/>
      <c r="I171" s="8" t="s">
        <v>5041</v>
      </c>
      <c r="J171" s="8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8" t="s">
        <v>1094</v>
      </c>
      <c r="E172" s="8" t="s">
        <v>4247</v>
      </c>
      <c r="F172" s="8" t="s">
        <v>60</v>
      </c>
      <c r="H172" s="8"/>
      <c r="I172" s="8" t="s">
        <v>5116</v>
      </c>
      <c r="J172" s="8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8" t="s">
        <v>1094</v>
      </c>
      <c r="E173" s="8" t="s">
        <v>4247</v>
      </c>
      <c r="F173" s="8" t="s">
        <v>200</v>
      </c>
      <c r="H173" s="8"/>
      <c r="I173" s="8" t="s">
        <v>5119</v>
      </c>
      <c r="J173" s="8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8" t="s">
        <v>1094</v>
      </c>
      <c r="E174" s="8" t="s">
        <v>4247</v>
      </c>
      <c r="F174" s="8" t="s">
        <v>200</v>
      </c>
      <c r="H174" s="8"/>
      <c r="I174" s="8" t="s">
        <v>5122</v>
      </c>
      <c r="J174" s="8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8" t="s">
        <v>4</v>
      </c>
      <c r="E175" s="8" t="s">
        <v>8</v>
      </c>
      <c r="F175" s="8"/>
      <c r="H175" s="8" t="s">
        <v>2936</v>
      </c>
      <c r="I175" s="8" t="s">
        <v>5125</v>
      </c>
      <c r="J175" s="8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8" t="s">
        <v>4</v>
      </c>
      <c r="E176" s="8" t="s">
        <v>8</v>
      </c>
      <c r="F176" s="8"/>
      <c r="H176" s="8" t="s">
        <v>2936</v>
      </c>
      <c r="I176" s="8" t="s">
        <v>5128</v>
      </c>
      <c r="J176" s="8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8" t="s">
        <v>4</v>
      </c>
      <c r="E177" s="8" t="s">
        <v>8</v>
      </c>
      <c r="F177" s="8"/>
      <c r="H177" s="8" t="s">
        <v>2936</v>
      </c>
      <c r="I177" s="8" t="s">
        <v>5131</v>
      </c>
      <c r="J177" s="8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8" t="s">
        <v>4</v>
      </c>
      <c r="E178" s="8" t="s">
        <v>8</v>
      </c>
      <c r="F178" s="8"/>
      <c r="H178" s="8" t="s">
        <v>2936</v>
      </c>
      <c r="I178" s="8" t="s">
        <v>5044</v>
      </c>
      <c r="J178" s="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8" t="s">
        <v>4</v>
      </c>
      <c r="E179" s="8" t="s">
        <v>8</v>
      </c>
      <c r="F179" s="8"/>
      <c r="H179" s="8" t="s">
        <v>2936</v>
      </c>
      <c r="I179" s="8" t="s">
        <v>5047</v>
      </c>
      <c r="J179" s="8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8" t="s">
        <v>4</v>
      </c>
      <c r="E180" s="8" t="s">
        <v>8</v>
      </c>
      <c r="F180" s="8"/>
      <c r="H180" s="8" t="s">
        <v>2936</v>
      </c>
      <c r="I180" s="8" t="s">
        <v>5050</v>
      </c>
      <c r="J180" s="8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8" t="s">
        <v>289</v>
      </c>
      <c r="E181" s="8" t="s">
        <v>86</v>
      </c>
      <c r="F181" s="8" t="s">
        <v>200</v>
      </c>
      <c r="H181" s="8"/>
      <c r="I181" s="8" t="s">
        <v>5053</v>
      </c>
      <c r="J181" s="8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8" t="s">
        <v>289</v>
      </c>
      <c r="E182" s="8" t="s">
        <v>86</v>
      </c>
      <c r="F182" s="8" t="s">
        <v>200</v>
      </c>
      <c r="H182" s="8"/>
      <c r="I182" s="8" t="s">
        <v>5056</v>
      </c>
      <c r="J182" s="8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8" t="s">
        <v>289</v>
      </c>
      <c r="E183" s="8" t="s">
        <v>86</v>
      </c>
      <c r="F183" s="8" t="s">
        <v>200</v>
      </c>
      <c r="H183" s="8"/>
      <c r="I183" s="8" t="s">
        <v>5059</v>
      </c>
      <c r="J183" s="8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8" t="s">
        <v>289</v>
      </c>
      <c r="E184" s="8" t="s">
        <v>86</v>
      </c>
      <c r="F184" s="8" t="s">
        <v>200</v>
      </c>
      <c r="H184" s="8"/>
      <c r="I184" s="8" t="s">
        <v>5062</v>
      </c>
      <c r="J184" s="8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8" t="s">
        <v>289</v>
      </c>
      <c r="E185" s="8" t="s">
        <v>86</v>
      </c>
      <c r="F185" s="8" t="s">
        <v>200</v>
      </c>
      <c r="H185" s="8"/>
      <c r="I185" s="8" t="s">
        <v>5065</v>
      </c>
      <c r="J185" s="8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8" t="s">
        <v>5134</v>
      </c>
      <c r="E186" s="8"/>
      <c r="F186" s="8"/>
      <c r="H186" s="8"/>
      <c r="I186" s="8" t="s">
        <v>5068</v>
      </c>
      <c r="J186" s="8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8" t="s">
        <v>2004</v>
      </c>
      <c r="E187" s="8"/>
      <c r="F187" s="8"/>
      <c r="H187" s="8"/>
      <c r="I187" s="8" t="s">
        <v>5071</v>
      </c>
      <c r="J187" s="8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8" t="s">
        <v>2004</v>
      </c>
      <c r="E188" s="8"/>
      <c r="F188" s="8"/>
      <c r="H188" s="8"/>
      <c r="I188" s="8" t="s">
        <v>5229</v>
      </c>
      <c r="J188" s="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8" t="s">
        <v>4</v>
      </c>
      <c r="E189" s="8" t="s">
        <v>8</v>
      </c>
      <c r="F189" s="8"/>
      <c r="H189" s="8"/>
      <c r="I189" s="8" t="s">
        <v>5316</v>
      </c>
      <c r="J189" s="8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8" t="s">
        <v>289</v>
      </c>
      <c r="E190" s="8" t="s">
        <v>86</v>
      </c>
      <c r="F190" s="8" t="s">
        <v>200</v>
      </c>
      <c r="H190" s="8"/>
      <c r="I190" s="8" t="s">
        <v>5319</v>
      </c>
      <c r="J190" s="8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8" t="s">
        <v>289</v>
      </c>
      <c r="E191" s="8" t="s">
        <v>86</v>
      </c>
      <c r="F191" s="8" t="s">
        <v>200</v>
      </c>
      <c r="H191" s="8"/>
      <c r="I191" s="8" t="s">
        <v>5322</v>
      </c>
      <c r="J191" s="8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8" t="s">
        <v>2004</v>
      </c>
      <c r="E192" s="8" t="s">
        <v>8</v>
      </c>
      <c r="F192" s="8"/>
      <c r="H192" s="8"/>
      <c r="I192" s="8" t="s">
        <v>5548</v>
      </c>
      <c r="J192" s="8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s="8" t="s">
        <v>2004</v>
      </c>
      <c r="E193" s="8" t="s">
        <v>8</v>
      </c>
      <c r="F193" s="8"/>
      <c r="H193" s="8"/>
      <c r="I193" s="8" t="s">
        <v>5551</v>
      </c>
      <c r="J193" s="8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s="8" t="s">
        <v>2004</v>
      </c>
      <c r="E194" s="8" t="s">
        <v>8</v>
      </c>
      <c r="F194" s="8"/>
      <c r="H194" s="8"/>
      <c r="I194" s="8" t="s">
        <v>5554</v>
      </c>
      <c r="J194" s="8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s="8" t="s">
        <v>4212</v>
      </c>
      <c r="E195" s="8"/>
      <c r="F195" s="8"/>
      <c r="H195" s="8"/>
      <c r="I195" s="8" t="s">
        <v>6330</v>
      </c>
      <c r="J195" s="8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s="8" t="s">
        <v>4212</v>
      </c>
      <c r="E196" s="8"/>
      <c r="F196" s="8"/>
      <c r="H196" s="8"/>
      <c r="I196" s="8" t="s">
        <v>6333</v>
      </c>
      <c r="J196" s="8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s="8" t="s">
        <v>4212</v>
      </c>
      <c r="E197" s="8"/>
      <c r="F197" s="8"/>
      <c r="H197" s="8"/>
      <c r="I197" s="8" t="s">
        <v>6336</v>
      </c>
      <c r="J197" s="8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s="8" t="s">
        <v>2004</v>
      </c>
      <c r="E198" s="8" t="s">
        <v>8</v>
      </c>
      <c r="F198" s="8"/>
      <c r="H198" s="8"/>
      <c r="I198" s="8" t="s">
        <v>6320</v>
      </c>
      <c r="J198" s="8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s="8" t="s">
        <v>2004</v>
      </c>
      <c r="E199" s="8" t="s">
        <v>8</v>
      </c>
      <c r="F199" s="8"/>
      <c r="H199" s="8"/>
      <c r="I199" s="8" t="s">
        <v>6560</v>
      </c>
      <c r="J199" s="8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s="8" t="s">
        <v>4</v>
      </c>
      <c r="E200" s="8" t="s">
        <v>6868</v>
      </c>
      <c r="F200" s="8"/>
      <c r="H200" s="8"/>
      <c r="I200" s="8" t="s">
        <v>6875</v>
      </c>
      <c r="J200" s="8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s="8" t="s">
        <v>2004</v>
      </c>
      <c r="E201" s="8" t="s">
        <v>8</v>
      </c>
      <c r="F201" s="8"/>
      <c r="H201" s="8"/>
      <c r="I201" s="8" t="s">
        <v>6926</v>
      </c>
      <c r="J201" s="8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s="8" t="s">
        <v>4212</v>
      </c>
      <c r="E202" s="8"/>
      <c r="F202" s="8"/>
      <c r="H202" s="8"/>
      <c r="I202" s="8" t="s">
        <v>7160</v>
      </c>
      <c r="J202" s="8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s="8" t="s">
        <v>2004</v>
      </c>
      <c r="E203" s="8" t="s">
        <v>8</v>
      </c>
      <c r="F203" s="8"/>
      <c r="H203" s="8"/>
      <c r="I203" s="8" t="s">
        <v>6929</v>
      </c>
      <c r="J203" s="8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s="8" t="s">
        <v>2004</v>
      </c>
      <c r="E204" s="8" t="s">
        <v>8</v>
      </c>
      <c r="F204" s="8"/>
      <c r="H204" s="8"/>
      <c r="I204" s="8" t="s">
        <v>7214</v>
      </c>
      <c r="J204" s="8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s="8" t="s">
        <v>2004</v>
      </c>
      <c r="E205" s="8" t="s">
        <v>8</v>
      </c>
      <c r="F205" s="8"/>
      <c r="H205" s="8"/>
      <c r="I205" s="8" t="s">
        <v>7411</v>
      </c>
      <c r="J205" s="8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s="8" t="s">
        <v>2004</v>
      </c>
      <c r="E206" s="8" t="s">
        <v>8</v>
      </c>
      <c r="F206" s="8"/>
      <c r="H206" s="8"/>
      <c r="I206" s="8" t="s">
        <v>7414</v>
      </c>
      <c r="J206" s="8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s="8" t="s">
        <v>2004</v>
      </c>
      <c r="E207" s="8" t="s">
        <v>8</v>
      </c>
      <c r="F207" s="8"/>
      <c r="H207" s="8"/>
      <c r="I207" s="8" t="s">
        <v>7700</v>
      </c>
      <c r="J207" s="8" t="s">
        <v>2984</v>
      </c>
      <c r="K207" t="s">
        <v>7701</v>
      </c>
      <c r="L207" t="s">
        <v>7702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s="8" t="s">
        <v>2004</v>
      </c>
      <c r="E208" s="8" t="s">
        <v>8</v>
      </c>
      <c r="F208" s="8"/>
      <c r="H208" s="8"/>
      <c r="I208" s="8" t="s">
        <v>7703</v>
      </c>
      <c r="J208" s="8" t="s">
        <v>2984</v>
      </c>
      <c r="K208" t="s">
        <v>7704</v>
      </c>
      <c r="L208" t="s">
        <v>7705</v>
      </c>
      <c r="M208" s="3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2" t="s">
        <v>17</v>
      </c>
      <c r="B209" s="4">
        <v>46017</v>
      </c>
      <c r="C209" s="5">
        <v>0.74277777777777776</v>
      </c>
      <c r="D209" s="8" t="s">
        <v>2004</v>
      </c>
      <c r="E209" s="8" t="s">
        <v>8</v>
      </c>
      <c r="F209" s="8"/>
      <c r="H209" s="8"/>
      <c r="I209" s="8" t="s">
        <v>7867</v>
      </c>
      <c r="J209" s="8" t="s">
        <v>2984</v>
      </c>
      <c r="K209" t="s">
        <v>7868</v>
      </c>
      <c r="L209" t="s">
        <v>7869</v>
      </c>
      <c r="M209" s="3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2" t="s">
        <v>18</v>
      </c>
      <c r="B210" s="4">
        <v>46018</v>
      </c>
      <c r="C210" s="5">
        <v>0.74277777777777776</v>
      </c>
      <c r="D210" s="8" t="s">
        <v>2004</v>
      </c>
      <c r="E210" s="8" t="s">
        <v>8</v>
      </c>
      <c r="F210" s="8"/>
      <c r="H210" s="8"/>
      <c r="I210" s="8" t="s">
        <v>8046</v>
      </c>
      <c r="J210" s="8" t="s">
        <v>2984</v>
      </c>
      <c r="K210" t="s">
        <v>8047</v>
      </c>
      <c r="L210" t="s">
        <v>8048</v>
      </c>
      <c r="M210" s="3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2" t="s">
        <v>22</v>
      </c>
      <c r="B211" s="4">
        <v>46019</v>
      </c>
      <c r="C211" s="5">
        <v>0.74277777777777776</v>
      </c>
      <c r="D211" s="8" t="s">
        <v>2004</v>
      </c>
      <c r="E211" s="8" t="s">
        <v>8</v>
      </c>
      <c r="F211" s="8"/>
      <c r="H211" s="8"/>
      <c r="I211" s="8" t="s">
        <v>8049</v>
      </c>
      <c r="J211" s="8" t="s">
        <v>2984</v>
      </c>
      <c r="K211" t="s">
        <v>8050</v>
      </c>
      <c r="L211" t="s">
        <v>8051</v>
      </c>
      <c r="M211" s="3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2" t="s">
        <v>13</v>
      </c>
      <c r="B212" s="4">
        <v>46020</v>
      </c>
      <c r="C212" s="5">
        <v>0.74277777777777776</v>
      </c>
      <c r="D212" s="8" t="s">
        <v>2004</v>
      </c>
      <c r="E212" s="8" t="s">
        <v>8</v>
      </c>
      <c r="F212" s="8"/>
      <c r="H212" s="8"/>
      <c r="I212" s="8" t="s">
        <v>8336</v>
      </c>
      <c r="J212" s="8" t="s">
        <v>2984</v>
      </c>
      <c r="K212" t="s">
        <v>8337</v>
      </c>
      <c r="L212" t="s">
        <v>8338</v>
      </c>
      <c r="M212" s="3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2" t="s">
        <v>14</v>
      </c>
      <c r="B213" s="4">
        <v>46021</v>
      </c>
      <c r="C213" s="5">
        <v>0.74277777777777776</v>
      </c>
      <c r="D213" s="8" t="s">
        <v>2004</v>
      </c>
      <c r="E213" s="8" t="s">
        <v>8</v>
      </c>
      <c r="F213" s="8"/>
      <c r="H213" s="8"/>
      <c r="I213" s="8" t="s">
        <v>8339</v>
      </c>
      <c r="J213" s="8" t="s">
        <v>2984</v>
      </c>
      <c r="K213" t="s">
        <v>8340</v>
      </c>
      <c r="L213" t="s">
        <v>8341</v>
      </c>
      <c r="M213" s="3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2" t="s">
        <v>15</v>
      </c>
      <c r="B214" s="4">
        <v>46022</v>
      </c>
      <c r="C214" s="5">
        <v>0.74277777777777776</v>
      </c>
      <c r="D214" s="8" t="s">
        <v>2004</v>
      </c>
      <c r="E214" s="8" t="s">
        <v>8</v>
      </c>
      <c r="F214" s="8"/>
      <c r="H214" s="8"/>
      <c r="I214" s="8" t="s">
        <v>8342</v>
      </c>
      <c r="J214" s="8" t="s">
        <v>2984</v>
      </c>
      <c r="K214" t="s">
        <v>8343</v>
      </c>
      <c r="L214" t="s">
        <v>8344</v>
      </c>
      <c r="M214" s="3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2" t="s">
        <v>16</v>
      </c>
      <c r="B215" s="4">
        <v>46023</v>
      </c>
      <c r="C215" s="5">
        <v>0.74277777777777776</v>
      </c>
      <c r="D215" s="8" t="s">
        <v>2004</v>
      </c>
      <c r="E215" s="8" t="s">
        <v>8</v>
      </c>
      <c r="F215" s="8"/>
      <c r="H215" s="8"/>
      <c r="I215" s="8" t="s">
        <v>8346</v>
      </c>
      <c r="J215" s="8" t="s">
        <v>2984</v>
      </c>
      <c r="K215" t="s">
        <v>8347</v>
      </c>
      <c r="L215" t="s">
        <v>8345</v>
      </c>
      <c r="M215" s="3" t="str">
        <f>HYPERLINK(склад2въезд13192021[[#This Row],[RelativePath]])</f>
        <v>7 Площадка 2 бетонщики\K08156189_18_20260101T174936Z.jpg</v>
      </c>
    </row>
    <row r="216" spans="1:13" x14ac:dyDescent="0.25">
      <c r="A216" s="2" t="s">
        <v>16</v>
      </c>
      <c r="B216" s="4">
        <v>46023</v>
      </c>
      <c r="C216" s="5">
        <v>0.74277777777777776</v>
      </c>
      <c r="D216" s="8" t="s">
        <v>2004</v>
      </c>
      <c r="E216" s="8" t="s">
        <v>8</v>
      </c>
      <c r="F216" s="8"/>
      <c r="H216" s="8"/>
      <c r="I216" s="8" t="s">
        <v>8348</v>
      </c>
      <c r="J216" s="8" t="s">
        <v>2984</v>
      </c>
      <c r="K216" t="s">
        <v>8349</v>
      </c>
      <c r="L216" t="s">
        <v>8345</v>
      </c>
      <c r="M216" s="3" t="str">
        <f>HYPERLINK(склад2въезд13192021[[#This Row],[RelativePath]])</f>
        <v>7 Площадка 2 бетонщики\K09156189_18_20260101T174936Z.jpg</v>
      </c>
    </row>
    <row r="217" spans="1:13" x14ac:dyDescent="0.25">
      <c r="A217" s="2" t="s">
        <v>17</v>
      </c>
      <c r="B217" s="4">
        <v>46024</v>
      </c>
      <c r="C217" s="5">
        <v>0.67616898148148152</v>
      </c>
      <c r="D217" s="8" t="s">
        <v>2004</v>
      </c>
      <c r="E217" s="8" t="s">
        <v>8</v>
      </c>
      <c r="F217" s="8"/>
      <c r="H217" s="8"/>
      <c r="I217" s="8" t="s">
        <v>8474</v>
      </c>
      <c r="J217" s="8" t="s">
        <v>2984</v>
      </c>
      <c r="K217" t="s">
        <v>8475</v>
      </c>
      <c r="L217" t="s">
        <v>8476</v>
      </c>
      <c r="M217" s="3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2" t="s">
        <v>18</v>
      </c>
      <c r="B218" s="4">
        <v>46025</v>
      </c>
      <c r="C218" s="5">
        <v>0.73359953703703706</v>
      </c>
      <c r="D218" s="8" t="s">
        <v>2004</v>
      </c>
      <c r="E218" s="8" t="s">
        <v>8</v>
      </c>
      <c r="F218" s="8"/>
      <c r="H218" s="8"/>
      <c r="I218" s="8" t="s">
        <v>8477</v>
      </c>
      <c r="J218" s="8" t="s">
        <v>2984</v>
      </c>
      <c r="K218" t="s">
        <v>8478</v>
      </c>
      <c r="L218" t="s">
        <v>8479</v>
      </c>
      <c r="M218" s="3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2" t="s">
        <v>22</v>
      </c>
      <c r="B219" s="4">
        <v>46026</v>
      </c>
      <c r="C219" s="5">
        <v>0.69012731481481482</v>
      </c>
      <c r="D219" s="8" t="s">
        <v>2004</v>
      </c>
      <c r="E219" s="8" t="s">
        <v>8</v>
      </c>
      <c r="F219" s="8"/>
      <c r="H219" s="8"/>
      <c r="I219" s="8" t="s">
        <v>8480</v>
      </c>
      <c r="J219" s="8" t="s">
        <v>2984</v>
      </c>
      <c r="K219" t="s">
        <v>8481</v>
      </c>
      <c r="L219" t="s">
        <v>8482</v>
      </c>
      <c r="M219" s="3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2" t="s">
        <v>13</v>
      </c>
      <c r="B220" s="4">
        <v>46027</v>
      </c>
      <c r="C220" s="5">
        <v>0.65591435185185187</v>
      </c>
      <c r="D220" s="8" t="s">
        <v>2004</v>
      </c>
      <c r="E220" s="8" t="s">
        <v>8</v>
      </c>
      <c r="F220" s="8"/>
      <c r="H220" s="8"/>
      <c r="I220" s="8" t="s">
        <v>8679</v>
      </c>
      <c r="J220" s="8" t="s">
        <v>2984</v>
      </c>
      <c r="K220" t="s">
        <v>8680</v>
      </c>
      <c r="L220" t="s">
        <v>8681</v>
      </c>
      <c r="M220" s="3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2" t="s">
        <v>14</v>
      </c>
      <c r="B221" s="4">
        <v>46028</v>
      </c>
      <c r="C221" s="5">
        <v>0.65072916666666669</v>
      </c>
      <c r="D221" s="8" t="s">
        <v>2004</v>
      </c>
      <c r="E221" s="8" t="s">
        <v>8</v>
      </c>
      <c r="F221" s="8"/>
      <c r="H221" s="8"/>
      <c r="I221" s="8" t="s">
        <v>8806</v>
      </c>
      <c r="J221" s="8" t="s">
        <v>2984</v>
      </c>
      <c r="K221" t="s">
        <v>8807</v>
      </c>
      <c r="L221" t="s">
        <v>8808</v>
      </c>
      <c r="M221" s="3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2" t="s">
        <v>15</v>
      </c>
      <c r="B222" s="4">
        <v>46029</v>
      </c>
      <c r="C222" s="5">
        <v>0.75291666666666668</v>
      </c>
      <c r="D222" s="8" t="s">
        <v>2004</v>
      </c>
      <c r="E222" s="8" t="s">
        <v>8</v>
      </c>
      <c r="F222" s="8"/>
      <c r="H222" s="8"/>
      <c r="I222" s="8" t="s">
        <v>8809</v>
      </c>
      <c r="J222" s="8" t="s">
        <v>2984</v>
      </c>
      <c r="K222" t="s">
        <v>8810</v>
      </c>
      <c r="L222" t="s">
        <v>8811</v>
      </c>
      <c r="M222" s="3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2" t="s">
        <v>16</v>
      </c>
      <c r="B223" s="4">
        <v>46030</v>
      </c>
      <c r="C223" s="5">
        <v>0.75424768518518515</v>
      </c>
      <c r="D223" s="8" t="s">
        <v>2004</v>
      </c>
      <c r="E223" s="8" t="s">
        <v>8</v>
      </c>
      <c r="F223" s="8"/>
      <c r="H223" s="8"/>
      <c r="I223" s="8" t="s">
        <v>8812</v>
      </c>
      <c r="J223" s="8" t="s">
        <v>2984</v>
      </c>
      <c r="K223" t="s">
        <v>8813</v>
      </c>
      <c r="L223" t="s">
        <v>8814</v>
      </c>
      <c r="M223" s="3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2" t="s">
        <v>17</v>
      </c>
      <c r="B224" s="4">
        <v>46031</v>
      </c>
      <c r="C224" s="5">
        <v>0.75417824074074069</v>
      </c>
      <c r="D224" s="8" t="s">
        <v>2004</v>
      </c>
      <c r="E224" s="8" t="s">
        <v>8</v>
      </c>
      <c r="F224" s="8"/>
      <c r="H224" s="8"/>
      <c r="I224" s="8" t="s">
        <v>8815</v>
      </c>
      <c r="J224" s="8" t="s">
        <v>2984</v>
      </c>
      <c r="K224" t="s">
        <v>8816</v>
      </c>
      <c r="L224" t="s">
        <v>8817</v>
      </c>
      <c r="M224" s="3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2" t="s">
        <v>18</v>
      </c>
      <c r="B225" s="4">
        <v>46032</v>
      </c>
      <c r="C225" s="5">
        <v>0.60555555555555551</v>
      </c>
      <c r="D225" s="8" t="s">
        <v>2004</v>
      </c>
      <c r="E225" s="8" t="s">
        <v>8</v>
      </c>
      <c r="F225" s="8"/>
      <c r="H225" s="8"/>
      <c r="I225" s="8" t="s">
        <v>8818</v>
      </c>
      <c r="J225" s="8" t="s">
        <v>2984</v>
      </c>
      <c r="K225" t="s">
        <v>8819</v>
      </c>
      <c r="L225" t="s">
        <v>8820</v>
      </c>
      <c r="M225" s="3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2" t="s">
        <v>22</v>
      </c>
      <c r="B226" s="4">
        <v>46033</v>
      </c>
      <c r="C226" s="5">
        <v>0.75715277777777779</v>
      </c>
      <c r="D226" s="8" t="s">
        <v>2004</v>
      </c>
      <c r="E226" s="8" t="s">
        <v>8</v>
      </c>
      <c r="F226" s="8"/>
      <c r="H226" s="8"/>
      <c r="I226" s="8" t="s">
        <v>8821</v>
      </c>
      <c r="J226" s="8" t="s">
        <v>2984</v>
      </c>
      <c r="K226" t="s">
        <v>8822</v>
      </c>
      <c r="L226" t="s">
        <v>8823</v>
      </c>
      <c r="M226" s="3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2" t="s">
        <v>13</v>
      </c>
      <c r="B227" s="4">
        <v>46034</v>
      </c>
      <c r="C227" s="5">
        <v>0.6799074074074074</v>
      </c>
      <c r="D227" s="8" t="s">
        <v>2004</v>
      </c>
      <c r="E227" s="8" t="s">
        <v>8</v>
      </c>
      <c r="F227" s="8"/>
      <c r="H227" s="8"/>
      <c r="I227" s="8" t="s">
        <v>9192</v>
      </c>
      <c r="J227" s="8" t="s">
        <v>2984</v>
      </c>
      <c r="K227" t="s">
        <v>9193</v>
      </c>
      <c r="L227" t="s">
        <v>9194</v>
      </c>
      <c r="M227" s="3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2" t="s">
        <v>14</v>
      </c>
      <c r="B228" s="4">
        <v>46035</v>
      </c>
      <c r="C228" s="5">
        <v>0.3943402777777778</v>
      </c>
      <c r="D228" s="8" t="s">
        <v>2004</v>
      </c>
      <c r="E228" s="8" t="s">
        <v>8</v>
      </c>
      <c r="F228" s="8"/>
      <c r="H228" s="8"/>
      <c r="I228" s="8" t="s">
        <v>9195</v>
      </c>
      <c r="J228" s="8" t="s">
        <v>2984</v>
      </c>
      <c r="K228" t="s">
        <v>9196</v>
      </c>
      <c r="L228" t="s">
        <v>9197</v>
      </c>
      <c r="M228" s="3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2" t="s">
        <v>15</v>
      </c>
      <c r="B229" s="4">
        <v>46036</v>
      </c>
      <c r="C229" s="5">
        <v>0.56313657407407403</v>
      </c>
      <c r="D229" s="8" t="s">
        <v>2004</v>
      </c>
      <c r="E229" s="8" t="s">
        <v>8</v>
      </c>
      <c r="F229" s="8"/>
      <c r="H229" s="8"/>
      <c r="I229" s="8" t="s">
        <v>9400</v>
      </c>
      <c r="J229" s="8" t="s">
        <v>2984</v>
      </c>
      <c r="K229" t="s">
        <v>9401</v>
      </c>
      <c r="L229" t="s">
        <v>9402</v>
      </c>
      <c r="M229" s="3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2" t="s">
        <v>16</v>
      </c>
      <c r="B230" s="4">
        <v>46037</v>
      </c>
      <c r="C230" s="5">
        <v>0.65937500000000004</v>
      </c>
      <c r="D230" s="8" t="s">
        <v>2004</v>
      </c>
      <c r="E230" s="8" t="s">
        <v>8</v>
      </c>
      <c r="F230" s="8"/>
      <c r="H230" s="8"/>
      <c r="I230" s="8" t="s">
        <v>9403</v>
      </c>
      <c r="J230" s="8" t="s">
        <v>2984</v>
      </c>
      <c r="K230" t="s">
        <v>9404</v>
      </c>
      <c r="L230" t="s">
        <v>9405</v>
      </c>
      <c r="M230" s="3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2" t="s">
        <v>17</v>
      </c>
      <c r="B231" s="4">
        <v>46038</v>
      </c>
      <c r="C231" s="5">
        <v>0.74118055555555551</v>
      </c>
      <c r="D231" s="8" t="s">
        <v>2004</v>
      </c>
      <c r="E231" s="8" t="s">
        <v>8</v>
      </c>
      <c r="F231" s="8"/>
      <c r="H231" s="8"/>
      <c r="I231" s="8" t="s">
        <v>9406</v>
      </c>
      <c r="J231" s="8" t="s">
        <v>2984</v>
      </c>
      <c r="K231" t="s">
        <v>9407</v>
      </c>
      <c r="L231" t="s">
        <v>9408</v>
      </c>
      <c r="M231" s="3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2" t="s">
        <v>18</v>
      </c>
      <c r="B232" s="4">
        <v>46039</v>
      </c>
      <c r="C232" s="5">
        <v>0.76306712962962964</v>
      </c>
      <c r="D232" s="8" t="s">
        <v>2004</v>
      </c>
      <c r="E232" s="8" t="s">
        <v>8</v>
      </c>
      <c r="F232" s="8"/>
      <c r="H232" s="8"/>
      <c r="I232" s="8" t="s">
        <v>9686</v>
      </c>
      <c r="J232" s="8" t="s">
        <v>2984</v>
      </c>
      <c r="K232" t="s">
        <v>9687</v>
      </c>
      <c r="L232" t="s">
        <v>9617</v>
      </c>
      <c r="M232" s="3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2" t="s">
        <v>22</v>
      </c>
      <c r="B233" s="4">
        <v>46040</v>
      </c>
      <c r="C233" s="5">
        <v>0.61505787037037041</v>
      </c>
      <c r="D233" s="8" t="s">
        <v>2004</v>
      </c>
      <c r="E233" s="8" t="s">
        <v>8</v>
      </c>
      <c r="F233" s="8"/>
      <c r="H233" s="8"/>
      <c r="I233" s="8" t="s">
        <v>9688</v>
      </c>
      <c r="J233" s="8" t="s">
        <v>2984</v>
      </c>
      <c r="K233" t="s">
        <v>9689</v>
      </c>
      <c r="L233" t="s">
        <v>9690</v>
      </c>
      <c r="M233" s="3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2" t="s">
        <v>13</v>
      </c>
      <c r="B234" s="4">
        <v>46041</v>
      </c>
      <c r="C234" s="5">
        <v>0.6087731481481482</v>
      </c>
      <c r="D234" s="8" t="s">
        <v>4</v>
      </c>
      <c r="E234" s="8" t="s">
        <v>9913</v>
      </c>
      <c r="F234" s="8"/>
      <c r="H234" s="8"/>
      <c r="I234" s="8" t="s">
        <v>9877</v>
      </c>
      <c r="J234" s="8" t="s">
        <v>2984</v>
      </c>
      <c r="K234" t="s">
        <v>9878</v>
      </c>
      <c r="L234" t="s">
        <v>9879</v>
      </c>
      <c r="M234" s="3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2" t="s">
        <v>13</v>
      </c>
      <c r="B235" s="4">
        <v>46041</v>
      </c>
      <c r="C235" s="5">
        <v>0.64523148148148146</v>
      </c>
      <c r="D235" s="8" t="s">
        <v>4</v>
      </c>
      <c r="E235" s="8" t="s">
        <v>9913</v>
      </c>
      <c r="F235" s="8"/>
      <c r="H235" s="8" t="s">
        <v>2936</v>
      </c>
      <c r="I235" s="8" t="s">
        <v>9880</v>
      </c>
      <c r="J235" s="8" t="s">
        <v>2984</v>
      </c>
      <c r="K235" t="s">
        <v>9881</v>
      </c>
      <c r="L235" t="s">
        <v>9882</v>
      </c>
      <c r="M235" s="3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2" t="s">
        <v>13</v>
      </c>
      <c r="B236" s="4">
        <v>46041</v>
      </c>
      <c r="C236" s="5">
        <v>0.67918981481481477</v>
      </c>
      <c r="D236" s="8" t="s">
        <v>4</v>
      </c>
      <c r="E236" s="8" t="s">
        <v>9913</v>
      </c>
      <c r="F236" s="8"/>
      <c r="H236" s="8" t="s">
        <v>2936</v>
      </c>
      <c r="I236" s="8" t="s">
        <v>9883</v>
      </c>
      <c r="J236" s="8" t="s">
        <v>2984</v>
      </c>
      <c r="K236" t="s">
        <v>9884</v>
      </c>
      <c r="L236" t="s">
        <v>9885</v>
      </c>
      <c r="M236" s="3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2" t="s">
        <v>13</v>
      </c>
      <c r="B237" s="4">
        <v>46041</v>
      </c>
      <c r="C237" s="5">
        <v>0.70503472222222219</v>
      </c>
      <c r="D237" s="8" t="s">
        <v>4</v>
      </c>
      <c r="E237" s="8" t="s">
        <v>9913</v>
      </c>
      <c r="F237" s="8"/>
      <c r="H237" s="8" t="s">
        <v>2936</v>
      </c>
      <c r="I237" s="8" t="s">
        <v>9886</v>
      </c>
      <c r="J237" s="8" t="s">
        <v>2984</v>
      </c>
      <c r="K237" t="s">
        <v>9887</v>
      </c>
      <c r="L237" t="s">
        <v>9888</v>
      </c>
      <c r="M237" s="3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2" t="s">
        <v>14</v>
      </c>
      <c r="B238" s="4">
        <v>46042</v>
      </c>
      <c r="C238" s="5">
        <v>0.4791435185185185</v>
      </c>
      <c r="D238" s="8" t="s">
        <v>4</v>
      </c>
      <c r="E238" s="8" t="s">
        <v>9913</v>
      </c>
      <c r="F238" s="8"/>
      <c r="H238" s="8" t="s">
        <v>2936</v>
      </c>
      <c r="I238" s="8" t="s">
        <v>9889</v>
      </c>
      <c r="J238" s="8" t="s">
        <v>2984</v>
      </c>
      <c r="K238" t="s">
        <v>9890</v>
      </c>
      <c r="L238" t="s">
        <v>9891</v>
      </c>
      <c r="M238" s="3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2" t="s">
        <v>14</v>
      </c>
      <c r="B239" s="4">
        <v>46042</v>
      </c>
      <c r="C239" s="5">
        <v>0.48581018518518521</v>
      </c>
      <c r="D239" s="8" t="s">
        <v>4</v>
      </c>
      <c r="E239" s="8" t="s">
        <v>9913</v>
      </c>
      <c r="F239" s="8"/>
      <c r="H239" s="8" t="s">
        <v>2936</v>
      </c>
      <c r="I239" s="8" t="s">
        <v>9892</v>
      </c>
      <c r="J239" s="8" t="s">
        <v>2984</v>
      </c>
      <c r="K239" t="s">
        <v>9893</v>
      </c>
      <c r="L239" t="s">
        <v>9894</v>
      </c>
      <c r="M239" s="3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2" t="s">
        <v>14</v>
      </c>
      <c r="B240" s="4">
        <v>46042</v>
      </c>
      <c r="C240" s="5">
        <v>0.51609953703703704</v>
      </c>
      <c r="D240" s="8" t="s">
        <v>4</v>
      </c>
      <c r="E240" s="8" t="s">
        <v>9913</v>
      </c>
      <c r="F240" s="8"/>
      <c r="H240" s="8" t="s">
        <v>2936</v>
      </c>
      <c r="I240" s="8" t="s">
        <v>9895</v>
      </c>
      <c r="J240" s="8" t="s">
        <v>2984</v>
      </c>
      <c r="K240" t="s">
        <v>9896</v>
      </c>
      <c r="L240" t="s">
        <v>9897</v>
      </c>
      <c r="M240" s="3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2" t="s">
        <v>14</v>
      </c>
      <c r="B241" s="4">
        <v>46042</v>
      </c>
      <c r="C241" s="5">
        <v>0.54896990740740736</v>
      </c>
      <c r="D241" s="8" t="s">
        <v>4</v>
      </c>
      <c r="E241" s="8" t="s">
        <v>9913</v>
      </c>
      <c r="F241" s="8"/>
      <c r="H241" s="8" t="s">
        <v>2936</v>
      </c>
      <c r="I241" s="8" t="s">
        <v>9898</v>
      </c>
      <c r="J241" s="8" t="s">
        <v>2984</v>
      </c>
      <c r="K241" t="s">
        <v>9899</v>
      </c>
      <c r="L241" t="s">
        <v>9900</v>
      </c>
      <c r="M241" s="3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2" t="s">
        <v>14</v>
      </c>
      <c r="B242" s="4">
        <v>46042</v>
      </c>
      <c r="C242" s="5">
        <v>0.59947916666666667</v>
      </c>
      <c r="D242" s="8" t="s">
        <v>4</v>
      </c>
      <c r="E242" s="8" t="s">
        <v>9913</v>
      </c>
      <c r="F242" s="8"/>
      <c r="H242" s="8" t="s">
        <v>2936</v>
      </c>
      <c r="I242" s="8" t="s">
        <v>9901</v>
      </c>
      <c r="J242" s="8" t="s">
        <v>2984</v>
      </c>
      <c r="K242" t="s">
        <v>9902</v>
      </c>
      <c r="L242" t="s">
        <v>9903</v>
      </c>
      <c r="M242" s="3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2" t="s">
        <v>14</v>
      </c>
      <c r="B243" s="4">
        <v>46042</v>
      </c>
      <c r="C243" s="5">
        <v>0.61100694444444448</v>
      </c>
      <c r="D243" s="8" t="s">
        <v>4</v>
      </c>
      <c r="E243" s="8" t="s">
        <v>9913</v>
      </c>
      <c r="F243" s="8"/>
      <c r="H243" s="8" t="s">
        <v>2936</v>
      </c>
      <c r="I243" s="8" t="s">
        <v>9904</v>
      </c>
      <c r="J243" s="8" t="s">
        <v>2984</v>
      </c>
      <c r="K243" t="s">
        <v>9905</v>
      </c>
      <c r="L243" t="s">
        <v>9906</v>
      </c>
      <c r="M243" s="3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2" t="s">
        <v>14</v>
      </c>
      <c r="B244" s="4">
        <v>46042</v>
      </c>
      <c r="C244" s="5">
        <v>0.62930555555555556</v>
      </c>
      <c r="D244" s="8" t="s">
        <v>4</v>
      </c>
      <c r="E244" s="8" t="s">
        <v>9913</v>
      </c>
      <c r="F244" s="8"/>
      <c r="H244" s="8" t="s">
        <v>2936</v>
      </c>
      <c r="I244" s="8" t="s">
        <v>9907</v>
      </c>
      <c r="J244" s="8" t="s">
        <v>2984</v>
      </c>
      <c r="K244" t="s">
        <v>9908</v>
      </c>
      <c r="L244" t="s">
        <v>9909</v>
      </c>
      <c r="M244" s="3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2" t="s">
        <v>14</v>
      </c>
      <c r="B245" s="4">
        <v>46042</v>
      </c>
      <c r="C245" s="5">
        <v>0.74508101851851849</v>
      </c>
      <c r="D245" s="8" t="s">
        <v>4</v>
      </c>
      <c r="E245" s="8" t="s">
        <v>9913</v>
      </c>
      <c r="F245" s="8"/>
      <c r="H245" s="8" t="s">
        <v>2936</v>
      </c>
      <c r="I245" s="8" t="s">
        <v>9910</v>
      </c>
      <c r="J245" s="8" t="s">
        <v>2984</v>
      </c>
      <c r="K245" t="s">
        <v>9911</v>
      </c>
      <c r="L245" t="s">
        <v>9912</v>
      </c>
      <c r="M245" s="3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2" t="s">
        <v>15</v>
      </c>
      <c r="B246" s="4">
        <v>46043</v>
      </c>
      <c r="C246" s="5">
        <v>0.38614583333333335</v>
      </c>
      <c r="D246" s="8" t="s">
        <v>4</v>
      </c>
      <c r="E246" s="8" t="s">
        <v>9913</v>
      </c>
      <c r="F246" s="8"/>
      <c r="H246" s="8" t="s">
        <v>2936</v>
      </c>
      <c r="I246" s="8" t="s">
        <v>10125</v>
      </c>
      <c r="J246" s="8" t="s">
        <v>2984</v>
      </c>
      <c r="K246" t="s">
        <v>10126</v>
      </c>
      <c r="L246" t="s">
        <v>10127</v>
      </c>
      <c r="M246" s="3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2" t="s">
        <v>15</v>
      </c>
      <c r="B247" s="4">
        <v>46043</v>
      </c>
      <c r="C247" s="5">
        <v>0.4481134259259259</v>
      </c>
      <c r="D247" s="8" t="s">
        <v>4</v>
      </c>
      <c r="E247" s="8" t="s">
        <v>9913</v>
      </c>
      <c r="F247" s="8"/>
      <c r="H247" s="8" t="s">
        <v>2936</v>
      </c>
      <c r="I247" s="8" t="s">
        <v>10128</v>
      </c>
      <c r="J247" s="8" t="s">
        <v>2984</v>
      </c>
      <c r="K247" t="s">
        <v>10129</v>
      </c>
      <c r="L247" t="s">
        <v>10130</v>
      </c>
      <c r="M247" s="3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2" t="s">
        <v>15</v>
      </c>
      <c r="B248" s="4">
        <v>46043</v>
      </c>
      <c r="C248" s="5">
        <v>0.53672453703703704</v>
      </c>
      <c r="D248" s="8" t="s">
        <v>4</v>
      </c>
      <c r="E248" s="8" t="s">
        <v>9913</v>
      </c>
      <c r="F248" s="8"/>
      <c r="H248" s="8" t="s">
        <v>2936</v>
      </c>
      <c r="I248" s="8" t="s">
        <v>10131</v>
      </c>
      <c r="J248" s="8" t="s">
        <v>2984</v>
      </c>
      <c r="K248" t="s">
        <v>10132</v>
      </c>
      <c r="L248" t="s">
        <v>10133</v>
      </c>
      <c r="M248" s="3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2" t="s">
        <v>15</v>
      </c>
      <c r="B249" s="4">
        <v>46043</v>
      </c>
      <c r="C249" s="5">
        <v>0.69086805555555553</v>
      </c>
      <c r="D249" s="8" t="s">
        <v>4</v>
      </c>
      <c r="E249" s="8" t="s">
        <v>9913</v>
      </c>
      <c r="F249" s="8"/>
      <c r="H249" s="8" t="s">
        <v>2936</v>
      </c>
      <c r="I249" s="8" t="s">
        <v>10134</v>
      </c>
      <c r="J249" s="8" t="s">
        <v>2984</v>
      </c>
      <c r="K249" t="s">
        <v>10135</v>
      </c>
      <c r="L249" t="s">
        <v>10136</v>
      </c>
      <c r="M249" s="3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2" t="s">
        <v>16</v>
      </c>
      <c r="B250" s="4">
        <v>46044</v>
      </c>
      <c r="C250" s="5">
        <v>0.71340277777777783</v>
      </c>
      <c r="D250" s="8" t="s">
        <v>2004</v>
      </c>
      <c r="E250" s="8" t="s">
        <v>8</v>
      </c>
      <c r="F250" s="8"/>
      <c r="H250" s="8"/>
      <c r="I250" s="8" t="s">
        <v>10137</v>
      </c>
      <c r="J250" s="8" t="s">
        <v>2984</v>
      </c>
      <c r="K250" t="s">
        <v>10138</v>
      </c>
      <c r="L250" t="s">
        <v>10139</v>
      </c>
      <c r="M250" s="3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2" t="s">
        <v>17</v>
      </c>
      <c r="B251" s="4">
        <v>46045</v>
      </c>
      <c r="C251" s="5">
        <v>0.70863425925925927</v>
      </c>
      <c r="D251" s="8" t="s">
        <v>4</v>
      </c>
      <c r="E251" s="8" t="s">
        <v>10392</v>
      </c>
      <c r="F251" s="8"/>
      <c r="H251" s="8"/>
      <c r="I251" s="8" t="s">
        <v>10389</v>
      </c>
      <c r="J251" s="8" t="s">
        <v>2984</v>
      </c>
      <c r="K251" t="s">
        <v>10390</v>
      </c>
      <c r="L251" t="s">
        <v>10391</v>
      </c>
      <c r="M251" s="3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2" t="s">
        <v>18</v>
      </c>
      <c r="B252" s="4">
        <v>46046</v>
      </c>
      <c r="C252" s="5">
        <v>0.76748842592592592</v>
      </c>
      <c r="D252" s="8" t="s">
        <v>2004</v>
      </c>
      <c r="E252" s="8" t="s">
        <v>8</v>
      </c>
      <c r="F252" s="8"/>
      <c r="H252" s="8"/>
      <c r="I252" s="8" t="s">
        <v>10512</v>
      </c>
      <c r="J252" s="8" t="s">
        <v>2984</v>
      </c>
      <c r="K252" t="s">
        <v>10513</v>
      </c>
      <c r="L252" t="s">
        <v>10514</v>
      </c>
      <c r="M252" s="3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2" t="s">
        <v>22</v>
      </c>
      <c r="B253" s="4">
        <v>46047</v>
      </c>
      <c r="C253" s="5">
        <v>0.66824074074074069</v>
      </c>
      <c r="D253" s="8" t="s">
        <v>2004</v>
      </c>
      <c r="E253" s="8" t="s">
        <v>8</v>
      </c>
      <c r="F253" s="8"/>
      <c r="H253" s="8"/>
      <c r="I253" s="8" t="s">
        <v>10515</v>
      </c>
      <c r="J253" s="8" t="s">
        <v>2984</v>
      </c>
      <c r="K253" t="s">
        <v>10516</v>
      </c>
      <c r="L253" t="s">
        <v>10517</v>
      </c>
      <c r="M253" s="3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2" t="s">
        <v>13</v>
      </c>
      <c r="B254" s="4">
        <v>46048</v>
      </c>
      <c r="C254" s="5">
        <v>0.68172453703703706</v>
      </c>
      <c r="D254" s="8" t="s">
        <v>2004</v>
      </c>
      <c r="E254" s="8" t="s">
        <v>8</v>
      </c>
      <c r="F254" s="8"/>
      <c r="H254" s="8"/>
      <c r="I254" s="8" t="s">
        <v>10631</v>
      </c>
      <c r="J254" s="8" t="s">
        <v>2984</v>
      </c>
      <c r="K254" t="s">
        <v>10632</v>
      </c>
      <c r="L254" t="s">
        <v>10633</v>
      </c>
      <c r="M254" s="3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2" t="s">
        <v>14</v>
      </c>
      <c r="B255" s="4">
        <v>46049</v>
      </c>
      <c r="C255" s="5">
        <v>0.58978009259259256</v>
      </c>
      <c r="D255" s="8" t="s">
        <v>2004</v>
      </c>
      <c r="E255" s="8" t="s">
        <v>8</v>
      </c>
      <c r="F255" s="8"/>
      <c r="H255" s="8"/>
      <c r="I255" s="8" t="s">
        <v>10634</v>
      </c>
      <c r="J255" s="8" t="s">
        <v>2984</v>
      </c>
      <c r="K255" t="s">
        <v>10635</v>
      </c>
      <c r="L255" t="s">
        <v>10636</v>
      </c>
      <c r="M255" s="3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2" t="s">
        <v>15</v>
      </c>
      <c r="B256" s="4">
        <v>46050</v>
      </c>
      <c r="C256" s="5">
        <v>0.69539351851851849</v>
      </c>
      <c r="D256" s="8" t="s">
        <v>2004</v>
      </c>
      <c r="E256" s="8" t="s">
        <v>8</v>
      </c>
      <c r="F256" s="8"/>
      <c r="H256" s="8"/>
      <c r="I256" s="8" t="s">
        <v>10878</v>
      </c>
      <c r="J256" s="8" t="s">
        <v>2984</v>
      </c>
      <c r="K256" t="s">
        <v>10879</v>
      </c>
      <c r="L256" t="s">
        <v>10880</v>
      </c>
      <c r="M256" s="3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2" t="s">
        <v>16</v>
      </c>
      <c r="B257" s="4">
        <v>46051</v>
      </c>
      <c r="C257" s="5">
        <v>0.74454861111111115</v>
      </c>
      <c r="D257" s="8" t="s">
        <v>2004</v>
      </c>
      <c r="E257" s="8" t="s">
        <v>8</v>
      </c>
      <c r="F257" s="8"/>
      <c r="H257" s="8"/>
      <c r="I257" s="8" t="s">
        <v>10881</v>
      </c>
      <c r="J257" s="8" t="s">
        <v>2984</v>
      </c>
      <c r="K257" t="s">
        <v>10882</v>
      </c>
      <c r="L257" t="s">
        <v>10883</v>
      </c>
      <c r="M257" s="3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2" t="s">
        <v>17</v>
      </c>
      <c r="B258" s="4">
        <v>46052</v>
      </c>
      <c r="C258" s="5">
        <v>0.75040509259259258</v>
      </c>
      <c r="D258" s="8" t="s">
        <v>2004</v>
      </c>
      <c r="E258" s="8" t="s">
        <v>8</v>
      </c>
      <c r="F258" s="8"/>
      <c r="H258" s="8"/>
      <c r="I258" s="8" t="s">
        <v>11004</v>
      </c>
      <c r="J258" s="8" t="s">
        <v>2984</v>
      </c>
      <c r="K258" t="s">
        <v>11005</v>
      </c>
      <c r="L258" t="s">
        <v>11006</v>
      </c>
      <c r="M258" s="3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2" t="s">
        <v>18</v>
      </c>
      <c r="B259" s="4">
        <v>46053</v>
      </c>
      <c r="C259" s="5">
        <v>0.74990740740740736</v>
      </c>
      <c r="D259" s="8" t="s">
        <v>2004</v>
      </c>
      <c r="E259" s="8" t="s">
        <v>8</v>
      </c>
      <c r="F259" s="8"/>
      <c r="H259" s="8"/>
      <c r="I259" s="8" t="s">
        <v>11127</v>
      </c>
      <c r="J259" s="8" t="s">
        <v>2984</v>
      </c>
      <c r="K259" t="s">
        <v>11128</v>
      </c>
      <c r="L259" t="s">
        <v>11129</v>
      </c>
      <c r="M259" s="3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2" t="s">
        <v>22</v>
      </c>
      <c r="B260" s="4">
        <v>46054</v>
      </c>
      <c r="C260" s="5">
        <v>0.4538773148148148</v>
      </c>
      <c r="D260" s="8" t="s">
        <v>2004</v>
      </c>
      <c r="E260" s="8" t="s">
        <v>8</v>
      </c>
      <c r="F260" s="8"/>
      <c r="H260" s="8"/>
      <c r="I260" s="8" t="s">
        <v>11130</v>
      </c>
      <c r="J260" s="8" t="s">
        <v>2984</v>
      </c>
      <c r="K260" t="s">
        <v>11131</v>
      </c>
      <c r="L260" t="s">
        <v>11132</v>
      </c>
      <c r="M260" s="3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2" t="s">
        <v>13</v>
      </c>
      <c r="B261" s="4">
        <v>46055</v>
      </c>
      <c r="C261" s="5">
        <v>0.72077546296296291</v>
      </c>
      <c r="D261" s="8" t="s">
        <v>2004</v>
      </c>
      <c r="E261" s="8" t="s">
        <v>8</v>
      </c>
      <c r="F261" s="8"/>
      <c r="H261" s="8"/>
      <c r="I261" s="8" t="s">
        <v>11414</v>
      </c>
      <c r="J261" s="8" t="s">
        <v>2984</v>
      </c>
      <c r="K261" t="s">
        <v>11415</v>
      </c>
      <c r="L261" t="s">
        <v>11416</v>
      </c>
      <c r="M261" s="3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2" t="s">
        <v>14</v>
      </c>
      <c r="B262" s="4">
        <v>46056</v>
      </c>
      <c r="C262" s="5">
        <v>0.69887731481481485</v>
      </c>
      <c r="D262" s="8" t="s">
        <v>2004</v>
      </c>
      <c r="E262" s="8" t="s">
        <v>8</v>
      </c>
      <c r="F262" s="8"/>
      <c r="H262" s="8"/>
      <c r="I262" s="8" t="s">
        <v>11417</v>
      </c>
      <c r="J262" s="8" t="s">
        <v>2984</v>
      </c>
      <c r="K262" t="s">
        <v>11418</v>
      </c>
      <c r="L262" t="s">
        <v>11419</v>
      </c>
      <c r="M262" s="3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2" t="s">
        <v>15</v>
      </c>
      <c r="B263" s="4">
        <v>46057</v>
      </c>
      <c r="C263" s="5">
        <v>0.66939814814814813</v>
      </c>
      <c r="D263" s="8" t="s">
        <v>2004</v>
      </c>
      <c r="E263" s="8" t="s">
        <v>8</v>
      </c>
      <c r="F263" s="8"/>
      <c r="H263" s="8"/>
      <c r="I263" s="8" t="s">
        <v>11642</v>
      </c>
      <c r="J263" s="8" t="s">
        <v>2984</v>
      </c>
      <c r="K263" t="s">
        <v>11643</v>
      </c>
      <c r="L263" t="s">
        <v>11644</v>
      </c>
      <c r="M263" s="3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2" t="s">
        <v>16</v>
      </c>
      <c r="B264" s="4">
        <v>46058</v>
      </c>
      <c r="C264" s="5">
        <v>0.69550925925925922</v>
      </c>
      <c r="D264" s="8" t="s">
        <v>2004</v>
      </c>
      <c r="E264" s="8" t="s">
        <v>8</v>
      </c>
      <c r="F264" s="8"/>
      <c r="H264" s="8"/>
      <c r="I264" s="8" t="s">
        <v>11645</v>
      </c>
      <c r="J264" s="8" t="s">
        <v>2984</v>
      </c>
      <c r="K264" t="s">
        <v>11646</v>
      </c>
      <c r="L264" t="s">
        <v>11647</v>
      </c>
      <c r="M264" s="3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2" t="s">
        <v>17</v>
      </c>
      <c r="B265" s="4">
        <v>46059</v>
      </c>
      <c r="C265" s="5">
        <v>0.67675925925925928</v>
      </c>
      <c r="D265" s="8" t="s">
        <v>2004</v>
      </c>
      <c r="E265" s="8" t="s">
        <v>8</v>
      </c>
      <c r="F265" s="8"/>
      <c r="H265" s="8"/>
      <c r="I265" s="8" t="s">
        <v>11648</v>
      </c>
      <c r="J265" s="8" t="s">
        <v>2984</v>
      </c>
      <c r="K265" t="s">
        <v>11649</v>
      </c>
      <c r="L265" t="s">
        <v>11650</v>
      </c>
      <c r="M265" s="3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2" t="s">
        <v>18</v>
      </c>
      <c r="B266" s="4">
        <v>46060</v>
      </c>
      <c r="C266" s="5">
        <v>0.75275462962962958</v>
      </c>
      <c r="D266" s="8" t="s">
        <v>2004</v>
      </c>
      <c r="E266" s="8" t="s">
        <v>8</v>
      </c>
      <c r="F266" s="8"/>
      <c r="H266" s="8"/>
      <c r="I266" s="8" t="s">
        <v>11776</v>
      </c>
      <c r="J266" s="8" t="s">
        <v>2984</v>
      </c>
      <c r="K266" t="s">
        <v>11777</v>
      </c>
      <c r="L266" t="s">
        <v>11778</v>
      </c>
      <c r="M266" s="3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2" t="s">
        <v>22</v>
      </c>
      <c r="B267" s="4">
        <v>46061</v>
      </c>
      <c r="C267" s="5">
        <v>0.70277777777777772</v>
      </c>
      <c r="D267" s="8" t="s">
        <v>2004</v>
      </c>
      <c r="E267" s="8" t="s">
        <v>8</v>
      </c>
      <c r="F267" s="8"/>
      <c r="H267" s="8"/>
      <c r="I267" s="8" t="s">
        <v>11779</v>
      </c>
      <c r="J267" s="8" t="s">
        <v>2984</v>
      </c>
      <c r="K267" t="s">
        <v>11780</v>
      </c>
      <c r="L267" t="s">
        <v>11781</v>
      </c>
      <c r="M267" s="3" t="str">
        <f>HYPERLINK(склад2въезд13192021[[#This Row],[RelativePath]])</f>
        <v>7 Площадка 2 бетонщики\K07156189_18_20260208T165200Z.jpg</v>
      </c>
    </row>
  </sheetData>
  <conditionalFormatting sqref="E268:E281 D1:D197 D268:D1048576 G2:H267 D2:E267">
    <cfRule type="containsText" dxfId="684" priority="18" operator="containsText" text="Выезд с территории">
      <formula>NOT(ISERROR(SEARCH("Выезд с территории",D1)))</formula>
    </cfRule>
  </conditionalFormatting>
  <conditionalFormatting sqref="F2:F267">
    <cfRule type="notContainsText" dxfId="683" priority="17" operator="notContains" text="порожний">
      <formula>ISERROR(SEARCH("порожний",F2))</formula>
    </cfRule>
  </conditionalFormatting>
  <conditionalFormatting sqref="E2:E281">
    <cfRule type="containsText" dxfId="682" priority="15" operator="containsText" text="Газель базы">
      <formula>NOT(ISERROR(SEARCH("Газель базы",E2)))</formula>
    </cfRule>
    <cfRule type="containsText" dxfId="681" priority="16" operator="containsText" text="Погрузчик базы">
      <formula>NOT(ISERROR(SEARCH("Погрузчик базы",E2)))</formula>
    </cfRule>
  </conditionalFormatting>
  <conditionalFormatting sqref="E2:E281">
    <cfRule type="containsText" dxfId="680" priority="14" operator="containsText" text="Трактор базы">
      <formula>NOT(ISERROR(SEARCH("Трактор базы",E2)))</formula>
    </cfRule>
  </conditionalFormatting>
  <conditionalFormatting sqref="A2:C267">
    <cfRule type="expression" dxfId="679" priority="13">
      <formula>$A2="пн"</formula>
    </cfRule>
  </conditionalFormatting>
  <conditionalFormatting sqref="A2:C269">
    <cfRule type="expression" dxfId="678" priority="7">
      <formula>$A2="вс"</formula>
    </cfRule>
    <cfRule type="expression" dxfId="677" priority="8">
      <formula>$A2="сб"</formula>
    </cfRule>
    <cfRule type="expression" dxfId="676" priority="9">
      <formula>$A2="пт"</formula>
    </cfRule>
    <cfRule type="expression" dxfId="675" priority="10">
      <formula>$A2="чт"</formula>
    </cfRule>
    <cfRule type="expression" dxfId="674" priority="11">
      <formula>$A2="ср"</formula>
    </cfRule>
    <cfRule type="expression" dxfId="673" priority="12">
      <formula>$A2="вт"</formula>
    </cfRule>
  </conditionalFormatting>
  <conditionalFormatting sqref="D1:D1048576">
    <cfRule type="containsText" dxfId="672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671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670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290"/>
  <sheetViews>
    <sheetView topLeftCell="B1" zoomScale="90" zoomScaleNormal="90" workbookViewId="0">
      <pane ySplit="1" topLeftCell="A272" activePane="bottomLeft" state="frozen"/>
      <selection pane="bottomLeft" activeCell="I287" sqref="I287:I29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s="8" t="s">
        <v>4</v>
      </c>
      <c r="E2" s="8" t="s">
        <v>9</v>
      </c>
      <c r="F2" s="8"/>
      <c r="H2" s="8"/>
      <c r="I2" s="8" t="s">
        <v>654</v>
      </c>
      <c r="J2" s="8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s="8" t="s">
        <v>1092</v>
      </c>
      <c r="E3" s="8" t="s">
        <v>1093</v>
      </c>
      <c r="F3" s="8"/>
      <c r="H3" s="8"/>
      <c r="I3" s="8" t="s">
        <v>657</v>
      </c>
      <c r="J3" s="8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s="8" t="s">
        <v>1092</v>
      </c>
      <c r="E4" s="8" t="s">
        <v>1093</v>
      </c>
      <c r="F4" s="8"/>
      <c r="H4" s="8"/>
      <c r="I4" s="8" t="s">
        <v>660</v>
      </c>
      <c r="J4" s="8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s="8" t="s">
        <v>4</v>
      </c>
      <c r="E5" s="8" t="s">
        <v>792</v>
      </c>
      <c r="F5" s="8"/>
      <c r="H5" s="8"/>
      <c r="I5" s="8" t="s">
        <v>663</v>
      </c>
      <c r="J5" s="8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s="8" t="s">
        <v>4</v>
      </c>
      <c r="E6" s="8" t="s">
        <v>9</v>
      </c>
      <c r="F6" s="8"/>
      <c r="H6" s="8"/>
      <c r="I6" s="8" t="s">
        <v>666</v>
      </c>
      <c r="J6" s="8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s="8" t="s">
        <v>793</v>
      </c>
      <c r="E7" s="8" t="s">
        <v>531</v>
      </c>
      <c r="F7" s="8"/>
      <c r="H7" s="8"/>
      <c r="I7" s="8" t="s">
        <v>669</v>
      </c>
      <c r="J7" s="8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s="8" t="s">
        <v>793</v>
      </c>
      <c r="E8" s="8" t="s">
        <v>531</v>
      </c>
      <c r="F8" s="8"/>
      <c r="H8" s="8"/>
      <c r="I8" s="8" t="s">
        <v>672</v>
      </c>
      <c r="J8" s="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s="8" t="s">
        <v>4</v>
      </c>
      <c r="E9" s="8" t="s">
        <v>9</v>
      </c>
      <c r="F9" s="8"/>
      <c r="H9" s="8"/>
      <c r="I9" s="8" t="s">
        <v>675</v>
      </c>
      <c r="J9" s="8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s="8" t="s">
        <v>794</v>
      </c>
      <c r="E10" s="8"/>
      <c r="F10" s="8"/>
      <c r="H10" s="8"/>
      <c r="I10" s="8" t="s">
        <v>678</v>
      </c>
      <c r="J10" s="8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s="8" t="s">
        <v>1096</v>
      </c>
      <c r="E11" s="8" t="s">
        <v>531</v>
      </c>
      <c r="F11" s="8"/>
      <c r="H11" s="8"/>
      <c r="I11" s="8" t="s">
        <v>681</v>
      </c>
      <c r="J11" s="8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s="8" t="s">
        <v>4</v>
      </c>
      <c r="E12" s="8" t="s">
        <v>9</v>
      </c>
      <c r="F12" s="8"/>
      <c r="H12" s="8"/>
      <c r="I12" s="8" t="s">
        <v>684</v>
      </c>
      <c r="J12" s="8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s="8" t="s">
        <v>4</v>
      </c>
      <c r="E13" s="8" t="s">
        <v>9</v>
      </c>
      <c r="F13" s="8"/>
      <c r="H13" s="8"/>
      <c r="I13" s="8" t="s">
        <v>687</v>
      </c>
      <c r="J13" s="8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s="8" t="s">
        <v>795</v>
      </c>
      <c r="E14" s="8" t="s">
        <v>796</v>
      </c>
      <c r="F14" s="8"/>
      <c r="H14" s="8"/>
      <c r="I14" s="8" t="s">
        <v>690</v>
      </c>
      <c r="J14" s="8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s="8" t="s">
        <v>795</v>
      </c>
      <c r="E15" s="8" t="s">
        <v>796</v>
      </c>
      <c r="F15" s="8"/>
      <c r="H15" s="8"/>
      <c r="I15" s="8" t="s">
        <v>693</v>
      </c>
      <c r="J15" s="8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s="8" t="s">
        <v>795</v>
      </c>
      <c r="E16" s="8" t="s">
        <v>796</v>
      </c>
      <c r="F16" s="8"/>
      <c r="H16" s="8"/>
      <c r="I16" s="8" t="s">
        <v>696</v>
      </c>
      <c r="J16" s="8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s="8" t="s">
        <v>4</v>
      </c>
      <c r="E17" s="8" t="s">
        <v>9</v>
      </c>
      <c r="F17" s="8"/>
      <c r="H17" s="8"/>
      <c r="I17" s="8" t="s">
        <v>699</v>
      </c>
      <c r="J17" s="8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s="8" t="s">
        <v>4</v>
      </c>
      <c r="E18" s="8" t="s">
        <v>9</v>
      </c>
      <c r="F18" s="8"/>
      <c r="H18" s="8"/>
      <c r="I18" s="8" t="s">
        <v>702</v>
      </c>
      <c r="J18" s="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s="8" t="s">
        <v>4</v>
      </c>
      <c r="E19" s="8" t="s">
        <v>9</v>
      </c>
      <c r="F19" s="8"/>
      <c r="H19" s="8"/>
      <c r="I19" s="8" t="s">
        <v>705</v>
      </c>
      <c r="J19" s="8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s="8" t="s">
        <v>4</v>
      </c>
      <c r="E20" s="8" t="s">
        <v>9</v>
      </c>
      <c r="F20" s="8"/>
      <c r="H20" s="8"/>
      <c r="I20" s="8" t="s">
        <v>708</v>
      </c>
      <c r="J20" s="8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s="8" t="s">
        <v>4</v>
      </c>
      <c r="E21" s="8" t="s">
        <v>9</v>
      </c>
      <c r="F21" s="8"/>
      <c r="H21" s="8"/>
      <c r="I21" s="8" t="s">
        <v>711</v>
      </c>
      <c r="J21" s="8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s="8" t="s">
        <v>4</v>
      </c>
      <c r="E22" s="8" t="s">
        <v>9</v>
      </c>
      <c r="F22" s="8"/>
      <c r="H22" s="8"/>
      <c r="I22" s="8" t="s">
        <v>714</v>
      </c>
      <c r="J22" s="8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s="8" t="s">
        <v>795</v>
      </c>
      <c r="E23" s="8" t="s">
        <v>796</v>
      </c>
      <c r="F23" s="8"/>
      <c r="H23" s="8"/>
      <c r="I23" s="8" t="s">
        <v>717</v>
      </c>
      <c r="J23" s="8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s="8" t="s">
        <v>4</v>
      </c>
      <c r="E24" s="8" t="s">
        <v>9</v>
      </c>
      <c r="F24" s="8"/>
      <c r="H24" s="8"/>
      <c r="I24" s="8" t="s">
        <v>720</v>
      </c>
      <c r="J24" s="8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s="8" t="s">
        <v>4</v>
      </c>
      <c r="E25" s="8" t="s">
        <v>9</v>
      </c>
      <c r="F25" s="8"/>
      <c r="H25" s="8"/>
      <c r="I25" s="8" t="s">
        <v>723</v>
      </c>
      <c r="J25" s="8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s="8" t="s">
        <v>4</v>
      </c>
      <c r="E26" s="8" t="s">
        <v>9</v>
      </c>
      <c r="F26" s="8"/>
      <c r="H26" s="8"/>
      <c r="I26" s="8" t="s">
        <v>726</v>
      </c>
      <c r="J26" s="8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s="8" t="s">
        <v>4</v>
      </c>
      <c r="E27" s="8" t="s">
        <v>9</v>
      </c>
      <c r="F27" s="8"/>
      <c r="H27" s="8"/>
      <c r="I27" s="8" t="s">
        <v>729</v>
      </c>
      <c r="J27" s="8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s="8" t="s">
        <v>4</v>
      </c>
      <c r="E28" s="8" t="s">
        <v>9</v>
      </c>
      <c r="F28" s="8"/>
      <c r="H28" s="8"/>
      <c r="I28" s="8" t="s">
        <v>732</v>
      </c>
      <c r="J28" s="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s="8" t="s">
        <v>4</v>
      </c>
      <c r="E29" s="8" t="s">
        <v>9</v>
      </c>
      <c r="F29" s="8"/>
      <c r="H29" s="8"/>
      <c r="I29" s="8" t="s">
        <v>735</v>
      </c>
      <c r="J29" s="8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s="8" t="s">
        <v>4</v>
      </c>
      <c r="E30" s="8" t="s">
        <v>9</v>
      </c>
      <c r="F30" s="8"/>
      <c r="H30" s="8"/>
      <c r="I30" s="8" t="s">
        <v>738</v>
      </c>
      <c r="J30" s="8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s="8" t="s">
        <v>4</v>
      </c>
      <c r="E31" s="8" t="s">
        <v>9</v>
      </c>
      <c r="F31" s="8"/>
      <c r="H31" s="8"/>
      <c r="I31" s="8" t="s">
        <v>741</v>
      </c>
      <c r="J31" s="8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s="8" t="s">
        <v>4</v>
      </c>
      <c r="E32" s="8" t="s">
        <v>9</v>
      </c>
      <c r="F32" s="8"/>
      <c r="H32" s="8"/>
      <c r="I32" s="8" t="s">
        <v>744</v>
      </c>
      <c r="J32" s="8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s="8" t="s">
        <v>4</v>
      </c>
      <c r="E33" s="8" t="s">
        <v>9</v>
      </c>
      <c r="F33" s="8"/>
      <c r="H33" s="8"/>
      <c r="I33" s="8" t="s">
        <v>747</v>
      </c>
      <c r="J33" s="8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s="8" t="s">
        <v>795</v>
      </c>
      <c r="E34" s="8" t="s">
        <v>796</v>
      </c>
      <c r="F34" s="8"/>
      <c r="H34" s="8"/>
      <c r="I34" s="8" t="s">
        <v>750</v>
      </c>
      <c r="J34" s="8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s="8" t="s">
        <v>795</v>
      </c>
      <c r="E35" s="8" t="s">
        <v>796</v>
      </c>
      <c r="F35" s="8"/>
      <c r="H35" s="8"/>
      <c r="I35" s="8" t="s">
        <v>753</v>
      </c>
      <c r="J35" s="8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s="8" t="s">
        <v>4</v>
      </c>
      <c r="E36" s="8" t="s">
        <v>9</v>
      </c>
      <c r="F36" s="8"/>
      <c r="H36" s="8"/>
      <c r="I36" s="8" t="s">
        <v>756</v>
      </c>
      <c r="J36" s="8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s="8" t="s">
        <v>4</v>
      </c>
      <c r="E37" s="8" t="s">
        <v>9</v>
      </c>
      <c r="F37" s="8"/>
      <c r="H37" s="8"/>
      <c r="I37" s="8" t="s">
        <v>759</v>
      </c>
      <c r="J37" s="8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s="8" t="s">
        <v>795</v>
      </c>
      <c r="E38" s="8" t="s">
        <v>796</v>
      </c>
      <c r="F38" s="8"/>
      <c r="H38" s="8"/>
      <c r="I38" s="8" t="s">
        <v>762</v>
      </c>
      <c r="J38" s="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s="8" t="s">
        <v>795</v>
      </c>
      <c r="E39" s="8" t="s">
        <v>796</v>
      </c>
      <c r="F39" s="8"/>
      <c r="H39" s="8"/>
      <c r="I39" s="8" t="s">
        <v>765</v>
      </c>
      <c r="J39" s="8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s="8" t="s">
        <v>795</v>
      </c>
      <c r="E40" s="8" t="s">
        <v>796</v>
      </c>
      <c r="F40" s="8"/>
      <c r="H40" s="8"/>
      <c r="I40" s="8" t="s">
        <v>768</v>
      </c>
      <c r="J40" s="8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s="8" t="s">
        <v>4</v>
      </c>
      <c r="E41" s="8" t="s">
        <v>9</v>
      </c>
      <c r="F41" s="8"/>
      <c r="H41" s="8"/>
      <c r="I41" s="8" t="s">
        <v>771</v>
      </c>
      <c r="J41" s="8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s="8" t="s">
        <v>795</v>
      </c>
      <c r="E42" s="8" t="s">
        <v>796</v>
      </c>
      <c r="F42" s="8"/>
      <c r="H42" s="8"/>
      <c r="I42" s="8" t="s">
        <v>774</v>
      </c>
      <c r="J42" s="8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s="8" t="s">
        <v>795</v>
      </c>
      <c r="E43" s="8" t="s">
        <v>796</v>
      </c>
      <c r="F43" s="8"/>
      <c r="H43" s="8"/>
      <c r="I43" s="8" t="s">
        <v>777</v>
      </c>
      <c r="J43" s="8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s="8" t="s">
        <v>795</v>
      </c>
      <c r="E44" s="8" t="s">
        <v>796</v>
      </c>
      <c r="F44" s="8"/>
      <c r="H44" s="8"/>
      <c r="I44" s="8" t="s">
        <v>780</v>
      </c>
      <c r="J44" s="8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s="8" t="s">
        <v>4</v>
      </c>
      <c r="E45" s="8" t="s">
        <v>9</v>
      </c>
      <c r="F45" s="8"/>
      <c r="H45" s="8"/>
      <c r="I45" s="8" t="s">
        <v>783</v>
      </c>
      <c r="J45" s="8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s="8" t="s">
        <v>4</v>
      </c>
      <c r="E46" s="8" t="s">
        <v>9</v>
      </c>
      <c r="F46" s="8"/>
      <c r="H46" s="8"/>
      <c r="I46" s="8" t="s">
        <v>786</v>
      </c>
      <c r="J46" s="8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789</v>
      </c>
      <c r="J47" s="8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s="8" t="s">
        <v>4</v>
      </c>
      <c r="E48" s="8" t="s">
        <v>9</v>
      </c>
      <c r="F48" s="8"/>
      <c r="H48" s="8"/>
      <c r="I48" s="8" t="s">
        <v>1130</v>
      </c>
      <c r="J48" s="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s="8" t="s">
        <v>4</v>
      </c>
      <c r="E49" s="8" t="s">
        <v>9</v>
      </c>
      <c r="F49" s="8"/>
      <c r="H49" s="8"/>
      <c r="I49" s="8" t="s">
        <v>1133</v>
      </c>
      <c r="J49" s="8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s="8" t="s">
        <v>4</v>
      </c>
      <c r="E50" s="8" t="s">
        <v>9</v>
      </c>
      <c r="F50" s="8"/>
      <c r="H50" s="8"/>
      <c r="I50" s="8" t="s">
        <v>1136</v>
      </c>
      <c r="J50" s="8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s="8" t="s">
        <v>2024</v>
      </c>
      <c r="E51" s="8" t="s">
        <v>796</v>
      </c>
      <c r="F51" s="8"/>
      <c r="H51" s="8"/>
      <c r="I51" s="8" t="s">
        <v>1139</v>
      </c>
      <c r="J51" s="8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s="8" t="s">
        <v>4</v>
      </c>
      <c r="E52" s="8" t="s">
        <v>9</v>
      </c>
      <c r="F52" s="8"/>
      <c r="H52" s="8"/>
      <c r="I52" s="8" t="s">
        <v>1142</v>
      </c>
      <c r="J52" s="8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s="8" t="s">
        <v>2024</v>
      </c>
      <c r="E53" s="8" t="s">
        <v>796</v>
      </c>
      <c r="F53" s="8"/>
      <c r="H53" s="8"/>
      <c r="I53" s="8" t="s">
        <v>1145</v>
      </c>
      <c r="J53" s="8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s="8" t="s">
        <v>2024</v>
      </c>
      <c r="E54" s="8" t="s">
        <v>796</v>
      </c>
      <c r="F54" s="8"/>
      <c r="H54" s="8"/>
      <c r="I54" s="8" t="s">
        <v>1148</v>
      </c>
      <c r="J54" s="8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s="8" t="s">
        <v>2024</v>
      </c>
      <c r="E55" s="8" t="s">
        <v>796</v>
      </c>
      <c r="F55" s="8"/>
      <c r="H55" s="8"/>
      <c r="I55" s="8" t="s">
        <v>1151</v>
      </c>
      <c r="J55" s="8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s="8" t="s">
        <v>2024</v>
      </c>
      <c r="E56" s="8" t="s">
        <v>796</v>
      </c>
      <c r="F56" s="8"/>
      <c r="H56" s="8"/>
      <c r="I56" s="8" t="s">
        <v>1154</v>
      </c>
      <c r="J56" s="8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s="8" t="s">
        <v>4</v>
      </c>
      <c r="E57" s="8" t="s">
        <v>9</v>
      </c>
      <c r="F57" s="8"/>
      <c r="H57" s="8" t="s">
        <v>2936</v>
      </c>
      <c r="I57" s="8" t="s">
        <v>1157</v>
      </c>
      <c r="J57" s="8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s="8" t="s">
        <v>4</v>
      </c>
      <c r="E58" s="8" t="s">
        <v>9</v>
      </c>
      <c r="F58" s="8"/>
      <c r="H58" s="8" t="s">
        <v>2936</v>
      </c>
      <c r="I58" s="8" t="s">
        <v>1160</v>
      </c>
      <c r="J58" s="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s="8" t="s">
        <v>4</v>
      </c>
      <c r="E59" s="8" t="s">
        <v>9</v>
      </c>
      <c r="F59" s="8"/>
      <c r="H59" s="8" t="s">
        <v>2936</v>
      </c>
      <c r="I59" s="8" t="s">
        <v>1163</v>
      </c>
      <c r="J59" s="8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s="8" t="s">
        <v>4</v>
      </c>
      <c r="E60" s="8" t="s">
        <v>9</v>
      </c>
      <c r="F60" s="8"/>
      <c r="H60" s="8" t="s">
        <v>2936</v>
      </c>
      <c r="I60" s="8" t="s">
        <v>1166</v>
      </c>
      <c r="J60" s="8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s="8" t="s">
        <v>4</v>
      </c>
      <c r="E61" s="8" t="s">
        <v>9</v>
      </c>
      <c r="F61" s="8"/>
      <c r="H61" s="8" t="s">
        <v>2936</v>
      </c>
      <c r="I61" s="8" t="s">
        <v>1169</v>
      </c>
      <c r="J61" s="8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s="8" t="s">
        <v>4</v>
      </c>
      <c r="E62" s="8" t="s">
        <v>9</v>
      </c>
      <c r="F62" s="8"/>
      <c r="H62" s="8" t="s">
        <v>2936</v>
      </c>
      <c r="I62" s="8" t="s">
        <v>1172</v>
      </c>
      <c r="J62" s="8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s="8" t="s">
        <v>4</v>
      </c>
      <c r="E63" s="8" t="s">
        <v>9</v>
      </c>
      <c r="F63" s="8"/>
      <c r="H63" s="8" t="s">
        <v>2936</v>
      </c>
      <c r="I63" s="8" t="s">
        <v>1175</v>
      </c>
      <c r="J63" s="8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s="8" t="s">
        <v>4</v>
      </c>
      <c r="E64" s="8" t="s">
        <v>9</v>
      </c>
      <c r="F64" s="8"/>
      <c r="H64" s="8" t="s">
        <v>2936</v>
      </c>
      <c r="I64" s="8" t="s">
        <v>2232</v>
      </c>
      <c r="J64" s="8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s="8" t="s">
        <v>4</v>
      </c>
      <c r="E65" s="8" t="s">
        <v>9</v>
      </c>
      <c r="F65" s="8"/>
      <c r="H65" s="8" t="s">
        <v>2936</v>
      </c>
      <c r="I65" s="8" t="s">
        <v>2235</v>
      </c>
      <c r="J65" s="8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s="8" t="s">
        <v>4</v>
      </c>
      <c r="E66" s="8" t="s">
        <v>9</v>
      </c>
      <c r="F66" s="8"/>
      <c r="H66" s="8" t="s">
        <v>2936</v>
      </c>
      <c r="I66" s="8" t="s">
        <v>2238</v>
      </c>
      <c r="J66" s="8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s="8" t="s">
        <v>2024</v>
      </c>
      <c r="E67" s="8" t="s">
        <v>796</v>
      </c>
      <c r="F67" s="8"/>
      <c r="H67" s="8"/>
      <c r="I67" s="8" t="s">
        <v>2241</v>
      </c>
      <c r="J67" s="8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s="8" t="s">
        <v>4</v>
      </c>
      <c r="E68" s="8" t="s">
        <v>9</v>
      </c>
      <c r="F68" s="8"/>
      <c r="H68" s="8" t="s">
        <v>2936</v>
      </c>
      <c r="I68" s="8" t="s">
        <v>2244</v>
      </c>
      <c r="J68" s="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s="8" t="s">
        <v>4</v>
      </c>
      <c r="E69" s="8" t="s">
        <v>9</v>
      </c>
      <c r="F69" s="8"/>
      <c r="H69" s="8" t="s">
        <v>2936</v>
      </c>
      <c r="I69" s="8" t="s">
        <v>2247</v>
      </c>
      <c r="J69" s="8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s="8" t="s">
        <v>2024</v>
      </c>
      <c r="E70" s="8" t="s">
        <v>796</v>
      </c>
      <c r="F70" s="8"/>
      <c r="H70" s="8"/>
      <c r="I70" s="8" t="s">
        <v>2250</v>
      </c>
      <c r="J70" s="8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s="8" t="s">
        <v>2024</v>
      </c>
      <c r="E71" s="8" t="s">
        <v>796</v>
      </c>
      <c r="F71" s="8"/>
      <c r="H71" s="8"/>
      <c r="I71" s="8" t="s">
        <v>2253</v>
      </c>
      <c r="J71" s="8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s="8" t="s">
        <v>2024</v>
      </c>
      <c r="E72" s="8" t="s">
        <v>796</v>
      </c>
      <c r="F72" s="8"/>
      <c r="H72" s="8"/>
      <c r="I72" s="8" t="s">
        <v>2256</v>
      </c>
      <c r="J72" s="8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s="8" t="s">
        <v>4</v>
      </c>
      <c r="E73" s="8" t="s">
        <v>9</v>
      </c>
      <c r="F73" s="8"/>
      <c r="H73" s="8" t="s">
        <v>2936</v>
      </c>
      <c r="I73" s="8" t="s">
        <v>2259</v>
      </c>
      <c r="J73" s="8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s="8" t="s">
        <v>4</v>
      </c>
      <c r="E74" s="8" t="s">
        <v>9</v>
      </c>
      <c r="F74" s="8"/>
      <c r="H74" s="8" t="s">
        <v>2936</v>
      </c>
      <c r="I74" s="8" t="s">
        <v>2262</v>
      </c>
      <c r="J74" s="8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s="8" t="s">
        <v>4</v>
      </c>
      <c r="E75" s="8" t="s">
        <v>9</v>
      </c>
      <c r="F75" s="8"/>
      <c r="H75" s="8" t="s">
        <v>2936</v>
      </c>
      <c r="I75" s="8" t="s">
        <v>2265</v>
      </c>
      <c r="J75" s="8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s="8" t="s">
        <v>4</v>
      </c>
      <c r="E76" s="8" t="s">
        <v>9</v>
      </c>
      <c r="F76" s="8"/>
      <c r="H76" s="8" t="s">
        <v>2936</v>
      </c>
      <c r="I76" s="8" t="s">
        <v>2268</v>
      </c>
      <c r="J76" s="8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s="8" t="s">
        <v>2024</v>
      </c>
      <c r="E77" s="8" t="s">
        <v>1304</v>
      </c>
      <c r="F77" s="8"/>
      <c r="H77" s="8"/>
      <c r="I77" s="8" t="s">
        <v>2271</v>
      </c>
      <c r="J77" s="8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s="8" t="s">
        <v>4</v>
      </c>
      <c r="E78" s="8" t="s">
        <v>9</v>
      </c>
      <c r="F78" s="8"/>
      <c r="H78" s="8" t="s">
        <v>2936</v>
      </c>
      <c r="I78" s="8" t="s">
        <v>2274</v>
      </c>
      <c r="J78" s="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s="8" t="s">
        <v>4</v>
      </c>
      <c r="E79" s="8" t="s">
        <v>9</v>
      </c>
      <c r="F79" s="8"/>
      <c r="H79" s="8" t="s">
        <v>2936</v>
      </c>
      <c r="I79" s="8" t="s">
        <v>2277</v>
      </c>
      <c r="J79" s="8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s="8" t="s">
        <v>2024</v>
      </c>
      <c r="E80" s="8" t="s">
        <v>1304</v>
      </c>
      <c r="F80" s="8"/>
      <c r="H80" s="8"/>
      <c r="I80" s="8" t="s">
        <v>2280</v>
      </c>
      <c r="J80" s="8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s="8" t="s">
        <v>4</v>
      </c>
      <c r="E81" s="8" t="s">
        <v>9</v>
      </c>
      <c r="F81" s="8"/>
      <c r="H81" s="8" t="s">
        <v>2936</v>
      </c>
      <c r="I81" s="8" t="s">
        <v>2283</v>
      </c>
      <c r="J81" s="8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s="8" t="s">
        <v>4</v>
      </c>
      <c r="E82" s="8" t="s">
        <v>9</v>
      </c>
      <c r="F82" s="8"/>
      <c r="H82" s="8" t="s">
        <v>2936</v>
      </c>
      <c r="I82" s="8" t="s">
        <v>2286</v>
      </c>
      <c r="J82" s="8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s="8" t="s">
        <v>4</v>
      </c>
      <c r="E83" s="8" t="s">
        <v>9</v>
      </c>
      <c r="F83" s="8"/>
      <c r="H83" s="8" t="s">
        <v>2936</v>
      </c>
      <c r="I83" s="8" t="s">
        <v>2289</v>
      </c>
      <c r="J83" s="8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s="8" t="s">
        <v>4</v>
      </c>
      <c r="E84" s="8" t="s">
        <v>9</v>
      </c>
      <c r="F84" s="8"/>
      <c r="H84" s="8" t="s">
        <v>2936</v>
      </c>
      <c r="I84" s="8" t="s">
        <v>2292</v>
      </c>
      <c r="J84" s="8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s="8" t="s">
        <v>4</v>
      </c>
      <c r="E85" s="8" t="s">
        <v>9</v>
      </c>
      <c r="F85" s="8"/>
      <c r="H85" s="8" t="s">
        <v>2936</v>
      </c>
      <c r="I85" s="8" t="s">
        <v>2295</v>
      </c>
      <c r="J85" s="8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s="8" t="s">
        <v>4</v>
      </c>
      <c r="E86" s="8" t="s">
        <v>9</v>
      </c>
      <c r="F86" s="8"/>
      <c r="H86" s="8" t="s">
        <v>2936</v>
      </c>
      <c r="I86" s="8" t="s">
        <v>2298</v>
      </c>
      <c r="J86" s="8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s="8" t="s">
        <v>4</v>
      </c>
      <c r="E87" s="8" t="s">
        <v>9</v>
      </c>
      <c r="F87" s="8"/>
      <c r="H87" s="8" t="s">
        <v>2936</v>
      </c>
      <c r="I87" s="8" t="s">
        <v>2301</v>
      </c>
      <c r="J87" s="8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s="8" t="s">
        <v>2024</v>
      </c>
      <c r="E88" s="8" t="s">
        <v>796</v>
      </c>
      <c r="F88" s="8"/>
      <c r="H88" s="8"/>
      <c r="I88" s="8" t="s">
        <v>2304</v>
      </c>
      <c r="J88" s="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s="8" t="s">
        <v>793</v>
      </c>
      <c r="E89" s="8" t="s">
        <v>531</v>
      </c>
      <c r="F89" s="8"/>
      <c r="H89" s="8"/>
      <c r="I89" s="8" t="s">
        <v>2307</v>
      </c>
      <c r="J89" s="8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s="8" t="s">
        <v>2004</v>
      </c>
      <c r="E90" s="8" t="s">
        <v>8</v>
      </c>
      <c r="F90" s="8"/>
      <c r="H90" s="8"/>
      <c r="I90" s="8" t="s">
        <v>2310</v>
      </c>
      <c r="J90" s="8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s="8" t="s">
        <v>4</v>
      </c>
      <c r="E91" s="8" t="s">
        <v>9</v>
      </c>
      <c r="F91" s="8"/>
      <c r="H91" s="8" t="s">
        <v>2936</v>
      </c>
      <c r="I91" s="8" t="s">
        <v>2313</v>
      </c>
      <c r="J91" s="8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s="8" t="s">
        <v>4</v>
      </c>
      <c r="E92" s="8" t="s">
        <v>9</v>
      </c>
      <c r="F92" s="8"/>
      <c r="H92" s="8" t="s">
        <v>2936</v>
      </c>
      <c r="I92" s="8" t="s">
        <v>2316</v>
      </c>
      <c r="J92" s="8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s="8" t="s">
        <v>4</v>
      </c>
      <c r="E93" s="8" t="s">
        <v>9</v>
      </c>
      <c r="F93" s="8"/>
      <c r="H93" s="8" t="s">
        <v>2936</v>
      </c>
      <c r="I93" s="8" t="s">
        <v>2319</v>
      </c>
      <c r="J93" s="8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s="8" t="s">
        <v>2024</v>
      </c>
      <c r="E94" s="8" t="s">
        <v>796</v>
      </c>
      <c r="F94" s="8"/>
      <c r="H94" s="8"/>
      <c r="I94" s="8" t="s">
        <v>2322</v>
      </c>
      <c r="J94" s="8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s="8" t="s">
        <v>2937</v>
      </c>
      <c r="E95" s="8" t="s">
        <v>531</v>
      </c>
      <c r="F95" s="8" t="s">
        <v>2938</v>
      </c>
      <c r="H95" s="8"/>
      <c r="I95" s="8" t="s">
        <v>2325</v>
      </c>
      <c r="J95" s="8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s="8" t="s">
        <v>4</v>
      </c>
      <c r="E96" s="8" t="s">
        <v>9</v>
      </c>
      <c r="F96" s="8"/>
      <c r="H96" s="8" t="s">
        <v>2936</v>
      </c>
      <c r="I96" s="8" t="s">
        <v>2328</v>
      </c>
      <c r="J96" s="8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s="8" t="s">
        <v>4</v>
      </c>
      <c r="E97" s="8" t="s">
        <v>9</v>
      </c>
      <c r="F97" s="8"/>
      <c r="H97" s="8" t="s">
        <v>2936</v>
      </c>
      <c r="I97" s="8" t="s">
        <v>2331</v>
      </c>
      <c r="J97" s="8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s="8" t="s">
        <v>2004</v>
      </c>
      <c r="E98" s="8" t="s">
        <v>8</v>
      </c>
      <c r="F98" s="8"/>
      <c r="H98" s="8"/>
      <c r="I98" s="8" t="s">
        <v>2334</v>
      </c>
      <c r="J98" s="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s="8" t="s">
        <v>4</v>
      </c>
      <c r="E99" s="8" t="s">
        <v>9</v>
      </c>
      <c r="F99" s="8"/>
      <c r="H99" s="8" t="s">
        <v>2004</v>
      </c>
      <c r="I99" s="8" t="s">
        <v>2337</v>
      </c>
      <c r="J99" s="8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s="8" t="s">
        <v>2004</v>
      </c>
      <c r="E100" s="8" t="s">
        <v>8</v>
      </c>
      <c r="F100" s="8"/>
      <c r="H100" s="8"/>
      <c r="I100" s="8" t="s">
        <v>3718</v>
      </c>
      <c r="J100" s="8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s="8" t="s">
        <v>2004</v>
      </c>
      <c r="E101" s="8" t="s">
        <v>8</v>
      </c>
      <c r="F101" s="8"/>
      <c r="H101" s="8"/>
      <c r="I101" s="8" t="s">
        <v>3721</v>
      </c>
      <c r="J101" s="8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s="8" t="s">
        <v>2004</v>
      </c>
      <c r="E102" s="8" t="s">
        <v>8</v>
      </c>
      <c r="F102" s="8"/>
      <c r="H102" s="8"/>
      <c r="I102" s="8" t="s">
        <v>3724</v>
      </c>
      <c r="J102" s="8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s="8" t="s">
        <v>2004</v>
      </c>
      <c r="E103" s="8" t="s">
        <v>8</v>
      </c>
      <c r="F103" s="8"/>
      <c r="H103" s="8"/>
      <c r="I103" s="8" t="s">
        <v>3727</v>
      </c>
      <c r="J103" s="8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s="8" t="s">
        <v>2004</v>
      </c>
      <c r="E104" s="8" t="s">
        <v>8</v>
      </c>
      <c r="F104" s="8"/>
      <c r="H104" s="8"/>
      <c r="I104" s="8" t="s">
        <v>3730</v>
      </c>
      <c r="J104" s="8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s="8" t="s">
        <v>1091</v>
      </c>
      <c r="E105" s="8" t="s">
        <v>4220</v>
      </c>
      <c r="F105" s="8" t="s">
        <v>1099</v>
      </c>
      <c r="G105">
        <v>4</v>
      </c>
      <c r="H105" s="8"/>
      <c r="I105" s="8" t="s">
        <v>3733</v>
      </c>
      <c r="J105" s="8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s="8" t="s">
        <v>2004</v>
      </c>
      <c r="E106" s="8" t="s">
        <v>8</v>
      </c>
      <c r="F106" s="8"/>
      <c r="H106" s="8"/>
      <c r="I106" s="8" t="s">
        <v>4279</v>
      </c>
      <c r="J106" s="8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s="8" t="s">
        <v>4</v>
      </c>
      <c r="E107" s="8" t="s">
        <v>9</v>
      </c>
      <c r="F107" s="8"/>
      <c r="H107" s="8"/>
      <c r="I107" s="8" t="s">
        <v>4600</v>
      </c>
      <c r="J107" s="8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s="8" t="s">
        <v>794</v>
      </c>
      <c r="E108" s="8" t="s">
        <v>5135</v>
      </c>
      <c r="F108" s="8"/>
      <c r="H108" s="8"/>
      <c r="I108" s="8" t="s">
        <v>4603</v>
      </c>
      <c r="J108" s="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s="8" t="s">
        <v>4</v>
      </c>
      <c r="E109" s="8" t="s">
        <v>53</v>
      </c>
      <c r="F109" s="8"/>
      <c r="H109" s="8"/>
      <c r="I109" s="8" t="s">
        <v>4606</v>
      </c>
      <c r="J109" s="8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s="8" t="s">
        <v>2004</v>
      </c>
      <c r="E110" s="8" t="s">
        <v>8</v>
      </c>
      <c r="F110" s="8"/>
      <c r="H110" s="8"/>
      <c r="I110" s="8" t="s">
        <v>4609</v>
      </c>
      <c r="J110" s="8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s="8" t="s">
        <v>2004</v>
      </c>
      <c r="E111" s="8" t="s">
        <v>8</v>
      </c>
      <c r="F111" s="8"/>
      <c r="H111" s="8"/>
      <c r="I111" s="8" t="s">
        <v>4612</v>
      </c>
      <c r="J111" s="8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s="8" t="s">
        <v>2024</v>
      </c>
      <c r="E112" s="8" t="s">
        <v>796</v>
      </c>
      <c r="F112" s="8"/>
      <c r="H112" s="8"/>
      <c r="I112" s="8" t="s">
        <v>4615</v>
      </c>
      <c r="J112" s="8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s="8" t="s">
        <v>2024</v>
      </c>
      <c r="E113" s="8" t="s">
        <v>796</v>
      </c>
      <c r="F113" s="8"/>
      <c r="H113" s="8"/>
      <c r="I113" s="8" t="s">
        <v>4618</v>
      </c>
      <c r="J113" s="8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s="8" t="s">
        <v>2004</v>
      </c>
      <c r="E114" s="8" t="s">
        <v>8</v>
      </c>
      <c r="F114" s="8"/>
      <c r="H114" s="8"/>
      <c r="I114" s="8" t="s">
        <v>4621</v>
      </c>
      <c r="J114" s="8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s="8" t="s">
        <v>2004</v>
      </c>
      <c r="E115" s="8" t="s">
        <v>8</v>
      </c>
      <c r="F115" s="8"/>
      <c r="H115" s="8"/>
      <c r="I115" s="8" t="s">
        <v>4624</v>
      </c>
      <c r="J115" s="8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s="8" t="s">
        <v>2004</v>
      </c>
      <c r="E116" s="8" t="s">
        <v>8</v>
      </c>
      <c r="F116" s="8"/>
      <c r="H116" s="8"/>
      <c r="I116" s="8" t="s">
        <v>5178</v>
      </c>
      <c r="J116" s="8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s="8" t="s">
        <v>2004</v>
      </c>
      <c r="E117" s="8" t="s">
        <v>8</v>
      </c>
      <c r="F117" s="8"/>
      <c r="H117" s="8"/>
      <c r="I117" s="8" t="s">
        <v>5325</v>
      </c>
      <c r="J117" s="8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s="8" t="s">
        <v>2004</v>
      </c>
      <c r="E118" s="8" t="s">
        <v>8</v>
      </c>
      <c r="F118" s="8"/>
      <c r="H118" s="8"/>
      <c r="I118" s="8" t="s">
        <v>5717</v>
      </c>
      <c r="J118" s="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s="8" t="s">
        <v>4</v>
      </c>
      <c r="E119" s="8" t="s">
        <v>9</v>
      </c>
      <c r="F119" s="8"/>
      <c r="H119" s="8"/>
      <c r="I119" s="8" t="s">
        <v>5720</v>
      </c>
      <c r="J119" s="8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s="8" t="s">
        <v>794</v>
      </c>
      <c r="E120" s="8"/>
      <c r="F120" s="8"/>
      <c r="H120" s="8"/>
      <c r="I120" s="8" t="s">
        <v>5723</v>
      </c>
      <c r="J120" s="8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s="8" t="s">
        <v>794</v>
      </c>
      <c r="E121" s="8"/>
      <c r="F121" s="8"/>
      <c r="H121" s="8"/>
      <c r="I121" s="8" t="s">
        <v>5726</v>
      </c>
      <c r="J121" s="8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s="8" t="s">
        <v>793</v>
      </c>
      <c r="E122" s="8" t="s">
        <v>531</v>
      </c>
      <c r="F122" s="8"/>
      <c r="H122" s="8"/>
      <c r="I122" s="8" t="s">
        <v>5729</v>
      </c>
      <c r="J122" s="8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s="8" t="s">
        <v>4</v>
      </c>
      <c r="E123" s="8" t="s">
        <v>9</v>
      </c>
      <c r="F123" s="8"/>
      <c r="H123" s="8"/>
      <c r="I123" s="8" t="s">
        <v>5732</v>
      </c>
      <c r="J123" s="8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s="8" t="s">
        <v>4</v>
      </c>
      <c r="E124" s="8" t="s">
        <v>9</v>
      </c>
      <c r="F124" s="8"/>
      <c r="H124" s="8" t="s">
        <v>2936</v>
      </c>
      <c r="I124" s="8" t="s">
        <v>5735</v>
      </c>
      <c r="J124" s="8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s="8" t="s">
        <v>4</v>
      </c>
      <c r="E125" s="8" t="s">
        <v>9</v>
      </c>
      <c r="F125" s="8"/>
      <c r="H125" s="8" t="s">
        <v>2936</v>
      </c>
      <c r="I125" s="8" t="s">
        <v>5738</v>
      </c>
      <c r="J125" s="8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s="8" t="s">
        <v>2004</v>
      </c>
      <c r="E126" s="8" t="s">
        <v>8</v>
      </c>
      <c r="F126" s="8"/>
      <c r="H126" s="8"/>
      <c r="I126" s="8" t="s">
        <v>5741</v>
      </c>
      <c r="J126" s="8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s="8" t="s">
        <v>2004</v>
      </c>
      <c r="E127" s="8" t="s">
        <v>8</v>
      </c>
      <c r="F127" s="8"/>
      <c r="H127" s="8"/>
      <c r="I127" s="8" t="s">
        <v>5876</v>
      </c>
      <c r="J127" s="8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s="8" t="s">
        <v>2004</v>
      </c>
      <c r="E128" s="8" t="s">
        <v>8</v>
      </c>
      <c r="F128" s="8"/>
      <c r="H128" s="8"/>
      <c r="I128" s="8" t="s">
        <v>6080</v>
      </c>
      <c r="J128" s="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s="8" t="s">
        <v>2004</v>
      </c>
      <c r="E129" s="8" t="s">
        <v>8</v>
      </c>
      <c r="F129" s="8"/>
      <c r="H129" s="8"/>
      <c r="I129" s="8" t="s">
        <v>6210</v>
      </c>
      <c r="J129" s="8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s="8" t="s">
        <v>2004</v>
      </c>
      <c r="E130" s="8" t="s">
        <v>8</v>
      </c>
      <c r="F130" s="8"/>
      <c r="H130" s="8"/>
      <c r="I130" s="8" t="s">
        <v>6349</v>
      </c>
      <c r="J130" s="8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s="8" t="s">
        <v>2024</v>
      </c>
      <c r="E131" s="8" t="s">
        <v>796</v>
      </c>
      <c r="F131" s="8"/>
      <c r="H131" s="8"/>
      <c r="I131" s="8" t="s">
        <v>6569</v>
      </c>
      <c r="J131" s="8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s="8" t="s">
        <v>4</v>
      </c>
      <c r="E132" s="8" t="s">
        <v>9</v>
      </c>
      <c r="F132" s="8"/>
      <c r="H132" s="8"/>
      <c r="I132" s="8" t="s">
        <v>6572</v>
      </c>
      <c r="J132" s="8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s="8" t="s">
        <v>2024</v>
      </c>
      <c r="E133" s="8" t="s">
        <v>796</v>
      </c>
      <c r="F133" s="8"/>
      <c r="H133" s="8"/>
      <c r="I133" s="8" t="s">
        <v>6575</v>
      </c>
      <c r="J133" s="8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s="8" t="s">
        <v>2024</v>
      </c>
      <c r="E134" s="8" t="s">
        <v>796</v>
      </c>
      <c r="F134" s="8"/>
      <c r="H134" s="8"/>
      <c r="I134" s="8" t="s">
        <v>6578</v>
      </c>
      <c r="J134" s="8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s="8" t="s">
        <v>4</v>
      </c>
      <c r="E135" s="8" t="s">
        <v>9</v>
      </c>
      <c r="F135" s="8"/>
      <c r="H135" s="8"/>
      <c r="I135" s="8" t="s">
        <v>6581</v>
      </c>
      <c r="J135" s="8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s="8" t="s">
        <v>4</v>
      </c>
      <c r="E136" s="8" t="s">
        <v>9</v>
      </c>
      <c r="F136" s="8"/>
      <c r="H136" s="8"/>
      <c r="I136" s="8" t="s">
        <v>6718</v>
      </c>
      <c r="J136" s="8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s="8" t="s">
        <v>2004</v>
      </c>
      <c r="E137" s="8" t="s">
        <v>9</v>
      </c>
      <c r="F137" s="8"/>
      <c r="H137" s="8"/>
      <c r="I137" s="8" t="s">
        <v>6721</v>
      </c>
      <c r="J137" s="8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s="8" t="s">
        <v>2004</v>
      </c>
      <c r="E138" s="8" t="s">
        <v>9</v>
      </c>
      <c r="F138" s="8"/>
      <c r="H138" s="8"/>
      <c r="I138" s="8" t="s">
        <v>6932</v>
      </c>
      <c r="J138" s="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s="8" t="s">
        <v>4</v>
      </c>
      <c r="E139" s="8" t="s">
        <v>9</v>
      </c>
      <c r="F139" s="8"/>
      <c r="H139" s="8"/>
      <c r="I139" s="8" t="s">
        <v>6935</v>
      </c>
      <c r="J139" s="8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s="8" t="s">
        <v>7166</v>
      </c>
      <c r="E140" s="8"/>
      <c r="F140" s="8"/>
      <c r="H140" s="8"/>
      <c r="I140" s="8" t="s">
        <v>6938</v>
      </c>
      <c r="J140" s="8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s="8" t="s">
        <v>1091</v>
      </c>
      <c r="E141" s="8" t="s">
        <v>7167</v>
      </c>
      <c r="F141" s="8"/>
      <c r="H141" s="8"/>
      <c r="I141" s="8" t="s">
        <v>6941</v>
      </c>
      <c r="J141" s="8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s="8" t="s">
        <v>2004</v>
      </c>
      <c r="E142" s="8" t="s">
        <v>9</v>
      </c>
      <c r="F142" s="8"/>
      <c r="H142" s="8"/>
      <c r="I142" s="8" t="s">
        <v>6944</v>
      </c>
      <c r="J142" s="8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s="8" t="s">
        <v>2004</v>
      </c>
      <c r="E143" s="8" t="s">
        <v>9</v>
      </c>
      <c r="F143" s="8"/>
      <c r="H143" s="8"/>
      <c r="I143" s="8" t="s">
        <v>7190</v>
      </c>
      <c r="J143" s="8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s="8" t="s">
        <v>2004</v>
      </c>
      <c r="E144" s="8" t="s">
        <v>9</v>
      </c>
      <c r="F144" s="8"/>
      <c r="H144" s="8"/>
      <c r="I144" s="8" t="s">
        <v>7395</v>
      </c>
      <c r="J144" s="8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s="8" t="s">
        <v>2004</v>
      </c>
      <c r="E145" s="8" t="s">
        <v>9</v>
      </c>
      <c r="F145" s="8"/>
      <c r="H145" s="8"/>
      <c r="I145" s="8" t="s">
        <v>7398</v>
      </c>
      <c r="J145" s="8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s="8" t="s">
        <v>2004</v>
      </c>
      <c r="E146" s="8" t="s">
        <v>9</v>
      </c>
      <c r="F146" s="8"/>
      <c r="H146" s="8"/>
      <c r="I146" s="8" t="s">
        <v>7445</v>
      </c>
      <c r="J146" s="8" t="s">
        <v>2992</v>
      </c>
      <c r="K146" t="s">
        <v>7446</v>
      </c>
      <c r="L146" t="s">
        <v>7447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s="8" t="s">
        <v>2004</v>
      </c>
      <c r="E147" s="8" t="s">
        <v>9</v>
      </c>
      <c r="F147" s="8"/>
      <c r="H147" s="8"/>
      <c r="I147" s="8" t="s">
        <v>7448</v>
      </c>
      <c r="J147" s="8" t="s">
        <v>2992</v>
      </c>
      <c r="K147" t="s">
        <v>7449</v>
      </c>
      <c r="L147" t="s">
        <v>7450</v>
      </c>
      <c r="M147" s="3" t="str">
        <f>HYPERLINK(склад2въезд1319202122[[#This Row],[RelativePath]])</f>
        <v>8 Рейсмус\E33149364_2_20251225T095936Z.jpg</v>
      </c>
    </row>
    <row r="148" spans="1:13" x14ac:dyDescent="0.25">
      <c r="A148" s="2" t="s">
        <v>17</v>
      </c>
      <c r="B148" s="4">
        <v>46017</v>
      </c>
      <c r="C148" s="5">
        <v>0.63017361111111114</v>
      </c>
      <c r="D148" s="8" t="s">
        <v>2004</v>
      </c>
      <c r="E148" s="8" t="s">
        <v>9</v>
      </c>
      <c r="F148" s="8"/>
      <c r="H148" s="8"/>
      <c r="I148" s="8" t="s">
        <v>7864</v>
      </c>
      <c r="J148" s="8" t="s">
        <v>2992</v>
      </c>
      <c r="K148" t="s">
        <v>7865</v>
      </c>
      <c r="L148" t="s">
        <v>7866</v>
      </c>
      <c r="M148" s="3" t="str">
        <f>HYPERLINK(склад2въезд1319202122[[#This Row],[RelativePath]])</f>
        <v>8 Рейсмус\E33149364_2_20251226T150727Z.jpg</v>
      </c>
    </row>
    <row r="149" spans="1:13" x14ac:dyDescent="0.25">
      <c r="A149" s="2" t="s">
        <v>18</v>
      </c>
      <c r="B149" s="4">
        <v>46018</v>
      </c>
      <c r="C149" s="5">
        <v>0.59303240740740737</v>
      </c>
      <c r="D149" s="8" t="s">
        <v>2004</v>
      </c>
      <c r="E149" s="8" t="s">
        <v>9</v>
      </c>
      <c r="F149" s="8"/>
      <c r="H149" s="8"/>
      <c r="I149" s="8" t="s">
        <v>8022</v>
      </c>
      <c r="J149" s="8" t="s">
        <v>2992</v>
      </c>
      <c r="K149" t="s">
        <v>8023</v>
      </c>
      <c r="L149" t="s">
        <v>8024</v>
      </c>
      <c r="M149" s="3" t="str">
        <f>HYPERLINK(склад2въезд1319202122[[#This Row],[RelativePath]])</f>
        <v>8 Рейсмус\E33149364_2_20251227T141358Z.jpg</v>
      </c>
    </row>
    <row r="150" spans="1:13" x14ac:dyDescent="0.25">
      <c r="A150" s="2" t="s">
        <v>22</v>
      </c>
      <c r="B150" s="4">
        <v>46019</v>
      </c>
      <c r="C150" s="5">
        <v>0.61859953703703707</v>
      </c>
      <c r="D150" s="8" t="s">
        <v>2004</v>
      </c>
      <c r="E150" s="8" t="s">
        <v>9</v>
      </c>
      <c r="F150" s="8"/>
      <c r="H150" s="8"/>
      <c r="I150" s="8" t="s">
        <v>8025</v>
      </c>
      <c r="J150" s="8" t="s">
        <v>2992</v>
      </c>
      <c r="K150" t="s">
        <v>8026</v>
      </c>
      <c r="L150" t="s">
        <v>8027</v>
      </c>
      <c r="M150" s="3" t="str">
        <f>HYPERLINK(склад2въезд1319202122[[#This Row],[RelativePath]])</f>
        <v>8 Рейсмус\E33149364_2_20251228T145047Z.jpg</v>
      </c>
    </row>
    <row r="151" spans="1:13" x14ac:dyDescent="0.25">
      <c r="A151" s="2" t="s">
        <v>13</v>
      </c>
      <c r="B151" s="4">
        <v>46020</v>
      </c>
      <c r="C151" s="5">
        <v>0.39856481481481482</v>
      </c>
      <c r="D151" s="8" t="s">
        <v>7166</v>
      </c>
      <c r="E151" s="8"/>
      <c r="F151" s="8"/>
      <c r="H151" s="8"/>
      <c r="I151" s="8" t="s">
        <v>8144</v>
      </c>
      <c r="J151" s="8" t="s">
        <v>2992</v>
      </c>
      <c r="K151" t="s">
        <v>8145</v>
      </c>
      <c r="L151" t="s">
        <v>8146</v>
      </c>
      <c r="M151" s="3" t="str">
        <f>HYPERLINK(склад2въезд1319202122[[#This Row],[RelativePath]])</f>
        <v>8 Рейсмус\E33149364_2_20251229T093356Z.jpg</v>
      </c>
    </row>
    <row r="152" spans="1:13" x14ac:dyDescent="0.25">
      <c r="A152" s="2" t="s">
        <v>13</v>
      </c>
      <c r="B152" s="4">
        <v>46020</v>
      </c>
      <c r="C152" s="5">
        <v>0.41195601851851854</v>
      </c>
      <c r="D152" s="8" t="s">
        <v>1091</v>
      </c>
      <c r="E152" s="8" t="s">
        <v>53</v>
      </c>
      <c r="F152" s="8"/>
      <c r="G152">
        <v>5</v>
      </c>
      <c r="H152" s="8"/>
      <c r="I152" s="8" t="s">
        <v>8147</v>
      </c>
      <c r="J152" s="8" t="s">
        <v>2992</v>
      </c>
      <c r="K152" t="s">
        <v>8148</v>
      </c>
      <c r="L152" t="s">
        <v>8149</v>
      </c>
      <c r="M152" s="3" t="str">
        <f>HYPERLINK(склад2въезд1319202122[[#This Row],[RelativePath]])</f>
        <v>8 Рейсмус\E33149364_2_20251229T095313Z.jpg</v>
      </c>
    </row>
    <row r="153" spans="1:13" x14ac:dyDescent="0.25">
      <c r="A153" s="2" t="s">
        <v>13</v>
      </c>
      <c r="B153" s="4">
        <v>46020</v>
      </c>
      <c r="C153" s="5">
        <v>0.49357638888888888</v>
      </c>
      <c r="D153" s="8" t="s">
        <v>4</v>
      </c>
      <c r="E153" s="8" t="s">
        <v>531</v>
      </c>
      <c r="F153" s="8"/>
      <c r="H153" s="8"/>
      <c r="I153" s="8" t="s">
        <v>8150</v>
      </c>
      <c r="J153" s="8" t="s">
        <v>2992</v>
      </c>
      <c r="K153" t="s">
        <v>8151</v>
      </c>
      <c r="L153" t="s">
        <v>8152</v>
      </c>
      <c r="M153" s="3" t="str">
        <f>HYPERLINK(склад2въезд1319202122[[#This Row],[RelativePath]])</f>
        <v>8 Рейсмус\E33149364_2_20251229T115045Z.jpg</v>
      </c>
    </row>
    <row r="154" spans="1:13" x14ac:dyDescent="0.25">
      <c r="A154" s="2" t="s">
        <v>14</v>
      </c>
      <c r="B154" s="4">
        <v>46021</v>
      </c>
      <c r="C154" s="5">
        <v>0.52201388888888889</v>
      </c>
      <c r="D154" s="8" t="s">
        <v>2004</v>
      </c>
      <c r="E154" s="8" t="s">
        <v>9</v>
      </c>
      <c r="F154" s="8"/>
      <c r="H154" s="8"/>
      <c r="I154" s="8" t="s">
        <v>8153</v>
      </c>
      <c r="J154" s="8" t="s">
        <v>2992</v>
      </c>
      <c r="K154" t="s">
        <v>8154</v>
      </c>
      <c r="L154" t="s">
        <v>8155</v>
      </c>
      <c r="M154" s="3" t="str">
        <f>HYPERLINK(склад2въезд1319202122[[#This Row],[RelativePath]])</f>
        <v>8 Рейсмус\E33149364_2_20251230T123142Z.jpg</v>
      </c>
    </row>
    <row r="155" spans="1:13" x14ac:dyDescent="0.25">
      <c r="A155" s="2" t="s">
        <v>15</v>
      </c>
      <c r="B155" s="4">
        <v>46022</v>
      </c>
      <c r="C155" s="5">
        <v>0.60832175925925924</v>
      </c>
      <c r="D155" s="8" t="s">
        <v>2004</v>
      </c>
      <c r="E155" s="8" t="s">
        <v>9</v>
      </c>
      <c r="F155" s="8"/>
      <c r="H155" s="8"/>
      <c r="I155" s="8" t="s">
        <v>8332</v>
      </c>
      <c r="J155" s="8" t="s">
        <v>2992</v>
      </c>
      <c r="K155" t="s">
        <v>8333</v>
      </c>
      <c r="L155" t="s">
        <v>8334</v>
      </c>
      <c r="M155" s="3" t="str">
        <f>HYPERLINK(склад2въезд1319202122[[#This Row],[RelativePath]])</f>
        <v>8 Рейсмус\E33149364_2_20251231T143559Z.jpg</v>
      </c>
    </row>
    <row r="156" spans="1:13" x14ac:dyDescent="0.25">
      <c r="A156" s="2" t="s">
        <v>16</v>
      </c>
      <c r="B156" s="4">
        <v>46023</v>
      </c>
      <c r="C156" s="5">
        <v>0.67802083333333329</v>
      </c>
      <c r="D156" s="8" t="s">
        <v>2004</v>
      </c>
      <c r="E156" s="8" t="s">
        <v>9</v>
      </c>
      <c r="F156" s="8"/>
      <c r="H156" s="8"/>
      <c r="I156" s="8" t="s">
        <v>8156</v>
      </c>
      <c r="J156" s="8" t="s">
        <v>2992</v>
      </c>
      <c r="K156" t="s">
        <v>8157</v>
      </c>
      <c r="L156" t="s">
        <v>8158</v>
      </c>
      <c r="M156" s="3" t="str">
        <f>HYPERLINK(склад2въезд1319202122[[#This Row],[RelativePath]])</f>
        <v>8 Рейсмус\E33149364_2_20260101T161621Z.jpg</v>
      </c>
    </row>
    <row r="157" spans="1:13" x14ac:dyDescent="0.25">
      <c r="A157" s="2" t="s">
        <v>17</v>
      </c>
      <c r="B157" s="4">
        <v>46024</v>
      </c>
      <c r="C157" s="5">
        <v>0.47923611111111108</v>
      </c>
      <c r="D157" s="8" t="s">
        <v>2004</v>
      </c>
      <c r="E157" s="8" t="s">
        <v>9</v>
      </c>
      <c r="F157" s="8"/>
      <c r="H157" s="8"/>
      <c r="I157" s="8" t="s">
        <v>8411</v>
      </c>
      <c r="J157" s="8" t="s">
        <v>2992</v>
      </c>
      <c r="K157" t="s">
        <v>8412</v>
      </c>
      <c r="L157" t="s">
        <v>8413</v>
      </c>
      <c r="M157" s="3" t="str">
        <f>HYPERLINK(склад2въезд1319202122[[#This Row],[RelativePath]])</f>
        <v>8 Рейсмус\E33149364_2_20260102T113006Z.jpg</v>
      </c>
    </row>
    <row r="158" spans="1:13" x14ac:dyDescent="0.25">
      <c r="A158" s="2" t="s">
        <v>18</v>
      </c>
      <c r="B158" s="4">
        <v>46025</v>
      </c>
      <c r="C158" s="5">
        <v>0.68722222222222218</v>
      </c>
      <c r="D158" s="8" t="s">
        <v>2004</v>
      </c>
      <c r="E158" s="8" t="s">
        <v>9</v>
      </c>
      <c r="F158" s="8"/>
      <c r="H158" s="8"/>
      <c r="I158" s="8" t="s">
        <v>8414</v>
      </c>
      <c r="J158" s="8" t="s">
        <v>2992</v>
      </c>
      <c r="K158" t="s">
        <v>8415</v>
      </c>
      <c r="L158" t="s">
        <v>8416</v>
      </c>
      <c r="M158" s="3" t="str">
        <f>HYPERLINK(склад2въезд1319202122[[#This Row],[RelativePath]])</f>
        <v>8 Рейсмус\E33149364_2_20260103T162936Z.jpg</v>
      </c>
    </row>
    <row r="159" spans="1:13" x14ac:dyDescent="0.25">
      <c r="A159" s="2" t="s">
        <v>22</v>
      </c>
      <c r="B159" s="4">
        <v>46026</v>
      </c>
      <c r="C159" s="5">
        <v>0.62715277777777778</v>
      </c>
      <c r="D159" s="8" t="s">
        <v>2004</v>
      </c>
      <c r="E159" s="8" t="s">
        <v>9</v>
      </c>
      <c r="F159" s="8"/>
      <c r="H159" s="8"/>
      <c r="I159" s="8" t="s">
        <v>8417</v>
      </c>
      <c r="J159" s="8" t="s">
        <v>2992</v>
      </c>
      <c r="K159" t="s">
        <v>8418</v>
      </c>
      <c r="L159" t="s">
        <v>8419</v>
      </c>
      <c r="M159" s="3" t="str">
        <f>HYPERLINK(склад2въезд1319202122[[#This Row],[RelativePath]])</f>
        <v>8 Рейсмус\E33149364_2_20260104T150306Z.jpg</v>
      </c>
    </row>
    <row r="160" spans="1:13" x14ac:dyDescent="0.25">
      <c r="A160" s="2" t="s">
        <v>13</v>
      </c>
      <c r="B160" s="4">
        <v>46027</v>
      </c>
      <c r="C160" s="5">
        <v>0.60798611111111112</v>
      </c>
      <c r="D160" s="8" t="s">
        <v>2004</v>
      </c>
      <c r="E160" s="8" t="s">
        <v>9</v>
      </c>
      <c r="F160" s="8"/>
      <c r="H160" s="8"/>
      <c r="I160" s="8" t="s">
        <v>8598</v>
      </c>
      <c r="J160" s="8" t="s">
        <v>2992</v>
      </c>
      <c r="K160" t="s">
        <v>8599</v>
      </c>
      <c r="L160" t="s">
        <v>8600</v>
      </c>
      <c r="M160" s="3" t="str">
        <f>HYPERLINK(склад2въезд1319202122[[#This Row],[RelativePath]])</f>
        <v>8 Рейсмус\E33149364_2_20260105T143530Z.jpg</v>
      </c>
    </row>
    <row r="161" spans="1:13" x14ac:dyDescent="0.25">
      <c r="A161" s="2" t="s">
        <v>14</v>
      </c>
      <c r="B161" s="4">
        <v>46028</v>
      </c>
      <c r="C161" s="5">
        <v>0.66204861111111113</v>
      </c>
      <c r="D161" s="8" t="s">
        <v>2004</v>
      </c>
      <c r="E161" s="8" t="s">
        <v>9</v>
      </c>
      <c r="F161" s="8"/>
      <c r="H161" s="8"/>
      <c r="I161" s="8" t="s">
        <v>8601</v>
      </c>
      <c r="J161" s="8" t="s">
        <v>2992</v>
      </c>
      <c r="K161" t="s">
        <v>8602</v>
      </c>
      <c r="L161" t="s">
        <v>8603</v>
      </c>
      <c r="M161" s="3" t="str">
        <f>HYPERLINK(склад2въезд1319202122[[#This Row],[RelativePath]])</f>
        <v>8 Рейсмус\E33149364_2_20260106T155321Z.jpg</v>
      </c>
    </row>
    <row r="162" spans="1:13" x14ac:dyDescent="0.25">
      <c r="A162" s="2" t="s">
        <v>15</v>
      </c>
      <c r="B162" s="4">
        <v>46029</v>
      </c>
      <c r="C162" s="5">
        <v>0.50274305555555554</v>
      </c>
      <c r="D162" s="8" t="s">
        <v>2004</v>
      </c>
      <c r="E162" s="8" t="s">
        <v>9</v>
      </c>
      <c r="F162" s="8"/>
      <c r="H162" s="8"/>
      <c r="I162" s="8" t="s">
        <v>8604</v>
      </c>
      <c r="J162" s="8" t="s">
        <v>2992</v>
      </c>
      <c r="K162" t="s">
        <v>8605</v>
      </c>
      <c r="L162" t="s">
        <v>8606</v>
      </c>
      <c r="M162" s="3" t="str">
        <f>HYPERLINK(склад2въезд1319202122[[#This Row],[RelativePath]])</f>
        <v>8 Рейсмус\E33149364_2_20260107T120357Z.jpg</v>
      </c>
    </row>
    <row r="163" spans="1:13" x14ac:dyDescent="0.25">
      <c r="A163" s="2" t="s">
        <v>16</v>
      </c>
      <c r="B163" s="4">
        <v>46030</v>
      </c>
      <c r="C163" s="5">
        <v>0.59849537037037037</v>
      </c>
      <c r="D163" s="8" t="s">
        <v>2004</v>
      </c>
      <c r="E163" s="8" t="s">
        <v>9</v>
      </c>
      <c r="F163" s="8"/>
      <c r="H163" s="8"/>
      <c r="I163" s="8" t="s">
        <v>8607</v>
      </c>
      <c r="J163" s="8" t="s">
        <v>2992</v>
      </c>
      <c r="K163" t="s">
        <v>8608</v>
      </c>
      <c r="L163" t="s">
        <v>8609</v>
      </c>
      <c r="M163" s="3" t="str">
        <f>HYPERLINK(склад2въезд1319202122[[#This Row],[RelativePath]])</f>
        <v>8 Рейсмус\E33149364_2_20260108T142150Z.jpg</v>
      </c>
    </row>
    <row r="164" spans="1:13" x14ac:dyDescent="0.25">
      <c r="A164" s="2" t="s">
        <v>17</v>
      </c>
      <c r="B164" s="4">
        <v>46031</v>
      </c>
      <c r="C164" s="5">
        <v>0.69709490740740743</v>
      </c>
      <c r="D164" s="8" t="s">
        <v>2004</v>
      </c>
      <c r="E164" s="8" t="s">
        <v>9</v>
      </c>
      <c r="F164" s="8"/>
      <c r="H164" s="8"/>
      <c r="I164" s="8" t="s">
        <v>8610</v>
      </c>
      <c r="J164" s="8" t="s">
        <v>2992</v>
      </c>
      <c r="K164" t="s">
        <v>8611</v>
      </c>
      <c r="L164" t="s">
        <v>8612</v>
      </c>
      <c r="M164" s="3" t="str">
        <f>HYPERLINK(склад2въезд1319202122[[#This Row],[RelativePath]])</f>
        <v>8 Рейсмус\E33149364_2_20260109T164349Z.jpg</v>
      </c>
    </row>
    <row r="165" spans="1:13" x14ac:dyDescent="0.25">
      <c r="A165" s="2" t="s">
        <v>18</v>
      </c>
      <c r="B165" s="4">
        <v>46032</v>
      </c>
      <c r="C165" s="5">
        <v>0.67023148148148148</v>
      </c>
      <c r="D165" s="8" t="s">
        <v>2004</v>
      </c>
      <c r="E165" s="8" t="s">
        <v>9</v>
      </c>
      <c r="F165" s="8"/>
      <c r="H165" s="8"/>
      <c r="I165" s="8" t="s">
        <v>8613</v>
      </c>
      <c r="J165" s="8" t="s">
        <v>2992</v>
      </c>
      <c r="K165" t="s">
        <v>8614</v>
      </c>
      <c r="L165" t="s">
        <v>8615</v>
      </c>
      <c r="M165" s="3" t="str">
        <f>HYPERLINK(склад2въезд1319202122[[#This Row],[RelativePath]])</f>
        <v>8 Рейсмус\E33149364_2_20260110T160508Z.jpg</v>
      </c>
    </row>
    <row r="166" spans="1:13" x14ac:dyDescent="0.25">
      <c r="A166" s="2" t="s">
        <v>22</v>
      </c>
      <c r="B166" s="4">
        <v>46033</v>
      </c>
      <c r="C166" s="5">
        <v>0.63624999999999998</v>
      </c>
      <c r="D166" s="8" t="s">
        <v>2004</v>
      </c>
      <c r="E166" s="8" t="s">
        <v>8824</v>
      </c>
      <c r="F166" s="8"/>
      <c r="H166" s="8"/>
      <c r="I166" s="8" t="s">
        <v>8616</v>
      </c>
      <c r="J166" s="8" t="s">
        <v>2992</v>
      </c>
      <c r="K166" t="s">
        <v>8617</v>
      </c>
      <c r="L166" t="s">
        <v>8618</v>
      </c>
      <c r="M166" s="3" t="str">
        <f>HYPERLINK(склад2въезд1319202122[[#This Row],[RelativePath]])</f>
        <v>8 Рейсмус\E33149364_2_20260111T151612Z.jpg</v>
      </c>
    </row>
    <row r="167" spans="1:13" x14ac:dyDescent="0.25">
      <c r="A167" s="2" t="s">
        <v>13</v>
      </c>
      <c r="B167" s="4">
        <v>46034</v>
      </c>
      <c r="C167" s="5">
        <v>0.49069444444444443</v>
      </c>
      <c r="D167" s="8" t="s">
        <v>2004</v>
      </c>
      <c r="E167" s="8" t="s">
        <v>5477</v>
      </c>
      <c r="F167" s="8"/>
      <c r="H167" s="8"/>
      <c r="I167" s="8" t="s">
        <v>9000</v>
      </c>
      <c r="J167" s="8" t="s">
        <v>2992</v>
      </c>
      <c r="K167" t="s">
        <v>9001</v>
      </c>
      <c r="L167" t="s">
        <v>9002</v>
      </c>
      <c r="M167" s="3" t="str">
        <f>HYPERLINK(склад2въезд1319202122[[#This Row],[RelativePath]])</f>
        <v>8 Рейсмус\E33149364_2_20260112T114636Z.jpg</v>
      </c>
    </row>
    <row r="168" spans="1:13" x14ac:dyDescent="0.25">
      <c r="A168" s="2" t="s">
        <v>14</v>
      </c>
      <c r="B168" s="4">
        <v>46035</v>
      </c>
      <c r="C168" s="5">
        <v>0.40759259259259262</v>
      </c>
      <c r="D168" s="8" t="s">
        <v>4</v>
      </c>
      <c r="E168" s="8" t="s">
        <v>9</v>
      </c>
      <c r="F168" s="8"/>
      <c r="H168" s="8"/>
      <c r="I168" s="8" t="s">
        <v>9003</v>
      </c>
      <c r="J168" s="8" t="s">
        <v>2992</v>
      </c>
      <c r="K168" t="s">
        <v>9004</v>
      </c>
      <c r="L168" t="s">
        <v>9005</v>
      </c>
      <c r="M168" s="3" t="str">
        <f>HYPERLINK(склад2въезд1319202122[[#This Row],[RelativePath]])</f>
        <v>8 Рейсмус\E33149364_2_20260113T094656Z.jpg</v>
      </c>
    </row>
    <row r="169" spans="1:13" x14ac:dyDescent="0.25">
      <c r="A169" s="2" t="s">
        <v>14</v>
      </c>
      <c r="B169" s="4">
        <v>46035</v>
      </c>
      <c r="C169" s="5">
        <v>0.42978009259259259</v>
      </c>
      <c r="D169" s="8" t="s">
        <v>793</v>
      </c>
      <c r="E169" s="8" t="s">
        <v>1607</v>
      </c>
      <c r="F169" s="8"/>
      <c r="H169" s="8"/>
      <c r="I169" s="8" t="s">
        <v>9006</v>
      </c>
      <c r="J169" s="8" t="s">
        <v>2992</v>
      </c>
      <c r="K169" t="s">
        <v>9007</v>
      </c>
      <c r="L169" t="s">
        <v>9008</v>
      </c>
      <c r="M169" s="3" t="str">
        <f>HYPERLINK(склад2въезд1319202122[[#This Row],[RelativePath]])</f>
        <v>8 Рейсмус\E33149364_2_20260113T101853Z.jpg</v>
      </c>
    </row>
    <row r="170" spans="1:13" x14ac:dyDescent="0.25">
      <c r="A170" s="2" t="s">
        <v>14</v>
      </c>
      <c r="B170" s="4">
        <v>46035</v>
      </c>
      <c r="C170" s="5">
        <v>0.45549768518518519</v>
      </c>
      <c r="D170" s="8" t="s">
        <v>2024</v>
      </c>
      <c r="E170" s="8" t="s">
        <v>796</v>
      </c>
      <c r="F170" s="8"/>
      <c r="H170" s="8"/>
      <c r="I170" s="8" t="s">
        <v>9009</v>
      </c>
      <c r="J170" s="8" t="s">
        <v>2992</v>
      </c>
      <c r="K170" t="s">
        <v>9010</v>
      </c>
      <c r="L170" t="s">
        <v>9011</v>
      </c>
      <c r="M170" s="3" t="str">
        <f>HYPERLINK(склад2въезд1319202122[[#This Row],[RelativePath]])</f>
        <v>8 Рейсмус\E33149364_2_20260113T105555Z.jpg</v>
      </c>
    </row>
    <row r="171" spans="1:13" x14ac:dyDescent="0.25">
      <c r="A171" s="2" t="s">
        <v>14</v>
      </c>
      <c r="B171" s="4">
        <v>46035</v>
      </c>
      <c r="C171" s="5">
        <v>0.45629629629629631</v>
      </c>
      <c r="D171" s="8" t="s">
        <v>9198</v>
      </c>
      <c r="E171" s="8" t="s">
        <v>9199</v>
      </c>
      <c r="F171" s="8"/>
      <c r="H171" s="8"/>
      <c r="I171" s="8" t="s">
        <v>9012</v>
      </c>
      <c r="J171" s="8" t="s">
        <v>2992</v>
      </c>
      <c r="K171" t="s">
        <v>9013</v>
      </c>
      <c r="L171" t="s">
        <v>9014</v>
      </c>
      <c r="M171" s="3" t="str">
        <f>HYPERLINK(склад2въезд1319202122[[#This Row],[RelativePath]])</f>
        <v>8 Рейсмус\E33149364_2_20260113T105704Z.jpg</v>
      </c>
    </row>
    <row r="172" spans="1:13" x14ac:dyDescent="0.25">
      <c r="A172" s="2" t="s">
        <v>14</v>
      </c>
      <c r="B172" s="4">
        <v>46035</v>
      </c>
      <c r="C172" s="5">
        <v>0.46055555555555555</v>
      </c>
      <c r="D172" s="8" t="s">
        <v>2024</v>
      </c>
      <c r="E172" s="8" t="s">
        <v>796</v>
      </c>
      <c r="F172" s="8"/>
      <c r="H172" s="8"/>
      <c r="I172" s="8" t="s">
        <v>9015</v>
      </c>
      <c r="J172" s="8" t="s">
        <v>2992</v>
      </c>
      <c r="K172" t="s">
        <v>9016</v>
      </c>
      <c r="L172" t="s">
        <v>9017</v>
      </c>
      <c r="M172" s="3" t="str">
        <f>HYPERLINK(склад2въезд1319202122[[#This Row],[RelativePath]])</f>
        <v>8 Рейсмус\E33149364_2_20260113T110312Z.jpg</v>
      </c>
    </row>
    <row r="173" spans="1:13" x14ac:dyDescent="0.25">
      <c r="A173" s="2" t="s">
        <v>14</v>
      </c>
      <c r="B173" s="4">
        <v>46035</v>
      </c>
      <c r="C173" s="5">
        <v>0.47013888888888888</v>
      </c>
      <c r="D173" s="8" t="s">
        <v>2024</v>
      </c>
      <c r="E173" s="8" t="s">
        <v>796</v>
      </c>
      <c r="F173" s="8"/>
      <c r="H173" s="8" t="s">
        <v>2936</v>
      </c>
      <c r="I173" s="8" t="s">
        <v>9018</v>
      </c>
      <c r="J173" s="8" t="s">
        <v>2992</v>
      </c>
      <c r="K173" t="s">
        <v>9019</v>
      </c>
      <c r="L173" t="s">
        <v>9020</v>
      </c>
      <c r="M173" s="3" t="str">
        <f>HYPERLINK(склад2въезд1319202122[[#This Row],[RelativePath]])</f>
        <v>8 Рейсмус\E33149364_2_20260113T111700Z.jpg</v>
      </c>
    </row>
    <row r="174" spans="1:13" x14ac:dyDescent="0.25">
      <c r="A174" s="2" t="s">
        <v>14</v>
      </c>
      <c r="B174" s="4">
        <v>46035</v>
      </c>
      <c r="C174" s="5">
        <v>0.85482638888888884</v>
      </c>
      <c r="D174" s="8" t="s">
        <v>4</v>
      </c>
      <c r="E174" s="8" t="s">
        <v>9</v>
      </c>
      <c r="F174" s="8"/>
      <c r="H174" s="8"/>
      <c r="I174" s="8" t="s">
        <v>9021</v>
      </c>
      <c r="J174" s="8" t="s">
        <v>2992</v>
      </c>
      <c r="K174" t="s">
        <v>9022</v>
      </c>
      <c r="L174" t="s">
        <v>9023</v>
      </c>
      <c r="M174" s="3" t="str">
        <f>HYPERLINK(склад2въезд1319202122[[#This Row],[RelativePath]])</f>
        <v>8 Рейсмус\E33149364_2_20260113T203057Z.jpg</v>
      </c>
    </row>
    <row r="175" spans="1:13" x14ac:dyDescent="0.25">
      <c r="A175" s="2" t="s">
        <v>14</v>
      </c>
      <c r="B175" s="4">
        <v>46035</v>
      </c>
      <c r="C175" s="5">
        <v>0.86243055555555559</v>
      </c>
      <c r="D175" s="8" t="s">
        <v>4</v>
      </c>
      <c r="E175" s="8" t="s">
        <v>9</v>
      </c>
      <c r="F175" s="8"/>
      <c r="H175" s="8"/>
      <c r="I175" s="8" t="s">
        <v>9024</v>
      </c>
      <c r="J175" s="8" t="s">
        <v>2992</v>
      </c>
      <c r="K175" t="s">
        <v>9025</v>
      </c>
      <c r="L175" t="s">
        <v>9026</v>
      </c>
      <c r="M175" s="3" t="str">
        <f>HYPERLINK(склад2въезд1319202122[[#This Row],[RelativePath]])</f>
        <v>8 Рейсмус\E33149364_2_20260113T204154Z.jpg</v>
      </c>
    </row>
    <row r="176" spans="1:13" x14ac:dyDescent="0.25">
      <c r="A176" s="2" t="s">
        <v>15</v>
      </c>
      <c r="B176" s="4">
        <v>46036</v>
      </c>
      <c r="C176" s="5">
        <v>0.37813657407407408</v>
      </c>
      <c r="D176" s="8" t="s">
        <v>4</v>
      </c>
      <c r="E176" s="8" t="s">
        <v>9</v>
      </c>
      <c r="F176" s="8"/>
      <c r="H176" s="8"/>
      <c r="I176" s="8" t="s">
        <v>9270</v>
      </c>
      <c r="J176" s="8" t="s">
        <v>2992</v>
      </c>
      <c r="K176" t="s">
        <v>9271</v>
      </c>
      <c r="L176" t="s">
        <v>9272</v>
      </c>
      <c r="M176" s="3" t="str">
        <f>HYPERLINK(склад2въезд1319202122[[#This Row],[RelativePath]])</f>
        <v>8 Рейсмус\E33149364_2_20260114T090431Z.jpg</v>
      </c>
    </row>
    <row r="177" spans="1:13" x14ac:dyDescent="0.25">
      <c r="A177" s="2" t="s">
        <v>15</v>
      </c>
      <c r="B177" s="4">
        <v>46036</v>
      </c>
      <c r="C177" s="5">
        <v>0.84994212962962967</v>
      </c>
      <c r="D177" s="8" t="s">
        <v>4</v>
      </c>
      <c r="E177" s="8" t="s">
        <v>9</v>
      </c>
      <c r="F177" s="8"/>
      <c r="H177" s="8" t="s">
        <v>2936</v>
      </c>
      <c r="I177" s="8" t="s">
        <v>9273</v>
      </c>
      <c r="J177" s="8" t="s">
        <v>2992</v>
      </c>
      <c r="K177" t="s">
        <v>9274</v>
      </c>
      <c r="L177" t="s">
        <v>9275</v>
      </c>
      <c r="M177" s="3" t="str">
        <f>HYPERLINK(склад2въезд1319202122[[#This Row],[RelativePath]])</f>
        <v>8 Рейсмус\E33149364_2_20260114T202355Z.jpg</v>
      </c>
    </row>
    <row r="178" spans="1:13" x14ac:dyDescent="0.25">
      <c r="A178" s="2" t="s">
        <v>15</v>
      </c>
      <c r="B178" s="4">
        <v>46036</v>
      </c>
      <c r="C178" s="5">
        <v>0.85083333333333333</v>
      </c>
      <c r="D178" s="8" t="s">
        <v>9409</v>
      </c>
      <c r="E178" s="8" t="s">
        <v>1607</v>
      </c>
      <c r="F178" s="8"/>
      <c r="H178" s="8"/>
      <c r="I178" s="8" t="s">
        <v>9276</v>
      </c>
      <c r="J178" s="8" t="s">
        <v>2992</v>
      </c>
      <c r="K178" t="s">
        <v>9277</v>
      </c>
      <c r="L178" t="s">
        <v>9278</v>
      </c>
      <c r="M178" s="3" t="str">
        <f>HYPERLINK(склад2въезд1319202122[[#This Row],[RelativePath]])</f>
        <v>8 Рейсмус\E33149364_2_20260114T202512Z.jpg</v>
      </c>
    </row>
    <row r="179" spans="1:13" x14ac:dyDescent="0.25">
      <c r="A179" s="2" t="s">
        <v>15</v>
      </c>
      <c r="B179" s="4">
        <v>46036</v>
      </c>
      <c r="C179" s="5">
        <v>0.85103009259259255</v>
      </c>
      <c r="D179" s="8" t="s">
        <v>9409</v>
      </c>
      <c r="E179" s="8" t="s">
        <v>1607</v>
      </c>
      <c r="F179" s="8"/>
      <c r="H179" s="8" t="s">
        <v>2936</v>
      </c>
      <c r="I179" s="8" t="s">
        <v>9279</v>
      </c>
      <c r="J179" s="8" t="s">
        <v>2992</v>
      </c>
      <c r="K179" t="s">
        <v>9280</v>
      </c>
      <c r="L179" t="s">
        <v>9281</v>
      </c>
      <c r="M179" s="3" t="str">
        <f>HYPERLINK(склад2въезд1319202122[[#This Row],[RelativePath]])</f>
        <v>8 Рейсмус\E33149364_2_20260114T202529Z.jpg</v>
      </c>
    </row>
    <row r="180" spans="1:13" x14ac:dyDescent="0.25">
      <c r="A180" s="2" t="s">
        <v>15</v>
      </c>
      <c r="B180" s="4">
        <v>46036</v>
      </c>
      <c r="C180" s="5">
        <v>0.85888888888888892</v>
      </c>
      <c r="D180" s="8" t="s">
        <v>9409</v>
      </c>
      <c r="E180" s="8" t="s">
        <v>1607</v>
      </c>
      <c r="F180" s="8"/>
      <c r="H180" s="8" t="s">
        <v>2936</v>
      </c>
      <c r="I180" s="8" t="s">
        <v>9282</v>
      </c>
      <c r="J180" s="8" t="s">
        <v>2992</v>
      </c>
      <c r="K180" t="s">
        <v>9283</v>
      </c>
      <c r="L180" t="s">
        <v>9284</v>
      </c>
      <c r="M180" s="3" t="str">
        <f>HYPERLINK(склад2въезд1319202122[[#This Row],[RelativePath]])</f>
        <v>8 Рейсмус\E33149364_2_20260114T203648Z.jpg</v>
      </c>
    </row>
    <row r="181" spans="1:13" x14ac:dyDescent="0.25">
      <c r="A181" s="2" t="s">
        <v>15</v>
      </c>
      <c r="B181" s="4">
        <v>46036</v>
      </c>
      <c r="C181" s="5">
        <v>0.86230324074074072</v>
      </c>
      <c r="D181" s="8" t="s">
        <v>2024</v>
      </c>
      <c r="E181" s="8" t="s">
        <v>796</v>
      </c>
      <c r="F181" s="8"/>
      <c r="H181" s="8"/>
      <c r="I181" s="8" t="s">
        <v>9285</v>
      </c>
      <c r="J181" s="8" t="s">
        <v>2992</v>
      </c>
      <c r="K181" t="s">
        <v>9286</v>
      </c>
      <c r="L181" t="s">
        <v>9287</v>
      </c>
      <c r="M181" s="3" t="str">
        <f>HYPERLINK(склад2въезд1319202122[[#This Row],[RelativePath]])</f>
        <v>8 Рейсмус\E33149364_2_20260114T204143Z.jpg</v>
      </c>
    </row>
    <row r="182" spans="1:13" x14ac:dyDescent="0.25">
      <c r="A182" s="2" t="s">
        <v>16</v>
      </c>
      <c r="B182" s="4">
        <v>46037</v>
      </c>
      <c r="C182" s="5">
        <v>0.38729166666666665</v>
      </c>
      <c r="D182" s="8" t="s">
        <v>4</v>
      </c>
      <c r="E182" s="8" t="s">
        <v>9</v>
      </c>
      <c r="F182" s="8"/>
      <c r="H182" s="8"/>
      <c r="I182" s="8" t="s">
        <v>9410</v>
      </c>
      <c r="J182" s="8" t="s">
        <v>2992</v>
      </c>
      <c r="K182" t="s">
        <v>9411</v>
      </c>
      <c r="L182" t="s">
        <v>9412</v>
      </c>
      <c r="M182" s="3" t="str">
        <f>HYPERLINK(склад2въезд1319202122[[#This Row],[RelativePath]])</f>
        <v>8 Рейсмус\E33149364_2_20260115T091742Z.jpg</v>
      </c>
    </row>
    <row r="183" spans="1:13" x14ac:dyDescent="0.25">
      <c r="A183" s="2" t="s">
        <v>16</v>
      </c>
      <c r="B183" s="4">
        <v>46037</v>
      </c>
      <c r="C183" s="5">
        <v>0.42495370370370372</v>
      </c>
      <c r="D183" s="8" t="s">
        <v>2024</v>
      </c>
      <c r="E183" s="8" t="s">
        <v>796</v>
      </c>
      <c r="F183" s="8"/>
      <c r="H183" s="8"/>
      <c r="I183" s="8" t="s">
        <v>9413</v>
      </c>
      <c r="J183" s="8" t="s">
        <v>2992</v>
      </c>
      <c r="K183" t="s">
        <v>9414</v>
      </c>
      <c r="L183" t="s">
        <v>9415</v>
      </c>
      <c r="M183" s="3" t="str">
        <f>HYPERLINK(склад2въезд1319202122[[#This Row],[RelativePath]])</f>
        <v>8 Рейсмус\E33149364_2_20260115T101156Z.jpg</v>
      </c>
    </row>
    <row r="184" spans="1:13" x14ac:dyDescent="0.25">
      <c r="A184" s="2" t="s">
        <v>16</v>
      </c>
      <c r="B184" s="4">
        <v>46037</v>
      </c>
      <c r="C184" s="5">
        <v>0.4377314814814815</v>
      </c>
      <c r="D184" s="8" t="s">
        <v>2024</v>
      </c>
      <c r="E184" s="8" t="s">
        <v>796</v>
      </c>
      <c r="F184" s="8"/>
      <c r="H184" s="8"/>
      <c r="I184" s="8" t="s">
        <v>9416</v>
      </c>
      <c r="J184" s="8" t="s">
        <v>2992</v>
      </c>
      <c r="K184" t="s">
        <v>9417</v>
      </c>
      <c r="L184" t="s">
        <v>9418</v>
      </c>
      <c r="M184" s="3" t="str">
        <f>HYPERLINK(склад2въезд1319202122[[#This Row],[RelativePath]])</f>
        <v>8 Рейсмус\E33149364_2_20260115T103020Z.jpg</v>
      </c>
    </row>
    <row r="185" spans="1:13" x14ac:dyDescent="0.25">
      <c r="A185" s="2" t="s">
        <v>16</v>
      </c>
      <c r="B185" s="4">
        <v>46037</v>
      </c>
      <c r="C185" s="5">
        <v>0.45703703703703702</v>
      </c>
      <c r="D185" s="8" t="s">
        <v>9409</v>
      </c>
      <c r="E185" s="8" t="s">
        <v>1607</v>
      </c>
      <c r="F185" s="8"/>
      <c r="H185" s="8"/>
      <c r="I185" s="8" t="s">
        <v>9419</v>
      </c>
      <c r="J185" s="8" t="s">
        <v>2992</v>
      </c>
      <c r="K185" t="s">
        <v>9420</v>
      </c>
      <c r="L185" t="s">
        <v>9421</v>
      </c>
      <c r="M185" s="3" t="str">
        <f>HYPERLINK(склад2въезд1319202122[[#This Row],[RelativePath]])</f>
        <v>8 Рейсмус\E33149364_2_20260115T105808Z.jpg</v>
      </c>
    </row>
    <row r="186" spans="1:13" x14ac:dyDescent="0.25">
      <c r="A186" s="2" t="s">
        <v>16</v>
      </c>
      <c r="B186" s="4">
        <v>46037</v>
      </c>
      <c r="C186" s="5">
        <v>0.47192129629629631</v>
      </c>
      <c r="D186" s="8" t="s">
        <v>2024</v>
      </c>
      <c r="E186" s="8" t="s">
        <v>796</v>
      </c>
      <c r="F186" s="8"/>
      <c r="H186" s="8"/>
      <c r="I186" s="8" t="s">
        <v>9422</v>
      </c>
      <c r="J186" s="8" t="s">
        <v>2992</v>
      </c>
      <c r="K186" t="s">
        <v>9423</v>
      </c>
      <c r="L186" t="s">
        <v>9424</v>
      </c>
      <c r="M186" s="3" t="str">
        <f>HYPERLINK(склад2въезд1319202122[[#This Row],[RelativePath]])</f>
        <v>8 Рейсмус\E33149364_2_20260115T111934Z.jpg</v>
      </c>
    </row>
    <row r="187" spans="1:13" x14ac:dyDescent="0.25">
      <c r="A187" s="2" t="s">
        <v>16</v>
      </c>
      <c r="B187" s="4">
        <v>46037</v>
      </c>
      <c r="C187" s="5">
        <v>0.51744212962962965</v>
      </c>
      <c r="D187" s="8" t="s">
        <v>2024</v>
      </c>
      <c r="E187" s="8" t="s">
        <v>796</v>
      </c>
      <c r="F187" s="8"/>
      <c r="H187" s="8"/>
      <c r="I187" s="8" t="s">
        <v>9425</v>
      </c>
      <c r="J187" s="8" t="s">
        <v>2992</v>
      </c>
      <c r="K187" t="s">
        <v>9426</v>
      </c>
      <c r="L187" t="s">
        <v>9427</v>
      </c>
      <c r="M187" s="3" t="str">
        <f>HYPERLINK(склад2въезд1319202122[[#This Row],[RelativePath]])</f>
        <v>8 Рейсмус\E33149364_2_20260115T122507Z.jpg</v>
      </c>
    </row>
    <row r="188" spans="1:13" x14ac:dyDescent="0.25">
      <c r="A188" s="2" t="s">
        <v>16</v>
      </c>
      <c r="B188" s="4">
        <v>46037</v>
      </c>
      <c r="C188" s="5">
        <v>0.61798611111111112</v>
      </c>
      <c r="D188" s="8" t="s">
        <v>9409</v>
      </c>
      <c r="E188" s="8" t="s">
        <v>1607</v>
      </c>
      <c r="F188" s="8"/>
      <c r="H188" s="8"/>
      <c r="I188" s="8" t="s">
        <v>9428</v>
      </c>
      <c r="J188" s="8" t="s">
        <v>2992</v>
      </c>
      <c r="K188" t="s">
        <v>9429</v>
      </c>
      <c r="L188" t="s">
        <v>9430</v>
      </c>
      <c r="M188" s="3" t="str">
        <f>HYPERLINK(склад2въезд1319202122[[#This Row],[RelativePath]])</f>
        <v>8 Рейсмус\E33149364_2_20260115T144954Z.jpg</v>
      </c>
    </row>
    <row r="189" spans="1:13" x14ac:dyDescent="0.25">
      <c r="A189" s="2" t="s">
        <v>16</v>
      </c>
      <c r="B189" s="4">
        <v>46037</v>
      </c>
      <c r="C189" s="5">
        <v>0.69480324074074074</v>
      </c>
      <c r="D189" s="8" t="s">
        <v>2024</v>
      </c>
      <c r="E189" s="8" t="s">
        <v>796</v>
      </c>
      <c r="F189" s="8"/>
      <c r="H189" s="8"/>
      <c r="I189" s="8" t="s">
        <v>9431</v>
      </c>
      <c r="J189" s="8" t="s">
        <v>2992</v>
      </c>
      <c r="K189" t="s">
        <v>9432</v>
      </c>
      <c r="L189" t="s">
        <v>9433</v>
      </c>
      <c r="M189" s="3" t="str">
        <f>HYPERLINK(склад2въезд1319202122[[#This Row],[RelativePath]])</f>
        <v>8 Рейсмус\E33149364_2_20260115T164031Z.jpg</v>
      </c>
    </row>
    <row r="190" spans="1:13" x14ac:dyDescent="0.25">
      <c r="A190" s="2" t="s">
        <v>17</v>
      </c>
      <c r="B190" s="4">
        <v>46038</v>
      </c>
      <c r="C190" s="5">
        <v>0.39674768518518516</v>
      </c>
      <c r="D190" s="8" t="s">
        <v>2024</v>
      </c>
      <c r="E190" s="8" t="s">
        <v>796</v>
      </c>
      <c r="F190" s="8"/>
      <c r="H190" s="8"/>
      <c r="I190" s="8" t="s">
        <v>9434</v>
      </c>
      <c r="J190" s="8" t="s">
        <v>2992</v>
      </c>
      <c r="K190" t="s">
        <v>9435</v>
      </c>
      <c r="L190" t="s">
        <v>9436</v>
      </c>
      <c r="M190" s="3" t="str">
        <f>HYPERLINK(склад2въезд1319202122[[#This Row],[RelativePath]])</f>
        <v>8 Рейсмус\E33149364_2_20260116T093119Z.jpg</v>
      </c>
    </row>
    <row r="191" spans="1:13" x14ac:dyDescent="0.25">
      <c r="A191" s="2" t="s">
        <v>17</v>
      </c>
      <c r="B191" s="4">
        <v>46038</v>
      </c>
      <c r="C191" s="5">
        <v>0.49776620370370372</v>
      </c>
      <c r="D191" s="8" t="s">
        <v>9455</v>
      </c>
      <c r="E191" s="8" t="s">
        <v>531</v>
      </c>
      <c r="F191" s="8"/>
      <c r="H191" s="8"/>
      <c r="I191" s="8" t="s">
        <v>9437</v>
      </c>
      <c r="J191" s="8" t="s">
        <v>2992</v>
      </c>
      <c r="K191" t="s">
        <v>9438</v>
      </c>
      <c r="L191" t="s">
        <v>9439</v>
      </c>
      <c r="M191" s="3" t="str">
        <f>HYPERLINK(склад2въезд1319202122[[#This Row],[RelativePath]])</f>
        <v>8 Рейсмус\E33149364_2_20260116T115647Z.jpg</v>
      </c>
    </row>
    <row r="192" spans="1:13" x14ac:dyDescent="0.25">
      <c r="A192" s="2" t="s">
        <v>17</v>
      </c>
      <c r="B192" s="4">
        <v>46038</v>
      </c>
      <c r="C192" s="5">
        <v>0.51901620370370372</v>
      </c>
      <c r="D192" s="8" t="s">
        <v>9409</v>
      </c>
      <c r="E192" s="8" t="s">
        <v>1607</v>
      </c>
      <c r="F192" s="8"/>
      <c r="H192" s="8"/>
      <c r="I192" s="8" t="s">
        <v>9440</v>
      </c>
      <c r="J192" s="8" t="s">
        <v>2992</v>
      </c>
      <c r="K192" t="s">
        <v>9441</v>
      </c>
      <c r="L192" t="s">
        <v>9442</v>
      </c>
      <c r="M192" s="3" t="str">
        <f>HYPERLINK(склад2въезд1319202122[[#This Row],[RelativePath]])</f>
        <v>8 Рейсмус\E33149364_2_20260116T122723Z.jpg</v>
      </c>
    </row>
    <row r="193" spans="1:13" x14ac:dyDescent="0.25">
      <c r="A193" s="2" t="s">
        <v>17</v>
      </c>
      <c r="B193" s="4">
        <v>46038</v>
      </c>
      <c r="C193" s="5">
        <v>0.59623842592592591</v>
      </c>
      <c r="D193" s="8" t="s">
        <v>9409</v>
      </c>
      <c r="E193" s="8" t="s">
        <v>1607</v>
      </c>
      <c r="F193" s="8"/>
      <c r="H193" s="8"/>
      <c r="I193" s="8" t="s">
        <v>9443</v>
      </c>
      <c r="J193" s="8" t="s">
        <v>2992</v>
      </c>
      <c r="K193" t="s">
        <v>9444</v>
      </c>
      <c r="L193" t="s">
        <v>9445</v>
      </c>
      <c r="M193" s="3" t="str">
        <f>HYPERLINK(склад2въезд1319202122[[#This Row],[RelativePath]])</f>
        <v>8 Рейсмус\E33149364_2_20260116T141835Z.jpg</v>
      </c>
    </row>
    <row r="194" spans="1:13" x14ac:dyDescent="0.25">
      <c r="A194" s="2" t="s">
        <v>17</v>
      </c>
      <c r="B194" s="4">
        <v>46038</v>
      </c>
      <c r="C194" s="5">
        <v>0.62276620370370372</v>
      </c>
      <c r="D194" s="8" t="s">
        <v>9409</v>
      </c>
      <c r="E194" s="8" t="s">
        <v>1607</v>
      </c>
      <c r="F194" s="8"/>
      <c r="H194" s="8"/>
      <c r="I194" s="8" t="s">
        <v>9446</v>
      </c>
      <c r="J194" s="8" t="s">
        <v>2992</v>
      </c>
      <c r="K194" t="s">
        <v>9447</v>
      </c>
      <c r="L194" t="s">
        <v>9448</v>
      </c>
      <c r="M194" s="3" t="str">
        <f>HYPERLINK(склад2въезд1319202122[[#This Row],[RelativePath]])</f>
        <v>8 Рейсмус\E33149364_2_20260116T145647Z.jpg</v>
      </c>
    </row>
    <row r="195" spans="1:13" x14ac:dyDescent="0.25">
      <c r="A195" s="2" t="s">
        <v>17</v>
      </c>
      <c r="B195" s="4">
        <v>46038</v>
      </c>
      <c r="C195" s="5">
        <v>0.66480324074074071</v>
      </c>
      <c r="D195" s="8" t="s">
        <v>2024</v>
      </c>
      <c r="E195" s="8" t="s">
        <v>796</v>
      </c>
      <c r="F195" s="8"/>
      <c r="H195" s="8"/>
      <c r="I195" s="8" t="s">
        <v>9449</v>
      </c>
      <c r="J195" s="8" t="s">
        <v>2992</v>
      </c>
      <c r="K195" t="s">
        <v>9450</v>
      </c>
      <c r="L195" t="s">
        <v>9451</v>
      </c>
      <c r="M195" s="3" t="str">
        <f>HYPERLINK(склад2въезд1319202122[[#This Row],[RelativePath]])</f>
        <v>8 Рейсмус\E33149364_2_20260116T155719Z.jpg</v>
      </c>
    </row>
    <row r="196" spans="1:13" x14ac:dyDescent="0.25">
      <c r="A196" s="2" t="s">
        <v>17</v>
      </c>
      <c r="B196" s="4">
        <v>46038</v>
      </c>
      <c r="C196" s="5">
        <v>0.66701388888888891</v>
      </c>
      <c r="D196" s="8" t="s">
        <v>9409</v>
      </c>
      <c r="E196" s="8" t="s">
        <v>1607</v>
      </c>
      <c r="F196" s="8"/>
      <c r="H196" s="8"/>
      <c r="I196" s="8" t="s">
        <v>9452</v>
      </c>
      <c r="J196" s="8" t="s">
        <v>2992</v>
      </c>
      <c r="K196" t="s">
        <v>9453</v>
      </c>
      <c r="L196" t="s">
        <v>9454</v>
      </c>
      <c r="M196" s="3" t="str">
        <f>HYPERLINK(склад2въезд1319202122[[#This Row],[RelativePath]])</f>
        <v>8 Рейсмус\E33149364_2_20260116T160030Z.jpg</v>
      </c>
    </row>
    <row r="197" spans="1:13" x14ac:dyDescent="0.25">
      <c r="A197" s="2" t="s">
        <v>18</v>
      </c>
      <c r="B197" s="4">
        <v>46039</v>
      </c>
      <c r="C197" s="5">
        <v>0.42025462962962962</v>
      </c>
      <c r="D197" s="8" t="s">
        <v>9409</v>
      </c>
      <c r="E197" s="8" t="s">
        <v>1607</v>
      </c>
      <c r="F197" s="8"/>
      <c r="H197" s="8"/>
      <c r="I197" s="8" t="s">
        <v>9618</v>
      </c>
      <c r="J197" s="8" t="s">
        <v>2992</v>
      </c>
      <c r="K197" t="s">
        <v>9619</v>
      </c>
      <c r="L197" t="s">
        <v>9620</v>
      </c>
      <c r="M197" s="3" t="str">
        <f>HYPERLINK(склад2въезд1319202122[[#This Row],[RelativePath]])</f>
        <v>8 Рейсмус\E33149364_2_20260117T100510Z.jpg</v>
      </c>
    </row>
    <row r="198" spans="1:13" x14ac:dyDescent="0.25">
      <c r="A198" s="2" t="s">
        <v>18</v>
      </c>
      <c r="B198" s="4">
        <v>46039</v>
      </c>
      <c r="C198" s="5">
        <v>0.59825231481481478</v>
      </c>
      <c r="D198" s="8" t="s">
        <v>4</v>
      </c>
      <c r="E198" s="8" t="s">
        <v>9</v>
      </c>
      <c r="F198" s="8"/>
      <c r="H198" s="8"/>
      <c r="I198" s="8" t="s">
        <v>9621</v>
      </c>
      <c r="J198" s="8" t="s">
        <v>2992</v>
      </c>
      <c r="K198" t="s">
        <v>9622</v>
      </c>
      <c r="L198" t="s">
        <v>9623</v>
      </c>
      <c r="M198" s="3" t="str">
        <f>HYPERLINK(склад2въезд1319202122[[#This Row],[RelativePath]])</f>
        <v>8 Рейсмус\E33149364_2_20260117T142129Z.jpg</v>
      </c>
    </row>
    <row r="199" spans="1:13" x14ac:dyDescent="0.25">
      <c r="A199" s="2" t="s">
        <v>22</v>
      </c>
      <c r="B199" s="4">
        <v>46040</v>
      </c>
      <c r="C199" s="5">
        <v>0.62940972222222225</v>
      </c>
      <c r="D199" s="8" t="s">
        <v>9409</v>
      </c>
      <c r="E199" s="8" t="s">
        <v>1607</v>
      </c>
      <c r="F199" s="8"/>
      <c r="H199" s="8"/>
      <c r="I199" s="8" t="s">
        <v>9624</v>
      </c>
      <c r="J199" s="8" t="s">
        <v>2992</v>
      </c>
      <c r="K199" t="s">
        <v>9625</v>
      </c>
      <c r="L199" t="s">
        <v>9626</v>
      </c>
      <c r="M199" s="3" t="str">
        <f>HYPERLINK(склад2въезд1319202122[[#This Row],[RelativePath]])</f>
        <v>8 Рейсмус\E33149364_2_20260118T150621Z.jpg</v>
      </c>
    </row>
    <row r="200" spans="1:13" x14ac:dyDescent="0.25">
      <c r="A200" s="2" t="s">
        <v>22</v>
      </c>
      <c r="B200" s="4">
        <v>46040</v>
      </c>
      <c r="C200" s="5">
        <v>0.67388888888888887</v>
      </c>
      <c r="D200" s="8" t="s">
        <v>2024</v>
      </c>
      <c r="E200" s="8" t="s">
        <v>796</v>
      </c>
      <c r="F200" s="8"/>
      <c r="H200" s="8"/>
      <c r="I200" s="8" t="s">
        <v>9627</v>
      </c>
      <c r="J200" s="8" t="s">
        <v>2992</v>
      </c>
      <c r="K200" t="s">
        <v>9628</v>
      </c>
      <c r="L200" t="s">
        <v>9629</v>
      </c>
      <c r="M200" s="3" t="str">
        <f>HYPERLINK(склад2въезд1319202122[[#This Row],[RelativePath]])</f>
        <v>8 Рейсмус\E33149364_2_20260118T161024Z.jpg</v>
      </c>
    </row>
    <row r="201" spans="1:13" x14ac:dyDescent="0.25">
      <c r="A201" s="2" t="s">
        <v>22</v>
      </c>
      <c r="B201" s="4">
        <v>46040</v>
      </c>
      <c r="C201" s="5">
        <v>0.69202546296296297</v>
      </c>
      <c r="D201" s="8" t="s">
        <v>4</v>
      </c>
      <c r="E201" s="8" t="s">
        <v>9</v>
      </c>
      <c r="F201" s="8"/>
      <c r="H201" s="8"/>
      <c r="I201" s="8" t="s">
        <v>9630</v>
      </c>
      <c r="J201" s="8" t="s">
        <v>2992</v>
      </c>
      <c r="K201" t="s">
        <v>9631</v>
      </c>
      <c r="L201" t="s">
        <v>9632</v>
      </c>
      <c r="M201" s="3" t="str">
        <f>HYPERLINK(склад2въезд1319202122[[#This Row],[RelativePath]])</f>
        <v>8 Рейсмус\E33149364_2_20260118T163631Z.jpg</v>
      </c>
    </row>
    <row r="202" spans="1:13" x14ac:dyDescent="0.25">
      <c r="A202" s="2" t="s">
        <v>13</v>
      </c>
      <c r="B202" s="4">
        <v>46041</v>
      </c>
      <c r="C202" s="5">
        <v>0.39363425925925927</v>
      </c>
      <c r="D202" s="8" t="s">
        <v>9409</v>
      </c>
      <c r="E202" s="8" t="s">
        <v>1607</v>
      </c>
      <c r="F202" s="8"/>
      <c r="H202" s="8"/>
      <c r="I202" s="8" t="s">
        <v>9741</v>
      </c>
      <c r="J202" s="8" t="s">
        <v>2992</v>
      </c>
      <c r="K202" t="s">
        <v>9742</v>
      </c>
      <c r="L202" t="s">
        <v>9743</v>
      </c>
      <c r="M202" s="3" t="str">
        <f>HYPERLINK(склад2въезд1319202122[[#This Row],[RelativePath]])</f>
        <v>8 Рейсмус\E33149364_2_20260119T092650Z.jpg</v>
      </c>
    </row>
    <row r="203" spans="1:13" x14ac:dyDescent="0.25">
      <c r="A203" s="2" t="s">
        <v>13</v>
      </c>
      <c r="B203" s="4">
        <v>46041</v>
      </c>
      <c r="C203" s="5">
        <v>0.41575231481481484</v>
      </c>
      <c r="D203" s="8" t="s">
        <v>9409</v>
      </c>
      <c r="E203" s="8" t="s">
        <v>1607</v>
      </c>
      <c r="F203" s="8"/>
      <c r="H203" s="8"/>
      <c r="I203" s="8" t="s">
        <v>9744</v>
      </c>
      <c r="J203" s="8" t="s">
        <v>2992</v>
      </c>
      <c r="K203" t="s">
        <v>9745</v>
      </c>
      <c r="L203" t="s">
        <v>9746</v>
      </c>
      <c r="M203" s="3" t="str">
        <f>HYPERLINK(склад2въезд1319202122[[#This Row],[RelativePath]])</f>
        <v>8 Рейсмус\E33149364_2_20260119T095841Z.jpg</v>
      </c>
    </row>
    <row r="204" spans="1:13" x14ac:dyDescent="0.25">
      <c r="A204" s="2" t="s">
        <v>13</v>
      </c>
      <c r="B204" s="4">
        <v>46041</v>
      </c>
      <c r="C204" s="5">
        <v>0.43177083333333333</v>
      </c>
      <c r="D204" s="8" t="s">
        <v>9409</v>
      </c>
      <c r="E204" s="8" t="s">
        <v>1607</v>
      </c>
      <c r="F204" s="8"/>
      <c r="H204" s="8"/>
      <c r="I204" s="8" t="s">
        <v>9747</v>
      </c>
      <c r="J204" s="8" t="s">
        <v>2992</v>
      </c>
      <c r="K204" t="s">
        <v>9748</v>
      </c>
      <c r="L204" t="s">
        <v>9749</v>
      </c>
      <c r="M204" s="3" t="str">
        <f>HYPERLINK(склад2въезд1319202122[[#This Row],[RelativePath]])</f>
        <v>8 Рейсмус\E33149364_2_20260119T102145Z.jpg</v>
      </c>
    </row>
    <row r="205" spans="1:13" x14ac:dyDescent="0.25">
      <c r="A205" s="2" t="s">
        <v>13</v>
      </c>
      <c r="B205" s="4">
        <v>46041</v>
      </c>
      <c r="C205" s="5">
        <v>0.48458333333333331</v>
      </c>
      <c r="D205" s="8" t="s">
        <v>2024</v>
      </c>
      <c r="E205" s="8" t="s">
        <v>796</v>
      </c>
      <c r="F205" s="8"/>
      <c r="H205" s="8"/>
      <c r="I205" s="8" t="s">
        <v>9750</v>
      </c>
      <c r="J205" s="8" t="s">
        <v>2992</v>
      </c>
      <c r="K205" t="s">
        <v>9751</v>
      </c>
      <c r="L205" t="s">
        <v>9752</v>
      </c>
      <c r="M205" s="3" t="str">
        <f>HYPERLINK(склад2въезд1319202122[[#This Row],[RelativePath]])</f>
        <v>8 Рейсмус\E33149364_2_20260119T113748Z.jpg</v>
      </c>
    </row>
    <row r="206" spans="1:13" x14ac:dyDescent="0.25">
      <c r="A206" s="2" t="s">
        <v>13</v>
      </c>
      <c r="B206" s="4">
        <v>46041</v>
      </c>
      <c r="C206" s="5">
        <v>0.48930555555555555</v>
      </c>
      <c r="D206" s="8" t="s">
        <v>2024</v>
      </c>
      <c r="E206" s="8" t="s">
        <v>796</v>
      </c>
      <c r="F206" s="8"/>
      <c r="H206" s="8"/>
      <c r="I206" s="8" t="s">
        <v>9753</v>
      </c>
      <c r="J206" s="8" t="s">
        <v>2992</v>
      </c>
      <c r="K206" t="s">
        <v>9754</v>
      </c>
      <c r="L206" t="s">
        <v>9755</v>
      </c>
      <c r="M206" s="3" t="str">
        <f>HYPERLINK(склад2въезд1319202122[[#This Row],[RelativePath]])</f>
        <v>8 Рейсмус\E33149364_2_20260119T114436Z.jpg</v>
      </c>
    </row>
    <row r="207" spans="1:13" x14ac:dyDescent="0.25">
      <c r="A207" s="2" t="s">
        <v>13</v>
      </c>
      <c r="B207" s="4">
        <v>46041</v>
      </c>
      <c r="C207" s="5">
        <v>0.52443287037037034</v>
      </c>
      <c r="D207" s="8" t="s">
        <v>2024</v>
      </c>
      <c r="E207" s="8" t="s">
        <v>796</v>
      </c>
      <c r="F207" s="8"/>
      <c r="H207" s="8"/>
      <c r="I207" s="8" t="s">
        <v>9756</v>
      </c>
      <c r="J207" s="8" t="s">
        <v>2992</v>
      </c>
      <c r="K207" t="s">
        <v>9757</v>
      </c>
      <c r="L207" t="s">
        <v>9758</v>
      </c>
      <c r="M207" s="3" t="str">
        <f>HYPERLINK(склад2въезд1319202122[[#This Row],[RelativePath]])</f>
        <v>8 Рейсмус\E33149364_2_20260119T123511Z.jpg</v>
      </c>
    </row>
    <row r="208" spans="1:13" x14ac:dyDescent="0.25">
      <c r="A208" s="2" t="s">
        <v>14</v>
      </c>
      <c r="B208" s="4">
        <v>46042</v>
      </c>
      <c r="C208" s="5">
        <v>0.42226851851851854</v>
      </c>
      <c r="D208" s="8" t="s">
        <v>9409</v>
      </c>
      <c r="E208" s="8" t="s">
        <v>1607</v>
      </c>
      <c r="F208" s="8"/>
      <c r="H208" s="8"/>
      <c r="I208" s="8" t="s">
        <v>9759</v>
      </c>
      <c r="J208" s="8" t="s">
        <v>2992</v>
      </c>
      <c r="K208" t="s">
        <v>9760</v>
      </c>
      <c r="L208" t="s">
        <v>9761</v>
      </c>
      <c r="M208" s="3" t="str">
        <f>HYPERLINK(склад2въезд1319202122[[#This Row],[RelativePath]])</f>
        <v>8 Рейсмус\E33149364_2_20260120T100804Z.jpg</v>
      </c>
    </row>
    <row r="209" spans="1:13" x14ac:dyDescent="0.25">
      <c r="A209" s="2" t="s">
        <v>14</v>
      </c>
      <c r="B209" s="4">
        <v>46042</v>
      </c>
      <c r="C209" s="5">
        <v>0.49842592592592594</v>
      </c>
      <c r="D209" s="8" t="s">
        <v>4</v>
      </c>
      <c r="E209" s="8" t="s">
        <v>9</v>
      </c>
      <c r="F209" s="8"/>
      <c r="H209" s="8"/>
      <c r="I209" s="8" t="s">
        <v>9762</v>
      </c>
      <c r="J209" s="8" t="s">
        <v>2992</v>
      </c>
      <c r="K209" t="s">
        <v>9763</v>
      </c>
      <c r="L209" t="s">
        <v>9764</v>
      </c>
      <c r="M209" s="3" t="str">
        <f>HYPERLINK(склад2въезд1319202122[[#This Row],[RelativePath]])</f>
        <v>8 Рейсмус\E33149364_2_20260120T115744Z.jpg</v>
      </c>
    </row>
    <row r="210" spans="1:13" x14ac:dyDescent="0.25">
      <c r="A210" s="2" t="s">
        <v>14</v>
      </c>
      <c r="B210" s="4">
        <v>46042</v>
      </c>
      <c r="C210" s="5">
        <v>0.5012268518518519</v>
      </c>
      <c r="D210" s="8" t="s">
        <v>9409</v>
      </c>
      <c r="E210" s="8" t="s">
        <v>1607</v>
      </c>
      <c r="F210" s="8"/>
      <c r="H210" s="8"/>
      <c r="I210" s="8" t="s">
        <v>9765</v>
      </c>
      <c r="J210" s="8" t="s">
        <v>2992</v>
      </c>
      <c r="K210" t="s">
        <v>9766</v>
      </c>
      <c r="L210" t="s">
        <v>9767</v>
      </c>
      <c r="M210" s="3" t="str">
        <f>HYPERLINK(склад2въезд1319202122[[#This Row],[RelativePath]])</f>
        <v>8 Рейсмус\E33149364_2_20260120T120146Z.jpg</v>
      </c>
    </row>
    <row r="211" spans="1:13" x14ac:dyDescent="0.25">
      <c r="A211" s="2" t="s">
        <v>14</v>
      </c>
      <c r="B211" s="4">
        <v>46042</v>
      </c>
      <c r="C211" s="5">
        <v>0.50423611111111111</v>
      </c>
      <c r="D211" s="8" t="s">
        <v>2024</v>
      </c>
      <c r="E211" s="8" t="s">
        <v>796</v>
      </c>
      <c r="F211" s="8"/>
      <c r="H211" s="8"/>
      <c r="I211" s="8" t="s">
        <v>9768</v>
      </c>
      <c r="J211" s="8" t="s">
        <v>2992</v>
      </c>
      <c r="K211" t="s">
        <v>9769</v>
      </c>
      <c r="L211" t="s">
        <v>9770</v>
      </c>
      <c r="M211" s="3" t="str">
        <f>HYPERLINK(склад2въезд1319202122[[#This Row],[RelativePath]])</f>
        <v>8 Рейсмус\E33149364_2_20260120T120606Z.jpg</v>
      </c>
    </row>
    <row r="212" spans="1:13" x14ac:dyDescent="0.25">
      <c r="A212" s="2" t="s">
        <v>14</v>
      </c>
      <c r="B212" s="4">
        <v>46042</v>
      </c>
      <c r="C212" s="5">
        <v>0.61972222222222217</v>
      </c>
      <c r="D212" s="8" t="s">
        <v>9409</v>
      </c>
      <c r="E212" s="8" t="s">
        <v>1607</v>
      </c>
      <c r="F212" s="8"/>
      <c r="H212" s="8"/>
      <c r="I212" s="8" t="s">
        <v>9771</v>
      </c>
      <c r="J212" s="8" t="s">
        <v>2992</v>
      </c>
      <c r="K212" t="s">
        <v>9772</v>
      </c>
      <c r="L212" t="s">
        <v>9773</v>
      </c>
      <c r="M212" s="3" t="str">
        <f>HYPERLINK(склад2въезд1319202122[[#This Row],[RelativePath]])</f>
        <v>8 Рейсмус\E33149364_2_20260120T145224Z.jpg</v>
      </c>
    </row>
    <row r="213" spans="1:13" x14ac:dyDescent="0.25">
      <c r="A213" s="2" t="s">
        <v>14</v>
      </c>
      <c r="B213" s="4">
        <v>46042</v>
      </c>
      <c r="C213" s="5">
        <v>0.62640046296296292</v>
      </c>
      <c r="D213" s="8" t="s">
        <v>9409</v>
      </c>
      <c r="E213" s="8" t="s">
        <v>1607</v>
      </c>
      <c r="F213" s="8"/>
      <c r="H213" s="8"/>
      <c r="I213" s="8" t="s">
        <v>9774</v>
      </c>
      <c r="J213" s="8" t="s">
        <v>2992</v>
      </c>
      <c r="K213" t="s">
        <v>9775</v>
      </c>
      <c r="L213" t="s">
        <v>9776</v>
      </c>
      <c r="M213" s="3" t="str">
        <f>HYPERLINK(склад2въезд1319202122[[#This Row],[RelativePath]])</f>
        <v>8 Рейсмус\E33149364_2_20260120T150201Z.jpg</v>
      </c>
    </row>
    <row r="214" spans="1:13" x14ac:dyDescent="0.25">
      <c r="A214" s="2" t="s">
        <v>14</v>
      </c>
      <c r="B214" s="4">
        <v>46042</v>
      </c>
      <c r="C214" s="5">
        <v>0.64103009259259258</v>
      </c>
      <c r="D214" s="8" t="s">
        <v>9409</v>
      </c>
      <c r="E214" s="8" t="s">
        <v>1607</v>
      </c>
      <c r="F214" s="8"/>
      <c r="H214" s="8"/>
      <c r="I214" s="8" t="s">
        <v>9777</v>
      </c>
      <c r="J214" s="8" t="s">
        <v>2992</v>
      </c>
      <c r="K214" t="s">
        <v>9778</v>
      </c>
      <c r="L214" t="s">
        <v>9779</v>
      </c>
      <c r="M214" s="3" t="str">
        <f>HYPERLINK(склад2въезд1319202122[[#This Row],[RelativePath]])</f>
        <v>8 Рейсмус\E33149364_2_20260120T152305Z.jpg</v>
      </c>
    </row>
    <row r="215" spans="1:13" x14ac:dyDescent="0.25">
      <c r="A215" s="2" t="s">
        <v>14</v>
      </c>
      <c r="B215" s="4">
        <v>46042</v>
      </c>
      <c r="C215" s="5">
        <v>0.64179398148148148</v>
      </c>
      <c r="D215" s="8" t="s">
        <v>9455</v>
      </c>
      <c r="E215" s="8" t="s">
        <v>531</v>
      </c>
      <c r="F215" s="8"/>
      <c r="H215" s="8"/>
      <c r="I215" s="8" t="s">
        <v>9780</v>
      </c>
      <c r="J215" s="8" t="s">
        <v>2992</v>
      </c>
      <c r="K215" t="s">
        <v>9781</v>
      </c>
      <c r="L215" t="s">
        <v>9782</v>
      </c>
      <c r="M215" s="3" t="str">
        <f>HYPERLINK(склад2въезд1319202122[[#This Row],[RelativePath]])</f>
        <v>8 Рейсмус\E33149364_2_20260120T152411Z.jpg</v>
      </c>
    </row>
    <row r="216" spans="1:13" x14ac:dyDescent="0.25">
      <c r="A216" s="2" t="s">
        <v>14</v>
      </c>
      <c r="B216" s="4">
        <v>46042</v>
      </c>
      <c r="C216" s="5">
        <v>0.68402777777777779</v>
      </c>
      <c r="D216" s="8" t="s">
        <v>9409</v>
      </c>
      <c r="E216" s="8" t="s">
        <v>1607</v>
      </c>
      <c r="F216" s="8"/>
      <c r="H216" s="8"/>
      <c r="I216" s="8" t="s">
        <v>9783</v>
      </c>
      <c r="J216" s="8" t="s">
        <v>2992</v>
      </c>
      <c r="K216" t="s">
        <v>9784</v>
      </c>
      <c r="L216" t="s">
        <v>9785</v>
      </c>
      <c r="M216" s="3" t="str">
        <f>HYPERLINK(склад2въезд1319202122[[#This Row],[RelativePath]])</f>
        <v>8 Рейсмус\E33149364_2_20260120T162500Z.jpg</v>
      </c>
    </row>
    <row r="217" spans="1:13" x14ac:dyDescent="0.25">
      <c r="A217" s="2" t="s">
        <v>14</v>
      </c>
      <c r="B217" s="4">
        <v>46042</v>
      </c>
      <c r="C217" s="5">
        <v>0.68424768518518519</v>
      </c>
      <c r="D217" s="8" t="s">
        <v>9409</v>
      </c>
      <c r="E217" s="8" t="s">
        <v>1607</v>
      </c>
      <c r="F217" s="8"/>
      <c r="H217" s="8"/>
      <c r="I217" s="8" t="s">
        <v>9786</v>
      </c>
      <c r="J217" s="8" t="s">
        <v>2992</v>
      </c>
      <c r="K217" t="s">
        <v>9787</v>
      </c>
      <c r="L217" t="s">
        <v>9788</v>
      </c>
      <c r="M217" s="3" t="str">
        <f>HYPERLINK(склад2въезд1319202122[[#This Row],[RelativePath]])</f>
        <v>8 Рейсмус\E33149364_2_20260120T162519Z.jpg</v>
      </c>
    </row>
    <row r="218" spans="1:13" x14ac:dyDescent="0.25">
      <c r="A218" s="2" t="s">
        <v>14</v>
      </c>
      <c r="B218" s="4">
        <v>46042</v>
      </c>
      <c r="C218" s="5">
        <v>0.85829861111111116</v>
      </c>
      <c r="D218" s="8" t="s">
        <v>2024</v>
      </c>
      <c r="E218" s="8" t="s">
        <v>796</v>
      </c>
      <c r="F218" s="8"/>
      <c r="H218" s="8"/>
      <c r="I218" s="8" t="s">
        <v>9789</v>
      </c>
      <c r="J218" s="8" t="s">
        <v>2992</v>
      </c>
      <c r="K218" t="s">
        <v>9790</v>
      </c>
      <c r="L218" t="s">
        <v>9791</v>
      </c>
      <c r="M218" s="3" t="str">
        <f>HYPERLINK(склад2въезд1319202122[[#This Row],[RelativePath]])</f>
        <v>8 Рейсмус\E33149364_2_20260120T203557Z.jpg</v>
      </c>
    </row>
    <row r="219" spans="1:13" x14ac:dyDescent="0.25">
      <c r="A219" s="2" t="s">
        <v>14</v>
      </c>
      <c r="B219" s="4">
        <v>46042</v>
      </c>
      <c r="C219" s="5">
        <v>0.8825925925925926</v>
      </c>
      <c r="D219" s="8" t="s">
        <v>2024</v>
      </c>
      <c r="E219" s="8" t="s">
        <v>796</v>
      </c>
      <c r="F219" s="8"/>
      <c r="H219" s="8"/>
      <c r="I219" s="8" t="s">
        <v>9792</v>
      </c>
      <c r="J219" s="8" t="s">
        <v>2992</v>
      </c>
      <c r="K219" t="s">
        <v>9793</v>
      </c>
      <c r="L219" t="s">
        <v>9794</v>
      </c>
      <c r="M219" s="3" t="str">
        <f>HYPERLINK(склад2въезд1319202122[[#This Row],[RelativePath]])</f>
        <v>8 Рейсмус\E33149364_2_20260120T211056Z.jpg</v>
      </c>
    </row>
    <row r="220" spans="1:13" x14ac:dyDescent="0.25">
      <c r="A220" s="2" t="s">
        <v>15</v>
      </c>
      <c r="B220" s="4">
        <v>46043</v>
      </c>
      <c r="C220" s="5">
        <v>0.41660879629629627</v>
      </c>
      <c r="D220" s="8" t="s">
        <v>2024</v>
      </c>
      <c r="E220" s="8" t="s">
        <v>796</v>
      </c>
      <c r="F220" s="8"/>
      <c r="H220" s="8"/>
      <c r="I220" s="8" t="s">
        <v>9978</v>
      </c>
      <c r="J220" s="8" t="s">
        <v>2992</v>
      </c>
      <c r="K220" t="s">
        <v>9979</v>
      </c>
      <c r="L220" t="s">
        <v>9980</v>
      </c>
      <c r="M220" s="3" t="str">
        <f>HYPERLINK(склад2въезд1319202122[[#This Row],[RelativePath]])</f>
        <v>8 Рейсмус\E33149364_2_20260121T095955Z.jpg</v>
      </c>
    </row>
    <row r="221" spans="1:13" x14ac:dyDescent="0.25">
      <c r="A221" s="2" t="s">
        <v>15</v>
      </c>
      <c r="B221" s="4">
        <v>46043</v>
      </c>
      <c r="C221" s="5">
        <v>0.51423611111111112</v>
      </c>
      <c r="D221" s="8" t="s">
        <v>2024</v>
      </c>
      <c r="E221" s="8" t="s">
        <v>796</v>
      </c>
      <c r="F221" s="8"/>
      <c r="H221" s="8"/>
      <c r="I221" s="8" t="s">
        <v>9981</v>
      </c>
      <c r="J221" s="8" t="s">
        <v>2992</v>
      </c>
      <c r="K221" t="s">
        <v>9982</v>
      </c>
      <c r="L221" t="s">
        <v>9983</v>
      </c>
      <c r="M221" s="3" t="str">
        <f>HYPERLINK(склад2въезд1319202122[[#This Row],[RelativePath]])</f>
        <v>8 Рейсмус\E33149364_2_20260121T122030Z.jpg</v>
      </c>
    </row>
    <row r="222" spans="1:13" x14ac:dyDescent="0.25">
      <c r="A222" s="2" t="s">
        <v>15</v>
      </c>
      <c r="B222" s="4">
        <v>46043</v>
      </c>
      <c r="C222" s="5">
        <v>0.59491898148148148</v>
      </c>
      <c r="D222" s="8" t="s">
        <v>2024</v>
      </c>
      <c r="E222" s="8" t="s">
        <v>796</v>
      </c>
      <c r="F222" s="8"/>
      <c r="H222" s="8"/>
      <c r="I222" s="8" t="s">
        <v>9984</v>
      </c>
      <c r="J222" s="8" t="s">
        <v>2992</v>
      </c>
      <c r="K222" t="s">
        <v>9985</v>
      </c>
      <c r="L222" t="s">
        <v>9986</v>
      </c>
      <c r="M222" s="3" t="str">
        <f>HYPERLINK(склад2въезд1319202122[[#This Row],[RelativePath]])</f>
        <v>8 Рейсмус\E33149364_2_20260121T141641Z.jpg</v>
      </c>
    </row>
    <row r="223" spans="1:13" x14ac:dyDescent="0.25">
      <c r="A223" s="2" t="s">
        <v>15</v>
      </c>
      <c r="B223" s="4">
        <v>46043</v>
      </c>
      <c r="C223" s="5">
        <v>0.65162037037037035</v>
      </c>
      <c r="D223" s="8" t="s">
        <v>9409</v>
      </c>
      <c r="E223" s="8" t="s">
        <v>1607</v>
      </c>
      <c r="F223" s="8"/>
      <c r="H223" s="8"/>
      <c r="I223" s="8" t="s">
        <v>9987</v>
      </c>
      <c r="J223" s="8" t="s">
        <v>2992</v>
      </c>
      <c r="K223" t="s">
        <v>9988</v>
      </c>
      <c r="L223" t="s">
        <v>9989</v>
      </c>
      <c r="M223" s="3" t="str">
        <f>HYPERLINK(склад2въезд1319202122[[#This Row],[RelativePath]])</f>
        <v>8 Рейсмус\E33149364_2_20260121T153820Z.jpg</v>
      </c>
    </row>
    <row r="224" spans="1:13" x14ac:dyDescent="0.25">
      <c r="A224" s="2" t="s">
        <v>15</v>
      </c>
      <c r="B224" s="4">
        <v>46043</v>
      </c>
      <c r="C224" s="5">
        <v>0.70797453703703705</v>
      </c>
      <c r="D224" s="8" t="s">
        <v>9409</v>
      </c>
      <c r="E224" s="8" t="s">
        <v>1607</v>
      </c>
      <c r="F224" s="8"/>
      <c r="H224" s="8"/>
      <c r="I224" s="8" t="s">
        <v>9990</v>
      </c>
      <c r="J224" s="8" t="s">
        <v>2992</v>
      </c>
      <c r="K224" t="s">
        <v>9991</v>
      </c>
      <c r="L224" t="s">
        <v>9992</v>
      </c>
      <c r="M224" s="3" t="str">
        <f>HYPERLINK(склад2въезд1319202122[[#This Row],[RelativePath]])</f>
        <v>8 Рейсмус\E33149364_2_20260121T165929Z.jpg</v>
      </c>
    </row>
    <row r="225" spans="1:13" x14ac:dyDescent="0.25">
      <c r="A225" s="2" t="s">
        <v>15</v>
      </c>
      <c r="B225" s="4">
        <v>46043</v>
      </c>
      <c r="C225" s="5">
        <v>0.86859953703703707</v>
      </c>
      <c r="D225" s="8" t="s">
        <v>9409</v>
      </c>
      <c r="E225" s="8" t="s">
        <v>1607</v>
      </c>
      <c r="F225" s="8"/>
      <c r="H225" s="8"/>
      <c r="I225" s="8" t="s">
        <v>9993</v>
      </c>
      <c r="J225" s="8" t="s">
        <v>2992</v>
      </c>
      <c r="K225" t="s">
        <v>9994</v>
      </c>
      <c r="L225" t="s">
        <v>9995</v>
      </c>
      <c r="M225" s="3" t="str">
        <f>HYPERLINK(склад2въезд1319202122[[#This Row],[RelativePath]])</f>
        <v>8 Рейсмус\E33149364_2_20260121T205047Z.jpg</v>
      </c>
    </row>
    <row r="226" spans="1:13" x14ac:dyDescent="0.25">
      <c r="A226" s="2" t="s">
        <v>16</v>
      </c>
      <c r="B226" s="4">
        <v>46044</v>
      </c>
      <c r="C226" s="5">
        <v>0.39048611111111109</v>
      </c>
      <c r="D226" s="8" t="s">
        <v>9409</v>
      </c>
      <c r="E226" s="8" t="s">
        <v>1607</v>
      </c>
      <c r="F226" s="8"/>
      <c r="H226" s="8"/>
      <c r="I226" s="8" t="s">
        <v>9996</v>
      </c>
      <c r="J226" s="8" t="s">
        <v>2992</v>
      </c>
      <c r="K226" t="s">
        <v>9997</v>
      </c>
      <c r="L226" t="s">
        <v>9998</v>
      </c>
      <c r="M226" s="3" t="str">
        <f>HYPERLINK(склад2въезд1319202122[[#This Row],[RelativePath]])</f>
        <v>8 Рейсмус\E33149364_2_20260122T092218Z.jpg</v>
      </c>
    </row>
    <row r="227" spans="1:13" x14ac:dyDescent="0.25">
      <c r="A227" s="2" t="s">
        <v>16</v>
      </c>
      <c r="B227" s="4">
        <v>46044</v>
      </c>
      <c r="C227" s="5">
        <v>0.41710648148148149</v>
      </c>
      <c r="D227" s="8" t="s">
        <v>9409</v>
      </c>
      <c r="E227" s="8" t="s">
        <v>1607</v>
      </c>
      <c r="F227" s="8"/>
      <c r="H227" s="8"/>
      <c r="I227" s="8" t="s">
        <v>9999</v>
      </c>
      <c r="J227" s="8" t="s">
        <v>2992</v>
      </c>
      <c r="K227" t="s">
        <v>10000</v>
      </c>
      <c r="L227" t="s">
        <v>10001</v>
      </c>
      <c r="M227" s="3" t="str">
        <f>HYPERLINK(склад2въезд1319202122[[#This Row],[RelativePath]])</f>
        <v>8 Рейсмус\E33149364_2_20260122T100038Z.jpg</v>
      </c>
    </row>
    <row r="228" spans="1:13" x14ac:dyDescent="0.25">
      <c r="A228" s="2" t="s">
        <v>16</v>
      </c>
      <c r="B228" s="4">
        <v>46044</v>
      </c>
      <c r="C228" s="5">
        <v>0.43164351851851851</v>
      </c>
      <c r="D228" s="8" t="s">
        <v>9409</v>
      </c>
      <c r="E228" s="8" t="s">
        <v>1607</v>
      </c>
      <c r="F228" s="8"/>
      <c r="H228" s="8"/>
      <c r="I228" s="8" t="s">
        <v>10002</v>
      </c>
      <c r="J228" s="8" t="s">
        <v>2992</v>
      </c>
      <c r="K228" t="s">
        <v>10003</v>
      </c>
      <c r="L228" t="s">
        <v>10004</v>
      </c>
      <c r="M228" s="3" t="str">
        <f>HYPERLINK(склад2въезд1319202122[[#This Row],[RelativePath]])</f>
        <v>8 Рейсмус\E33149364_2_20260122T102134Z.jpg</v>
      </c>
    </row>
    <row r="229" spans="1:13" x14ac:dyDescent="0.25">
      <c r="A229" s="2" t="s">
        <v>16</v>
      </c>
      <c r="B229" s="4">
        <v>46044</v>
      </c>
      <c r="C229" s="5">
        <v>0.48932870370370368</v>
      </c>
      <c r="D229" s="8" t="s">
        <v>2024</v>
      </c>
      <c r="E229" s="8" t="s">
        <v>796</v>
      </c>
      <c r="F229" s="8"/>
      <c r="H229" s="8"/>
      <c r="I229" s="8" t="s">
        <v>10005</v>
      </c>
      <c r="J229" s="8" t="s">
        <v>2992</v>
      </c>
      <c r="K229" t="s">
        <v>10006</v>
      </c>
      <c r="L229" t="s">
        <v>10007</v>
      </c>
      <c r="M229" s="3" t="str">
        <f>HYPERLINK(склад2въезд1319202122[[#This Row],[RelativePath]])</f>
        <v>8 Рейсмус\E33149364_2_20260122T114438Z.jpg</v>
      </c>
    </row>
    <row r="230" spans="1:13" x14ac:dyDescent="0.25">
      <c r="A230" s="2" t="s">
        <v>16</v>
      </c>
      <c r="B230" s="4">
        <v>46044</v>
      </c>
      <c r="C230" s="5">
        <v>0.59359953703703705</v>
      </c>
      <c r="D230" s="8" t="s">
        <v>9455</v>
      </c>
      <c r="E230" s="8" t="s">
        <v>531</v>
      </c>
      <c r="F230" s="8"/>
      <c r="H230" s="8"/>
      <c r="I230" s="8" t="s">
        <v>10008</v>
      </c>
      <c r="J230" s="8" t="s">
        <v>2992</v>
      </c>
      <c r="K230" t="s">
        <v>10009</v>
      </c>
      <c r="L230" t="s">
        <v>10010</v>
      </c>
      <c r="M230" s="3" t="str">
        <f>HYPERLINK(склад2въезд1319202122[[#This Row],[RelativePath]])</f>
        <v>8 Рейсмус\E33149364_2_20260122T141447Z.jpg</v>
      </c>
    </row>
    <row r="231" spans="1:13" x14ac:dyDescent="0.25">
      <c r="A231" s="2" t="s">
        <v>16</v>
      </c>
      <c r="B231" s="4">
        <v>46044</v>
      </c>
      <c r="C231" s="5">
        <v>0.68226851851851855</v>
      </c>
      <c r="D231" s="8" t="s">
        <v>4</v>
      </c>
      <c r="E231" s="8" t="s">
        <v>9</v>
      </c>
      <c r="F231" s="8"/>
      <c r="H231" s="8"/>
      <c r="I231" s="8" t="s">
        <v>10011</v>
      </c>
      <c r="J231" s="8" t="s">
        <v>2992</v>
      </c>
      <c r="K231" t="s">
        <v>10012</v>
      </c>
      <c r="L231" t="s">
        <v>10013</v>
      </c>
      <c r="M231" s="3" t="str">
        <f>HYPERLINK(склад2въезд1319202122[[#This Row],[RelativePath]])</f>
        <v>8 Рейсмус\E33149364_2_20260122T162228Z.jpg</v>
      </c>
    </row>
    <row r="232" spans="1:13" x14ac:dyDescent="0.25">
      <c r="A232" s="2" t="s">
        <v>16</v>
      </c>
      <c r="B232" s="4">
        <v>46044</v>
      </c>
      <c r="C232" s="5">
        <v>0.68927083333333339</v>
      </c>
      <c r="D232" s="8" t="s">
        <v>2024</v>
      </c>
      <c r="E232" s="8" t="s">
        <v>796</v>
      </c>
      <c r="F232" s="8"/>
      <c r="H232" s="8"/>
      <c r="I232" s="8" t="s">
        <v>10014</v>
      </c>
      <c r="J232" s="8" t="s">
        <v>2992</v>
      </c>
      <c r="K232" t="s">
        <v>10015</v>
      </c>
      <c r="L232" t="s">
        <v>10016</v>
      </c>
      <c r="M232" s="3" t="str">
        <f>HYPERLINK(склад2въезд1319202122[[#This Row],[RelativePath]])</f>
        <v>8 Рейсмус\E33149364_2_20260122T163233Z.jpg</v>
      </c>
    </row>
    <row r="233" spans="1:13" x14ac:dyDescent="0.25">
      <c r="A233" s="2" t="s">
        <v>17</v>
      </c>
      <c r="B233" s="4">
        <v>46045</v>
      </c>
      <c r="C233" s="5">
        <v>0.40087962962962964</v>
      </c>
      <c r="D233" s="8" t="s">
        <v>9409</v>
      </c>
      <c r="E233" s="8" t="s">
        <v>1607</v>
      </c>
      <c r="F233" s="8"/>
      <c r="H233" s="8"/>
      <c r="I233" s="8" t="s">
        <v>10353</v>
      </c>
      <c r="J233" s="8" t="s">
        <v>2992</v>
      </c>
      <c r="K233" t="s">
        <v>10354</v>
      </c>
      <c r="L233" t="s">
        <v>10355</v>
      </c>
      <c r="M233" s="3" t="str">
        <f>HYPERLINK(склад2въезд1319202122[[#This Row],[RelativePath]])</f>
        <v>8 Рейсмус\E33149364_2_20260123T093716Z.jpg</v>
      </c>
    </row>
    <row r="234" spans="1:13" x14ac:dyDescent="0.25">
      <c r="A234" s="2" t="s">
        <v>17</v>
      </c>
      <c r="B234" s="4">
        <v>46045</v>
      </c>
      <c r="C234" s="5">
        <v>0.48358796296296297</v>
      </c>
      <c r="D234" s="8" t="s">
        <v>9409</v>
      </c>
      <c r="E234" s="8" t="s">
        <v>1607</v>
      </c>
      <c r="F234" s="8"/>
      <c r="H234" s="8"/>
      <c r="I234" s="8" t="s">
        <v>10356</v>
      </c>
      <c r="J234" s="8" t="s">
        <v>2992</v>
      </c>
      <c r="K234" t="s">
        <v>10357</v>
      </c>
      <c r="L234" t="s">
        <v>10358</v>
      </c>
      <c r="M234" s="3" t="str">
        <f>HYPERLINK(склад2въезд1319202122[[#This Row],[RelativePath]])</f>
        <v>8 Рейсмус\E33149364_2_20260123T113622Z.jpg</v>
      </c>
    </row>
    <row r="235" spans="1:13" x14ac:dyDescent="0.25">
      <c r="A235" s="2" t="s">
        <v>17</v>
      </c>
      <c r="B235" s="4">
        <v>46045</v>
      </c>
      <c r="C235" s="5">
        <v>0.60998842592592595</v>
      </c>
      <c r="D235" s="8" t="s">
        <v>4</v>
      </c>
      <c r="E235" s="8" t="s">
        <v>9</v>
      </c>
      <c r="F235" s="8"/>
      <c r="H235" s="8"/>
      <c r="I235" s="8" t="s">
        <v>10359</v>
      </c>
      <c r="J235" s="8" t="s">
        <v>2992</v>
      </c>
      <c r="K235" t="s">
        <v>10360</v>
      </c>
      <c r="L235" t="s">
        <v>10361</v>
      </c>
      <c r="M235" s="3" t="str">
        <f>HYPERLINK(склад2въезд1319202122[[#This Row],[RelativePath]])</f>
        <v>8 Рейсмус\E33149364_2_20260123T143823Z.jpg</v>
      </c>
    </row>
    <row r="236" spans="1:13" x14ac:dyDescent="0.25">
      <c r="A236" s="2" t="s">
        <v>17</v>
      </c>
      <c r="B236" s="4">
        <v>46045</v>
      </c>
      <c r="C236" s="5">
        <v>0.67019675925925926</v>
      </c>
      <c r="D236" s="8" t="s">
        <v>9409</v>
      </c>
      <c r="E236" s="8" t="s">
        <v>1607</v>
      </c>
      <c r="F236" s="8"/>
      <c r="H236" s="8"/>
      <c r="I236" s="8" t="s">
        <v>10362</v>
      </c>
      <c r="J236" s="8" t="s">
        <v>2992</v>
      </c>
      <c r="K236" t="s">
        <v>10363</v>
      </c>
      <c r="L236" t="s">
        <v>10364</v>
      </c>
      <c r="M236" s="3" t="str">
        <f>HYPERLINK(склад2въезд1319202122[[#This Row],[RelativePath]])</f>
        <v>8 Рейсмус\E33149364_2_20260123T160505Z.jpg</v>
      </c>
    </row>
    <row r="237" spans="1:13" x14ac:dyDescent="0.25">
      <c r="A237" s="2" t="s">
        <v>17</v>
      </c>
      <c r="B237" s="4">
        <v>46045</v>
      </c>
      <c r="C237" s="5">
        <v>0.86416666666666664</v>
      </c>
      <c r="D237" s="8" t="s">
        <v>9409</v>
      </c>
      <c r="E237" s="8" t="s">
        <v>1607</v>
      </c>
      <c r="F237" s="8"/>
      <c r="H237" s="8"/>
      <c r="I237" s="8" t="s">
        <v>10365</v>
      </c>
      <c r="J237" s="8" t="s">
        <v>2992</v>
      </c>
      <c r="K237" t="s">
        <v>10366</v>
      </c>
      <c r="L237" t="s">
        <v>10367</v>
      </c>
      <c r="M237" s="3" t="str">
        <f>HYPERLINK(склад2въезд1319202122[[#This Row],[RelativePath]])</f>
        <v>8 Рейсмус\E33149364_2_20260123T204424Z.jpg</v>
      </c>
    </row>
    <row r="238" spans="1:13" x14ac:dyDescent="0.25">
      <c r="A238" s="2" t="s">
        <v>17</v>
      </c>
      <c r="B238" s="4">
        <v>46045</v>
      </c>
      <c r="C238" s="5">
        <v>0.88143518518518515</v>
      </c>
      <c r="D238" s="8" t="s">
        <v>4</v>
      </c>
      <c r="E238" s="8" t="s">
        <v>9</v>
      </c>
      <c r="F238" s="8"/>
      <c r="H238" s="8"/>
      <c r="I238" s="8" t="s">
        <v>10368</v>
      </c>
      <c r="J238" s="8" t="s">
        <v>2992</v>
      </c>
      <c r="K238" t="s">
        <v>10369</v>
      </c>
      <c r="L238" t="s">
        <v>10370</v>
      </c>
      <c r="M238" s="3" t="str">
        <f>HYPERLINK(склад2въезд1319202122[[#This Row],[RelativePath]])</f>
        <v>8 Рейсмус\E33149364_2_20260123T210916Z.jpg</v>
      </c>
    </row>
    <row r="239" spans="1:13" x14ac:dyDescent="0.25">
      <c r="A239" s="2" t="s">
        <v>18</v>
      </c>
      <c r="B239" s="4">
        <v>46046</v>
      </c>
      <c r="C239" s="5">
        <v>0.47820601851851852</v>
      </c>
      <c r="D239" s="8" t="s">
        <v>9409</v>
      </c>
      <c r="E239" s="8" t="s">
        <v>1607</v>
      </c>
      <c r="F239" s="8"/>
      <c r="H239" s="8"/>
      <c r="I239" s="8" t="s">
        <v>10458</v>
      </c>
      <c r="J239" s="8" t="s">
        <v>2992</v>
      </c>
      <c r="K239" t="s">
        <v>10459</v>
      </c>
      <c r="L239" t="s">
        <v>10460</v>
      </c>
      <c r="M239" s="3" t="str">
        <f>HYPERLINK(склад2въезд1319202122[[#This Row],[RelativePath]])</f>
        <v>8 Рейсмус\E33149364_2_20260124T112837Z.jpg</v>
      </c>
    </row>
    <row r="240" spans="1:13" x14ac:dyDescent="0.25">
      <c r="A240" s="2" t="s">
        <v>22</v>
      </c>
      <c r="B240" s="4">
        <v>46047</v>
      </c>
      <c r="C240" s="5">
        <v>0.68988425925925922</v>
      </c>
      <c r="D240" s="8" t="s">
        <v>9409</v>
      </c>
      <c r="E240" s="8" t="s">
        <v>1607</v>
      </c>
      <c r="F240" s="8"/>
      <c r="H240" s="8"/>
      <c r="I240" s="8" t="s">
        <v>10461</v>
      </c>
      <c r="J240" s="8" t="s">
        <v>2992</v>
      </c>
      <c r="K240" t="s">
        <v>10462</v>
      </c>
      <c r="L240" t="s">
        <v>10463</v>
      </c>
      <c r="M240" s="3" t="str">
        <f>HYPERLINK(склад2въезд1319202122[[#This Row],[RelativePath]])</f>
        <v>8 Рейсмус\E33149364_2_20260125T163326Z.jpg</v>
      </c>
    </row>
    <row r="241" spans="1:13" x14ac:dyDescent="0.25">
      <c r="A241" s="2" t="s">
        <v>22</v>
      </c>
      <c r="B241" s="4">
        <v>46047</v>
      </c>
      <c r="C241" s="5">
        <v>0.79008101851851853</v>
      </c>
      <c r="D241" s="8" t="s">
        <v>4</v>
      </c>
      <c r="E241" s="8" t="s">
        <v>9</v>
      </c>
      <c r="F241" s="8"/>
      <c r="H241" s="8"/>
      <c r="I241" s="8" t="s">
        <v>10464</v>
      </c>
      <c r="J241" s="8" t="s">
        <v>2992</v>
      </c>
      <c r="K241" t="s">
        <v>10465</v>
      </c>
      <c r="L241" t="s">
        <v>10466</v>
      </c>
      <c r="M241" s="3" t="str">
        <f>HYPERLINK(склад2въезд1319202122[[#This Row],[RelativePath]])</f>
        <v>8 Рейсмус\E33149364_2_20260125T185743Z.jpg</v>
      </c>
    </row>
    <row r="242" spans="1:13" x14ac:dyDescent="0.25">
      <c r="A242" s="2" t="s">
        <v>13</v>
      </c>
      <c r="B242" s="4">
        <v>46048</v>
      </c>
      <c r="C242" s="5">
        <v>0.44032407407407409</v>
      </c>
      <c r="D242" s="8" t="s">
        <v>9409</v>
      </c>
      <c r="E242" s="8" t="s">
        <v>1607</v>
      </c>
      <c r="F242" s="8"/>
      <c r="H242" s="8"/>
      <c r="I242" s="8" t="s">
        <v>10564</v>
      </c>
      <c r="J242" s="8" t="s">
        <v>2992</v>
      </c>
      <c r="K242" t="s">
        <v>10565</v>
      </c>
      <c r="L242" t="s">
        <v>10566</v>
      </c>
      <c r="M242" s="3" t="str">
        <f>HYPERLINK(склад2въезд1319202122[[#This Row],[RelativePath]])</f>
        <v>8 Рейсмус\E33149364_2_20260126T103404Z.jpg</v>
      </c>
    </row>
    <row r="243" spans="1:13" x14ac:dyDescent="0.25">
      <c r="A243" s="2" t="s">
        <v>13</v>
      </c>
      <c r="B243" s="4">
        <v>46048</v>
      </c>
      <c r="C243" s="5">
        <v>0.61940972222222224</v>
      </c>
      <c r="D243" s="8" t="s">
        <v>9409</v>
      </c>
      <c r="E243" s="8" t="s">
        <v>1607</v>
      </c>
      <c r="F243" s="8"/>
      <c r="H243" s="8" t="s">
        <v>2936</v>
      </c>
      <c r="I243" s="8" t="s">
        <v>10567</v>
      </c>
      <c r="J243" s="8" t="s">
        <v>2992</v>
      </c>
      <c r="K243" t="s">
        <v>10568</v>
      </c>
      <c r="L243" t="s">
        <v>10569</v>
      </c>
      <c r="M243" s="3" t="str">
        <f>HYPERLINK(склад2въезд1319202122[[#This Row],[RelativePath]])</f>
        <v>8 Рейсмус\E33149364_2_20260126T145157Z.jpg</v>
      </c>
    </row>
    <row r="244" spans="1:13" x14ac:dyDescent="0.25">
      <c r="A244" s="2" t="s">
        <v>13</v>
      </c>
      <c r="B244" s="4">
        <v>46048</v>
      </c>
      <c r="C244" s="5">
        <v>0.69887731481481485</v>
      </c>
      <c r="D244" s="8" t="s">
        <v>9409</v>
      </c>
      <c r="E244" s="8" t="s">
        <v>1607</v>
      </c>
      <c r="F244" s="8"/>
      <c r="H244" s="8" t="s">
        <v>2936</v>
      </c>
      <c r="I244" s="8" t="s">
        <v>10570</v>
      </c>
      <c r="J244" s="8" t="s">
        <v>2992</v>
      </c>
      <c r="K244" t="s">
        <v>10571</v>
      </c>
      <c r="L244" t="s">
        <v>10572</v>
      </c>
      <c r="M244" s="3" t="str">
        <f>HYPERLINK(склад2въезд1319202122[[#This Row],[RelativePath]])</f>
        <v>8 Рейсмус\E33149364_2_20260126T164623Z.jpg</v>
      </c>
    </row>
    <row r="245" spans="1:13" x14ac:dyDescent="0.25">
      <c r="A245" s="2" t="s">
        <v>13</v>
      </c>
      <c r="B245" s="4">
        <v>46048</v>
      </c>
      <c r="C245" s="5">
        <v>0.7534143518518519</v>
      </c>
      <c r="D245" s="8" t="s">
        <v>9409</v>
      </c>
      <c r="E245" s="8" t="s">
        <v>1607</v>
      </c>
      <c r="F245" s="8"/>
      <c r="H245" s="8" t="s">
        <v>2936</v>
      </c>
      <c r="I245" s="8" t="s">
        <v>10573</v>
      </c>
      <c r="J245" s="8" t="s">
        <v>2992</v>
      </c>
      <c r="K245" t="s">
        <v>10574</v>
      </c>
      <c r="L245" t="s">
        <v>10575</v>
      </c>
      <c r="M245" s="3" t="str">
        <f>HYPERLINK(склад2въезд1319202122[[#This Row],[RelativePath]])</f>
        <v>8 Рейсмус\E33149364_2_20260126T180455Z.jpg</v>
      </c>
    </row>
    <row r="246" spans="1:13" x14ac:dyDescent="0.25">
      <c r="A246" s="2" t="s">
        <v>14</v>
      </c>
      <c r="B246" s="4">
        <v>46049</v>
      </c>
      <c r="C246" s="5">
        <v>0.51380787037037035</v>
      </c>
      <c r="D246" s="8" t="s">
        <v>9409</v>
      </c>
      <c r="E246" s="8" t="s">
        <v>1607</v>
      </c>
      <c r="F246" s="8"/>
      <c r="H246" s="8" t="s">
        <v>2936</v>
      </c>
      <c r="I246" s="8" t="s">
        <v>10576</v>
      </c>
      <c r="J246" s="8" t="s">
        <v>2992</v>
      </c>
      <c r="K246" t="s">
        <v>10577</v>
      </c>
      <c r="L246" t="s">
        <v>10578</v>
      </c>
      <c r="M246" s="3" t="str">
        <f>HYPERLINK(склад2въезд1319202122[[#This Row],[RelativePath]])</f>
        <v>8 Рейсмус\E33149364_2_20260127T121953Z.jpg</v>
      </c>
    </row>
    <row r="247" spans="1:13" x14ac:dyDescent="0.25">
      <c r="A247" s="2" t="s">
        <v>14</v>
      </c>
      <c r="B247" s="4">
        <v>46049</v>
      </c>
      <c r="C247" s="5">
        <v>0.62049768518518522</v>
      </c>
      <c r="D247" s="8" t="s">
        <v>9409</v>
      </c>
      <c r="E247" s="8" t="s">
        <v>1607</v>
      </c>
      <c r="F247" s="8"/>
      <c r="H247" s="8" t="s">
        <v>2936</v>
      </c>
      <c r="I247" s="8" t="s">
        <v>10579</v>
      </c>
      <c r="J247" s="8" t="s">
        <v>2992</v>
      </c>
      <c r="K247" t="s">
        <v>10580</v>
      </c>
      <c r="L247" t="s">
        <v>10581</v>
      </c>
      <c r="M247" s="3" t="str">
        <f>HYPERLINK(склад2въезд1319202122[[#This Row],[RelativePath]])</f>
        <v>8 Рейсмус\E33149364_2_20260127T145331Z.jpg</v>
      </c>
    </row>
    <row r="248" spans="1:13" x14ac:dyDescent="0.25">
      <c r="A248" s="2" t="s">
        <v>14</v>
      </c>
      <c r="B248" s="4">
        <v>46049</v>
      </c>
      <c r="C248" s="5">
        <v>0.67222222222222228</v>
      </c>
      <c r="D248" s="8" t="s">
        <v>9409</v>
      </c>
      <c r="E248" s="8" t="s">
        <v>1607</v>
      </c>
      <c r="F248" s="8"/>
      <c r="H248" s="8" t="s">
        <v>2936</v>
      </c>
      <c r="I248" s="8" t="s">
        <v>10582</v>
      </c>
      <c r="J248" s="8" t="s">
        <v>2992</v>
      </c>
      <c r="K248" t="s">
        <v>10583</v>
      </c>
      <c r="L248" t="s">
        <v>10584</v>
      </c>
      <c r="M248" s="3" t="str">
        <f>HYPERLINK(склад2въезд1319202122[[#This Row],[RelativePath]])</f>
        <v>8 Рейсмус\E33149364_2_20260127T160800Z.jpg</v>
      </c>
    </row>
    <row r="249" spans="1:13" x14ac:dyDescent="0.25">
      <c r="A249" s="2" t="s">
        <v>15</v>
      </c>
      <c r="B249" s="4">
        <v>46050</v>
      </c>
      <c r="C249" s="5">
        <v>0.25831018518518517</v>
      </c>
      <c r="D249" s="8" t="s">
        <v>10888</v>
      </c>
      <c r="E249" s="8" t="s">
        <v>796</v>
      </c>
      <c r="F249" s="8"/>
      <c r="H249" s="8"/>
      <c r="I249" s="8" t="s">
        <v>10743</v>
      </c>
      <c r="J249" s="8" t="s">
        <v>2992</v>
      </c>
      <c r="K249" t="s">
        <v>10744</v>
      </c>
      <c r="L249" t="s">
        <v>10745</v>
      </c>
      <c r="M249" s="3" t="str">
        <f>HYPERLINK(склад2въезд1319202122[[#This Row],[RelativePath]])</f>
        <v>8 Рейсмус\E33149364_2_20260128T061158Z.jpg</v>
      </c>
    </row>
    <row r="250" spans="1:13" x14ac:dyDescent="0.25">
      <c r="A250" s="2" t="s">
        <v>15</v>
      </c>
      <c r="B250" s="4">
        <v>46050</v>
      </c>
      <c r="C250" s="5">
        <v>0.47245370370370371</v>
      </c>
      <c r="D250" s="8" t="s">
        <v>10888</v>
      </c>
      <c r="E250" s="8" t="s">
        <v>796</v>
      </c>
      <c r="F250" s="8"/>
      <c r="H250" s="8"/>
      <c r="I250" s="8" t="s">
        <v>10746</v>
      </c>
      <c r="J250" s="8" t="s">
        <v>2992</v>
      </c>
      <c r="K250" t="s">
        <v>10747</v>
      </c>
      <c r="L250" t="s">
        <v>10748</v>
      </c>
      <c r="M250" s="3" t="str">
        <f>HYPERLINK(склад2въезд1319202122[[#This Row],[RelativePath]])</f>
        <v>8 Рейсмус\E33149364_2_20260128T112020Z.jpg</v>
      </c>
    </row>
    <row r="251" spans="1:13" x14ac:dyDescent="0.25">
      <c r="A251" s="2" t="s">
        <v>15</v>
      </c>
      <c r="B251" s="4">
        <v>46050</v>
      </c>
      <c r="C251" s="5">
        <v>0.62357638888888889</v>
      </c>
      <c r="D251" s="8" t="s">
        <v>2024</v>
      </c>
      <c r="E251" s="8" t="s">
        <v>796</v>
      </c>
      <c r="F251" s="8"/>
      <c r="H251" s="8"/>
      <c r="I251" s="8" t="s">
        <v>10749</v>
      </c>
      <c r="J251" s="8" t="s">
        <v>2992</v>
      </c>
      <c r="K251" t="s">
        <v>10750</v>
      </c>
      <c r="L251" t="s">
        <v>10751</v>
      </c>
      <c r="M251" s="3" t="str">
        <f>HYPERLINK(склад2въезд1319202122[[#This Row],[RelativePath]])</f>
        <v>8 Рейсмус\E33149364_2_20260128T145757Z.jpg</v>
      </c>
    </row>
    <row r="252" spans="1:13" x14ac:dyDescent="0.25">
      <c r="A252" s="2" t="s">
        <v>15</v>
      </c>
      <c r="B252" s="4">
        <v>46050</v>
      </c>
      <c r="C252" s="5">
        <v>0.69281250000000005</v>
      </c>
      <c r="D252" s="8" t="s">
        <v>10888</v>
      </c>
      <c r="E252" s="8" t="s">
        <v>796</v>
      </c>
      <c r="F252" s="8"/>
      <c r="H252" s="8"/>
      <c r="I252" s="8" t="s">
        <v>10752</v>
      </c>
      <c r="J252" s="8" t="s">
        <v>2992</v>
      </c>
      <c r="K252" t="s">
        <v>10753</v>
      </c>
      <c r="L252" t="s">
        <v>10754</v>
      </c>
      <c r="M252" s="3" t="str">
        <f>HYPERLINK(склад2въезд1319202122[[#This Row],[RelativePath]])</f>
        <v>8 Рейсмус\E33149364_2_20260128T163739Z.jpg</v>
      </c>
    </row>
    <row r="253" spans="1:13" x14ac:dyDescent="0.25">
      <c r="A253" s="2" t="s">
        <v>15</v>
      </c>
      <c r="B253" s="4">
        <v>46050</v>
      </c>
      <c r="C253" s="5">
        <v>0.73747685185185186</v>
      </c>
      <c r="D253" s="8" t="s">
        <v>2024</v>
      </c>
      <c r="E253" s="8" t="s">
        <v>796</v>
      </c>
      <c r="F253" s="8"/>
      <c r="H253" s="8"/>
      <c r="I253" s="8" t="s">
        <v>10755</v>
      </c>
      <c r="J253" s="8" t="s">
        <v>2992</v>
      </c>
      <c r="K253" t="s">
        <v>10756</v>
      </c>
      <c r="L253" t="s">
        <v>10757</v>
      </c>
      <c r="M253" s="3" t="str">
        <f>HYPERLINK(склад2въезд1319202122[[#This Row],[RelativePath]])</f>
        <v>8 Рейсмус\E33149364_2_20260128T174158Z.jpg</v>
      </c>
    </row>
    <row r="254" spans="1:13" x14ac:dyDescent="0.25">
      <c r="A254" s="2" t="s">
        <v>15</v>
      </c>
      <c r="B254" s="4">
        <v>46050</v>
      </c>
      <c r="C254" s="5">
        <v>0.86285879629629625</v>
      </c>
      <c r="D254" s="8" t="s">
        <v>2024</v>
      </c>
      <c r="E254" s="8" t="s">
        <v>796</v>
      </c>
      <c r="F254" s="8"/>
      <c r="H254" s="8"/>
      <c r="I254" s="8" t="s">
        <v>10758</v>
      </c>
      <c r="J254" s="8" t="s">
        <v>2992</v>
      </c>
      <c r="K254" t="s">
        <v>10759</v>
      </c>
      <c r="L254" t="s">
        <v>10760</v>
      </c>
      <c r="M254" s="3" t="str">
        <f>HYPERLINK(склад2въезд1319202122[[#This Row],[RelativePath]])</f>
        <v>8 Рейсмус\E33149364_2_20260128T204231Z.jpg</v>
      </c>
    </row>
    <row r="255" spans="1:13" x14ac:dyDescent="0.25">
      <c r="A255" s="2" t="s">
        <v>15</v>
      </c>
      <c r="B255" s="4">
        <v>46050</v>
      </c>
      <c r="C255" s="5">
        <v>0.94796296296296301</v>
      </c>
      <c r="D255" s="8" t="s">
        <v>2024</v>
      </c>
      <c r="E255" s="8" t="s">
        <v>796</v>
      </c>
      <c r="F255" s="8"/>
      <c r="H255" s="8"/>
      <c r="I255" s="8" t="s">
        <v>10761</v>
      </c>
      <c r="J255" s="8" t="s">
        <v>2992</v>
      </c>
      <c r="K255" t="s">
        <v>10762</v>
      </c>
      <c r="L255" t="s">
        <v>10763</v>
      </c>
      <c r="M255" s="3" t="str">
        <f>HYPERLINK(склад2въезд1319202122[[#This Row],[RelativePath]])</f>
        <v>8 Рейсмус\E33149364_2_20260128T224504Z.jpg</v>
      </c>
    </row>
    <row r="256" spans="1:13" x14ac:dyDescent="0.25">
      <c r="A256" s="2" t="s">
        <v>16</v>
      </c>
      <c r="B256" s="4">
        <v>46051</v>
      </c>
      <c r="C256" s="5">
        <v>0.41031250000000002</v>
      </c>
      <c r="D256" s="8" t="s">
        <v>9409</v>
      </c>
      <c r="E256" s="8" t="s">
        <v>1607</v>
      </c>
      <c r="F256" s="8"/>
      <c r="H256" s="8"/>
      <c r="I256" s="8" t="s">
        <v>10764</v>
      </c>
      <c r="J256" s="8" t="s">
        <v>2992</v>
      </c>
      <c r="K256" t="s">
        <v>10765</v>
      </c>
      <c r="L256" t="s">
        <v>10766</v>
      </c>
      <c r="M256" s="3" t="str">
        <f>HYPERLINK(склад2въезд1319202122[[#This Row],[RelativePath]])</f>
        <v>8 Рейсмус\E33149364_2_20260129T095051Z.jpg</v>
      </c>
    </row>
    <row r="257" spans="1:13" x14ac:dyDescent="0.25">
      <c r="A257" s="2" t="s">
        <v>16</v>
      </c>
      <c r="B257" s="4">
        <v>46051</v>
      </c>
      <c r="C257" s="5">
        <v>0.43032407407407408</v>
      </c>
      <c r="D257" s="8" t="s">
        <v>2024</v>
      </c>
      <c r="E257" s="8" t="s">
        <v>796</v>
      </c>
      <c r="F257" s="8"/>
      <c r="H257" s="8"/>
      <c r="I257" s="8" t="s">
        <v>10767</v>
      </c>
      <c r="J257" s="8" t="s">
        <v>2992</v>
      </c>
      <c r="K257" t="s">
        <v>10768</v>
      </c>
      <c r="L257" t="s">
        <v>10769</v>
      </c>
      <c r="M257" s="3" t="str">
        <f>HYPERLINK(склад2въезд1319202122[[#This Row],[RelativePath]])</f>
        <v>8 Рейсмус\E33149364_2_20260129T101940Z.jpg</v>
      </c>
    </row>
    <row r="258" spans="1:13" x14ac:dyDescent="0.25">
      <c r="A258" s="2" t="s">
        <v>16</v>
      </c>
      <c r="B258" s="4">
        <v>46051</v>
      </c>
      <c r="C258" s="5">
        <v>0.47116898148148151</v>
      </c>
      <c r="D258" s="8" t="s">
        <v>9409</v>
      </c>
      <c r="E258" s="8" t="s">
        <v>1607</v>
      </c>
      <c r="F258" s="8"/>
      <c r="H258" s="8"/>
      <c r="I258" s="8" t="s">
        <v>10770</v>
      </c>
      <c r="J258" s="8" t="s">
        <v>2992</v>
      </c>
      <c r="K258" t="s">
        <v>10771</v>
      </c>
      <c r="L258" t="s">
        <v>10772</v>
      </c>
      <c r="M258" s="3" t="str">
        <f>HYPERLINK(склад2въезд1319202122[[#This Row],[RelativePath]])</f>
        <v>8 Рейсмус\E33149364_2_20260129T111829Z.jpg</v>
      </c>
    </row>
    <row r="259" spans="1:13" x14ac:dyDescent="0.25">
      <c r="A259" s="2" t="s">
        <v>16</v>
      </c>
      <c r="B259" s="4">
        <v>46051</v>
      </c>
      <c r="C259" s="5">
        <v>0.5896527777777778</v>
      </c>
      <c r="D259" s="8" t="s">
        <v>9409</v>
      </c>
      <c r="E259" s="8" t="s">
        <v>1607</v>
      </c>
      <c r="F259" s="8"/>
      <c r="H259" s="8"/>
      <c r="I259" s="8" t="s">
        <v>10773</v>
      </c>
      <c r="J259" s="8" t="s">
        <v>2992</v>
      </c>
      <c r="K259" t="s">
        <v>10774</v>
      </c>
      <c r="L259" t="s">
        <v>10775</v>
      </c>
      <c r="M259" s="3" t="str">
        <f>HYPERLINK(склад2въезд1319202122[[#This Row],[RelativePath]])</f>
        <v>8 Рейсмус\E33149364_2_20260129T140906Z.jpg</v>
      </c>
    </row>
    <row r="260" spans="1:13" x14ac:dyDescent="0.25">
      <c r="A260" s="2" t="s">
        <v>16</v>
      </c>
      <c r="B260" s="4">
        <v>46051</v>
      </c>
      <c r="C260" s="5">
        <v>0.65328703703703705</v>
      </c>
      <c r="D260" s="8" t="s">
        <v>2024</v>
      </c>
      <c r="E260" s="8" t="s">
        <v>796</v>
      </c>
      <c r="F260" s="8"/>
      <c r="H260" s="8"/>
      <c r="I260" s="8" t="s">
        <v>10776</v>
      </c>
      <c r="J260" s="8" t="s">
        <v>2992</v>
      </c>
      <c r="K260" t="s">
        <v>10777</v>
      </c>
      <c r="L260" t="s">
        <v>10778</v>
      </c>
      <c r="M260" s="3" t="str">
        <f>HYPERLINK(склад2въезд1319202122[[#This Row],[RelativePath]])</f>
        <v>8 Рейсмус\E33149364_2_20260129T154044Z.jpg</v>
      </c>
    </row>
    <row r="261" spans="1:13" x14ac:dyDescent="0.25">
      <c r="A261" s="2" t="s">
        <v>16</v>
      </c>
      <c r="B261" s="4">
        <v>46051</v>
      </c>
      <c r="C261" s="5">
        <v>0.69645833333333329</v>
      </c>
      <c r="D261" s="8" t="s">
        <v>2024</v>
      </c>
      <c r="E261" s="8" t="s">
        <v>796</v>
      </c>
      <c r="F261" s="8"/>
      <c r="H261" s="8"/>
      <c r="I261" s="8" t="s">
        <v>10779</v>
      </c>
      <c r="J261" s="8" t="s">
        <v>2992</v>
      </c>
      <c r="K261" t="s">
        <v>10780</v>
      </c>
      <c r="L261" t="s">
        <v>10781</v>
      </c>
      <c r="M261" s="3" t="str">
        <f>HYPERLINK(склад2въезд1319202122[[#This Row],[RelativePath]])</f>
        <v>8 Рейсмус\E33149364_2_20260129T164254Z.jpg</v>
      </c>
    </row>
    <row r="262" spans="1:13" x14ac:dyDescent="0.25">
      <c r="A262" s="2" t="s">
        <v>17</v>
      </c>
      <c r="B262" s="4">
        <v>46052</v>
      </c>
      <c r="C262" s="5">
        <v>0.38638888888888889</v>
      </c>
      <c r="D262" s="8" t="s">
        <v>4</v>
      </c>
      <c r="E262" s="8" t="s">
        <v>9</v>
      </c>
      <c r="F262" s="8"/>
      <c r="H262" s="8"/>
      <c r="I262" s="8" t="s">
        <v>10923</v>
      </c>
      <c r="J262" s="8" t="s">
        <v>2992</v>
      </c>
      <c r="K262" t="s">
        <v>10924</v>
      </c>
      <c r="L262" t="s">
        <v>10925</v>
      </c>
      <c r="M262" s="3" t="str">
        <f>HYPERLINK(склад2въезд1319202122[[#This Row],[RelativePath]])</f>
        <v>8 Рейсмус\E33149364_2_20260130T091624Z.jpg</v>
      </c>
    </row>
    <row r="263" spans="1:13" x14ac:dyDescent="0.25">
      <c r="A263" s="2" t="s">
        <v>17</v>
      </c>
      <c r="B263" s="4">
        <v>46052</v>
      </c>
      <c r="C263" s="5">
        <v>0.49533564814814812</v>
      </c>
      <c r="D263" s="8" t="s">
        <v>9409</v>
      </c>
      <c r="E263" s="8" t="s">
        <v>1607</v>
      </c>
      <c r="F263" s="8"/>
      <c r="H263" s="8"/>
      <c r="I263" s="8" t="s">
        <v>10926</v>
      </c>
      <c r="J263" s="8" t="s">
        <v>2992</v>
      </c>
      <c r="K263" t="s">
        <v>10927</v>
      </c>
      <c r="L263" t="s">
        <v>10928</v>
      </c>
      <c r="M263" s="3" t="str">
        <f>HYPERLINK(склад2въезд1319202122[[#This Row],[RelativePath]])</f>
        <v>8 Рейсмус\E33149364_2_20260130T115317Z.jpg</v>
      </c>
    </row>
    <row r="264" spans="1:13" x14ac:dyDescent="0.25">
      <c r="A264" s="2" t="s">
        <v>17</v>
      </c>
      <c r="B264" s="4">
        <v>46052</v>
      </c>
      <c r="C264" s="5">
        <v>0.51030092592592591</v>
      </c>
      <c r="D264" s="8" t="s">
        <v>10888</v>
      </c>
      <c r="E264" s="8" t="s">
        <v>796</v>
      </c>
      <c r="F264" s="8"/>
      <c r="H264" s="8"/>
      <c r="I264" s="8" t="s">
        <v>10929</v>
      </c>
      <c r="J264" s="8" t="s">
        <v>2992</v>
      </c>
      <c r="K264" t="s">
        <v>10930</v>
      </c>
      <c r="L264" t="s">
        <v>10931</v>
      </c>
      <c r="M264" s="3" t="str">
        <f>HYPERLINK(склад2въезд1319202122[[#This Row],[RelativePath]])</f>
        <v>8 Рейсмус\E33149364_2_20260130T121450Z.jpg</v>
      </c>
    </row>
    <row r="265" spans="1:13" x14ac:dyDescent="0.25">
      <c r="A265" s="2" t="s">
        <v>17</v>
      </c>
      <c r="B265" s="4">
        <v>46052</v>
      </c>
      <c r="C265" s="5">
        <v>0.62442129629629628</v>
      </c>
      <c r="D265" s="8" t="s">
        <v>2024</v>
      </c>
      <c r="E265" s="8" t="s">
        <v>796</v>
      </c>
      <c r="F265" s="8"/>
      <c r="H265" s="8"/>
      <c r="I265" s="8" t="s">
        <v>10932</v>
      </c>
      <c r="J265" s="8" t="s">
        <v>2992</v>
      </c>
      <c r="K265" t="s">
        <v>10933</v>
      </c>
      <c r="L265" t="s">
        <v>10934</v>
      </c>
      <c r="M265" s="3" t="str">
        <f>HYPERLINK(склад2въезд1319202122[[#This Row],[RelativePath]])</f>
        <v>8 Рейсмус\E33149364_2_20260130T145910Z.jpg</v>
      </c>
    </row>
    <row r="266" spans="1:13" x14ac:dyDescent="0.25">
      <c r="A266" s="2" t="s">
        <v>17</v>
      </c>
      <c r="B266" s="4">
        <v>46052</v>
      </c>
      <c r="C266" s="5">
        <v>0.64053240740740736</v>
      </c>
      <c r="D266" s="8" t="s">
        <v>10888</v>
      </c>
      <c r="E266" s="8" t="s">
        <v>796</v>
      </c>
      <c r="F266" s="8"/>
      <c r="H266" s="8"/>
      <c r="I266" s="8" t="s">
        <v>10935</v>
      </c>
      <c r="J266" s="8" t="s">
        <v>2992</v>
      </c>
      <c r="K266" t="s">
        <v>10936</v>
      </c>
      <c r="L266" t="s">
        <v>10937</v>
      </c>
      <c r="M266" s="3" t="str">
        <f>HYPERLINK(склад2въезд1319202122[[#This Row],[RelativePath]])</f>
        <v>8 Рейсмус\E33149364_2_20260130T152222Z.jpg</v>
      </c>
    </row>
    <row r="267" spans="1:13" x14ac:dyDescent="0.25">
      <c r="A267" s="2" t="s">
        <v>17</v>
      </c>
      <c r="B267" s="4">
        <v>46052</v>
      </c>
      <c r="C267" s="5">
        <v>0.6426736111111111</v>
      </c>
      <c r="D267" s="8" t="s">
        <v>2024</v>
      </c>
      <c r="E267" s="8" t="s">
        <v>796</v>
      </c>
      <c r="F267" s="8"/>
      <c r="H267" s="8"/>
      <c r="I267" s="8" t="s">
        <v>10938</v>
      </c>
      <c r="J267" s="8" t="s">
        <v>2992</v>
      </c>
      <c r="K267" t="s">
        <v>10939</v>
      </c>
      <c r="L267" t="s">
        <v>10940</v>
      </c>
      <c r="M267" s="3" t="str">
        <f>HYPERLINK(склад2въезд1319202122[[#This Row],[RelativePath]])</f>
        <v>8 Рейсмус\E33149364_2_20260130T152527Z.jpg</v>
      </c>
    </row>
    <row r="268" spans="1:13" x14ac:dyDescent="0.25">
      <c r="A268" s="2" t="s">
        <v>17</v>
      </c>
      <c r="B268" s="4">
        <v>46052</v>
      </c>
      <c r="C268" s="5">
        <v>0.65142361111111113</v>
      </c>
      <c r="D268" s="8" t="s">
        <v>10888</v>
      </c>
      <c r="E268" s="8" t="s">
        <v>796</v>
      </c>
      <c r="F268" s="8"/>
      <c r="H268" s="8"/>
      <c r="I268" s="8" t="s">
        <v>10941</v>
      </c>
      <c r="J268" s="8" t="s">
        <v>2992</v>
      </c>
      <c r="K268" t="s">
        <v>10942</v>
      </c>
      <c r="L268" t="s">
        <v>10943</v>
      </c>
      <c r="M268" s="3" t="str">
        <f>HYPERLINK(склад2въезд1319202122[[#This Row],[RelativePath]])</f>
        <v>8 Рейсмус\E33149364_2_20260130T153803Z.jpg</v>
      </c>
    </row>
    <row r="269" spans="1:13" x14ac:dyDescent="0.25">
      <c r="A269" s="2" t="s">
        <v>17</v>
      </c>
      <c r="B269" s="4">
        <v>46052</v>
      </c>
      <c r="C269" s="5">
        <v>0.68055555555555558</v>
      </c>
      <c r="D269" s="8" t="s">
        <v>2024</v>
      </c>
      <c r="E269" s="8" t="s">
        <v>796</v>
      </c>
      <c r="F269" s="8"/>
      <c r="H269" s="8"/>
      <c r="I269" s="8" t="s">
        <v>10944</v>
      </c>
      <c r="J269" s="8" t="s">
        <v>2992</v>
      </c>
      <c r="K269" t="s">
        <v>10945</v>
      </c>
      <c r="L269" t="s">
        <v>10946</v>
      </c>
      <c r="M269" s="3" t="str">
        <f>HYPERLINK(склад2въезд1319202122[[#This Row],[RelativePath]])</f>
        <v>8 Рейсмус\E33149364_2_20260130T162000Z.jpg</v>
      </c>
    </row>
    <row r="270" spans="1:13" x14ac:dyDescent="0.25">
      <c r="A270" s="2" t="s">
        <v>18</v>
      </c>
      <c r="B270" s="4">
        <v>46053</v>
      </c>
      <c r="C270" s="5">
        <v>0.49210648148148151</v>
      </c>
      <c r="D270" s="8" t="s">
        <v>9455</v>
      </c>
      <c r="E270" s="8" t="s">
        <v>1607</v>
      </c>
      <c r="F270" s="8"/>
      <c r="H270" s="8"/>
      <c r="I270" s="8" t="s">
        <v>11040</v>
      </c>
      <c r="J270" s="8" t="s">
        <v>2992</v>
      </c>
      <c r="K270" t="s">
        <v>11041</v>
      </c>
      <c r="L270" t="s">
        <v>11042</v>
      </c>
      <c r="M270" s="3" t="str">
        <f>HYPERLINK(склад2въезд1319202122[[#This Row],[RelativePath]])</f>
        <v>8 Рейсмус\E33149364_2_20260131T114838Z.jpg</v>
      </c>
    </row>
    <row r="271" spans="1:13" x14ac:dyDescent="0.25">
      <c r="A271" s="2" t="s">
        <v>22</v>
      </c>
      <c r="B271" s="4">
        <v>46054</v>
      </c>
      <c r="C271" s="5">
        <v>0.49217592592592591</v>
      </c>
      <c r="D271" s="8" t="s">
        <v>2024</v>
      </c>
      <c r="E271" s="8" t="s">
        <v>796</v>
      </c>
      <c r="F271" s="8"/>
      <c r="H271" s="8"/>
      <c r="I271" s="8" t="s">
        <v>11043</v>
      </c>
      <c r="J271" s="8" t="s">
        <v>2992</v>
      </c>
      <c r="K271" t="s">
        <v>11044</v>
      </c>
      <c r="L271" t="s">
        <v>11045</v>
      </c>
      <c r="M271" s="3" t="str">
        <f>HYPERLINK(склад2въезд1319202122[[#This Row],[RelativePath]])</f>
        <v>8 Рейсмус\E33149364_2_20260201T114844Z.jpg</v>
      </c>
    </row>
    <row r="272" spans="1:13" x14ac:dyDescent="0.25">
      <c r="A272" s="2" t="s">
        <v>13</v>
      </c>
      <c r="B272" s="4">
        <v>46055</v>
      </c>
      <c r="C272" s="5">
        <v>0.39327546296296295</v>
      </c>
      <c r="D272" s="8" t="s">
        <v>2024</v>
      </c>
      <c r="E272" s="8" t="s">
        <v>796</v>
      </c>
      <c r="F272" s="8"/>
      <c r="H272" s="8"/>
      <c r="I272" s="8" t="s">
        <v>11199</v>
      </c>
      <c r="J272" s="8" t="s">
        <v>2992</v>
      </c>
      <c r="K272" t="s">
        <v>11200</v>
      </c>
      <c r="L272" t="s">
        <v>11201</v>
      </c>
      <c r="M272" s="3" t="str">
        <f>HYPERLINK(склад2въезд1319202122[[#This Row],[RelativePath]])</f>
        <v>8 Рейсмус\E33149364_2_20260202T092619Z.jpg</v>
      </c>
    </row>
    <row r="273" spans="1:13" x14ac:dyDescent="0.25">
      <c r="A273" s="2" t="s">
        <v>13</v>
      </c>
      <c r="B273" s="4">
        <v>46055</v>
      </c>
      <c r="C273" s="5">
        <v>0.4941550925925926</v>
      </c>
      <c r="D273" s="8" t="s">
        <v>9409</v>
      </c>
      <c r="E273" s="8" t="s">
        <v>1607</v>
      </c>
      <c r="F273" s="8"/>
      <c r="H273" s="8"/>
      <c r="I273" s="8" t="s">
        <v>11202</v>
      </c>
      <c r="J273" s="8" t="s">
        <v>2992</v>
      </c>
      <c r="K273" t="s">
        <v>11203</v>
      </c>
      <c r="L273" t="s">
        <v>11204</v>
      </c>
      <c r="M273" s="3" t="str">
        <f>HYPERLINK(склад2въезд1319202122[[#This Row],[RelativePath]])</f>
        <v>8 Рейсмус\E33149364_2_20260202T115135Z.jpg</v>
      </c>
    </row>
    <row r="274" spans="1:13" x14ac:dyDescent="0.25">
      <c r="A274" s="2" t="s">
        <v>13</v>
      </c>
      <c r="B274" s="4">
        <v>46055</v>
      </c>
      <c r="C274" s="5">
        <v>0.64759259259259261</v>
      </c>
      <c r="D274" s="8" t="s">
        <v>9409</v>
      </c>
      <c r="E274" s="8" t="s">
        <v>1607</v>
      </c>
      <c r="F274" s="8"/>
      <c r="H274" s="8"/>
      <c r="I274" s="8" t="s">
        <v>11205</v>
      </c>
      <c r="J274" s="8" t="s">
        <v>2992</v>
      </c>
      <c r="K274" t="s">
        <v>11206</v>
      </c>
      <c r="L274" t="s">
        <v>11207</v>
      </c>
      <c r="M274" s="3" t="str">
        <f>HYPERLINK(склад2въезд1319202122[[#This Row],[RelativePath]])</f>
        <v>8 Рейсмус\E33149364_2_20260202T153232Z.jpg</v>
      </c>
    </row>
    <row r="275" spans="1:13" x14ac:dyDescent="0.25">
      <c r="A275" s="2" t="s">
        <v>13</v>
      </c>
      <c r="B275" s="4">
        <v>46055</v>
      </c>
      <c r="C275" s="5">
        <v>0.68866898148148148</v>
      </c>
      <c r="D275" s="8" t="s">
        <v>9409</v>
      </c>
      <c r="E275" s="8" t="s">
        <v>1607</v>
      </c>
      <c r="F275" s="8"/>
      <c r="H275" s="8"/>
      <c r="I275" s="8" t="s">
        <v>11208</v>
      </c>
      <c r="J275" s="8" t="s">
        <v>2992</v>
      </c>
      <c r="K275" t="s">
        <v>11209</v>
      </c>
      <c r="L275" t="s">
        <v>11210</v>
      </c>
      <c r="M275" s="3" t="str">
        <f>HYPERLINK(склад2въезд1319202122[[#This Row],[RelativePath]])</f>
        <v>8 Рейсмус\E33149364_2_20260202T163141Z.jpg</v>
      </c>
    </row>
    <row r="276" spans="1:13" x14ac:dyDescent="0.25">
      <c r="A276" s="2" t="s">
        <v>14</v>
      </c>
      <c r="B276" s="4">
        <v>46056</v>
      </c>
      <c r="C276" s="5">
        <v>0.51500000000000001</v>
      </c>
      <c r="D276" s="8" t="s">
        <v>4</v>
      </c>
      <c r="E276" s="8" t="s">
        <v>9</v>
      </c>
      <c r="F276" s="8"/>
      <c r="H276" s="8"/>
      <c r="I276" s="8" t="s">
        <v>11211</v>
      </c>
      <c r="J276" s="8" t="s">
        <v>2992</v>
      </c>
      <c r="K276" t="s">
        <v>11212</v>
      </c>
      <c r="L276" t="s">
        <v>11213</v>
      </c>
      <c r="M276" s="3" t="str">
        <f>HYPERLINK(склад2въезд1319202122[[#This Row],[RelativePath]])</f>
        <v>8 Рейсмус\E33149364_2_20260203T122136Z.jpg</v>
      </c>
    </row>
    <row r="277" spans="1:13" x14ac:dyDescent="0.25">
      <c r="A277" s="2" t="s">
        <v>14</v>
      </c>
      <c r="B277" s="4">
        <v>46056</v>
      </c>
      <c r="C277" s="5">
        <v>0.65103009259259259</v>
      </c>
      <c r="D277" s="8" t="s">
        <v>9409</v>
      </c>
      <c r="E277" s="8" t="s">
        <v>1607</v>
      </c>
      <c r="F277" s="8"/>
      <c r="H277" s="8"/>
      <c r="I277" s="8" t="s">
        <v>11214</v>
      </c>
      <c r="J277" s="8" t="s">
        <v>2992</v>
      </c>
      <c r="K277" t="s">
        <v>11215</v>
      </c>
      <c r="L277" t="s">
        <v>11216</v>
      </c>
      <c r="M277" s="3" t="str">
        <f>HYPERLINK(склад2въезд1319202122[[#This Row],[RelativePath]])</f>
        <v>8 Рейсмус\E33149364_2_20260203T153729Z.jpg</v>
      </c>
    </row>
    <row r="278" spans="1:13" x14ac:dyDescent="0.25">
      <c r="A278" s="2" t="s">
        <v>14</v>
      </c>
      <c r="B278" s="4">
        <v>46056</v>
      </c>
      <c r="C278" s="5">
        <v>0.65806712962962965</v>
      </c>
      <c r="D278" s="8" t="s">
        <v>2024</v>
      </c>
      <c r="E278" s="8" t="s">
        <v>796</v>
      </c>
      <c r="F278" s="8"/>
      <c r="H278" s="8"/>
      <c r="I278" s="8" t="s">
        <v>11217</v>
      </c>
      <c r="J278" s="8" t="s">
        <v>2992</v>
      </c>
      <c r="K278" t="s">
        <v>11218</v>
      </c>
      <c r="L278" t="s">
        <v>11219</v>
      </c>
      <c r="M278" s="3" t="str">
        <f>HYPERLINK(склад2въезд1319202122[[#This Row],[RelativePath]])</f>
        <v>8 Рейсмус\E33149364_2_20260203T154737Z.jpg</v>
      </c>
    </row>
    <row r="279" spans="1:13" x14ac:dyDescent="0.25">
      <c r="A279" s="2" t="s">
        <v>14</v>
      </c>
      <c r="B279" s="4">
        <v>46056</v>
      </c>
      <c r="C279" s="5">
        <v>0.8774305555555556</v>
      </c>
      <c r="D279" s="8" t="s">
        <v>9409</v>
      </c>
      <c r="E279" s="8" t="s">
        <v>1607</v>
      </c>
      <c r="F279" s="8"/>
      <c r="H279" s="8"/>
      <c r="I279" s="8" t="s">
        <v>11220</v>
      </c>
      <c r="J279" s="8" t="s">
        <v>2992</v>
      </c>
      <c r="K279" t="s">
        <v>11221</v>
      </c>
      <c r="L279" t="s">
        <v>11222</v>
      </c>
      <c r="M279" s="3" t="str">
        <f>HYPERLINK(склад2въезд1319202122[[#This Row],[RelativePath]])</f>
        <v>8 Рейсмус\E33149364_2_20260203T210330Z.jpg</v>
      </c>
    </row>
    <row r="280" spans="1:13" x14ac:dyDescent="0.25">
      <c r="A280" s="2" t="s">
        <v>14</v>
      </c>
      <c r="B280" s="4">
        <v>46056</v>
      </c>
      <c r="C280" s="5">
        <v>0.90979166666666667</v>
      </c>
      <c r="D280" s="8" t="s">
        <v>2024</v>
      </c>
      <c r="E280" s="8" t="s">
        <v>796</v>
      </c>
      <c r="F280" s="8"/>
      <c r="H280" s="8"/>
      <c r="I280" s="8" t="s">
        <v>11223</v>
      </c>
      <c r="J280" s="8" t="s">
        <v>2992</v>
      </c>
      <c r="K280" t="s">
        <v>11224</v>
      </c>
      <c r="L280" t="s">
        <v>11225</v>
      </c>
      <c r="M280" s="3" t="str">
        <f>HYPERLINK(склад2въезд1319202122[[#This Row],[RelativePath]])</f>
        <v>8 Рейсмус\E33149364_2_20260203T215006Z.jpg</v>
      </c>
    </row>
    <row r="281" spans="1:13" x14ac:dyDescent="0.25">
      <c r="A281" s="2" t="s">
        <v>15</v>
      </c>
      <c r="B281" s="4">
        <v>46057</v>
      </c>
      <c r="C281" s="5">
        <v>0.3730324074074074</v>
      </c>
      <c r="D281" s="8" t="s">
        <v>9409</v>
      </c>
      <c r="E281" s="8" t="s">
        <v>1607</v>
      </c>
      <c r="F281" s="8"/>
      <c r="H281" s="8"/>
      <c r="I281" s="8" t="s">
        <v>11619</v>
      </c>
      <c r="J281" s="8" t="s">
        <v>2992</v>
      </c>
      <c r="K281" t="s">
        <v>11620</v>
      </c>
      <c r="L281" t="s">
        <v>11621</v>
      </c>
      <c r="M281" s="3" t="str">
        <f>HYPERLINK(склад2въезд1319202122[[#This Row],[RelativePath]])</f>
        <v>8 Рейсмус\E33149364_2_20260204T085710Z.jpg</v>
      </c>
    </row>
    <row r="282" spans="1:13" x14ac:dyDescent="0.25">
      <c r="A282" s="2" t="s">
        <v>15</v>
      </c>
      <c r="B282" s="4">
        <v>46057</v>
      </c>
      <c r="C282" s="5">
        <v>0.80087962962962966</v>
      </c>
      <c r="D282" s="8" t="s">
        <v>2024</v>
      </c>
      <c r="E282" s="8" t="s">
        <v>796</v>
      </c>
      <c r="F282" s="8"/>
      <c r="H282" s="8"/>
      <c r="I282" s="8" t="s">
        <v>11622</v>
      </c>
      <c r="J282" s="8" t="s">
        <v>2992</v>
      </c>
      <c r="K282" t="s">
        <v>11623</v>
      </c>
      <c r="L282" t="s">
        <v>11624</v>
      </c>
      <c r="M282" s="3" t="str">
        <f>HYPERLINK(склад2въезд1319202122[[#This Row],[RelativePath]])</f>
        <v>8 Рейсмус\E33149364_2_20260204T191316Z.jpg</v>
      </c>
    </row>
    <row r="283" spans="1:13" x14ac:dyDescent="0.25">
      <c r="A283" s="2" t="s">
        <v>16</v>
      </c>
      <c r="B283" s="4">
        <v>46058</v>
      </c>
      <c r="C283" s="5">
        <v>0.59174768518518517</v>
      </c>
      <c r="D283" s="8" t="s">
        <v>9409</v>
      </c>
      <c r="E283" s="8" t="s">
        <v>1607</v>
      </c>
      <c r="F283" s="8"/>
      <c r="H283" s="8"/>
      <c r="I283" s="8" t="s">
        <v>11625</v>
      </c>
      <c r="J283" s="8" t="s">
        <v>2992</v>
      </c>
      <c r="K283" t="s">
        <v>11626</v>
      </c>
      <c r="L283" t="s">
        <v>11627</v>
      </c>
      <c r="M283" s="3" t="str">
        <f>HYPERLINK(склад2въезд1319202122[[#This Row],[RelativePath]])</f>
        <v>8 Рейсмус\E33149364_2_20260205T141207Z.jpg</v>
      </c>
    </row>
    <row r="284" spans="1:13" x14ac:dyDescent="0.25">
      <c r="A284" s="2" t="s">
        <v>16</v>
      </c>
      <c r="B284" s="4">
        <v>46058</v>
      </c>
      <c r="C284" s="5">
        <v>0.84887731481481477</v>
      </c>
      <c r="D284" s="8" t="s">
        <v>2024</v>
      </c>
      <c r="E284" s="8" t="s">
        <v>796</v>
      </c>
      <c r="F284" s="8"/>
      <c r="H284" s="8"/>
      <c r="I284" s="8" t="s">
        <v>11628</v>
      </c>
      <c r="J284" s="8" t="s">
        <v>2992</v>
      </c>
      <c r="K284" t="s">
        <v>11629</v>
      </c>
      <c r="L284" t="s">
        <v>11630</v>
      </c>
      <c r="M284" s="3" t="str">
        <f>HYPERLINK(склад2въезд1319202122[[#This Row],[RelativePath]])</f>
        <v>8 Рейсмус\E33149364_2_20260205T202223Z.jpg</v>
      </c>
    </row>
    <row r="285" spans="1:13" x14ac:dyDescent="0.25">
      <c r="A285" s="2" t="s">
        <v>17</v>
      </c>
      <c r="B285" s="4">
        <v>46059</v>
      </c>
      <c r="C285" s="5">
        <v>0.40892361111111108</v>
      </c>
      <c r="D285" s="8" t="s">
        <v>2024</v>
      </c>
      <c r="E285" s="8" t="s">
        <v>796</v>
      </c>
      <c r="F285" s="8"/>
      <c r="H285" s="8"/>
      <c r="I285" s="8" t="s">
        <v>11631</v>
      </c>
      <c r="J285" s="8" t="s">
        <v>2992</v>
      </c>
      <c r="K285" t="s">
        <v>11632</v>
      </c>
      <c r="L285" t="s">
        <v>11633</v>
      </c>
      <c r="M285" s="3" t="str">
        <f>HYPERLINK(склад2въезд1319202122[[#This Row],[RelativePath]])</f>
        <v>8 Рейсмус\E33149364_2_20260206T094851Z.jpg</v>
      </c>
    </row>
    <row r="286" spans="1:13" x14ac:dyDescent="0.25">
      <c r="A286" s="2" t="s">
        <v>17</v>
      </c>
      <c r="B286" s="4">
        <v>46059</v>
      </c>
      <c r="C286" s="5">
        <v>0.60069444444444442</v>
      </c>
      <c r="D286" s="8" t="s">
        <v>4</v>
      </c>
      <c r="E286" s="8" t="s">
        <v>9</v>
      </c>
      <c r="F286" s="8"/>
      <c r="H286" s="8"/>
      <c r="I286" s="8" t="s">
        <v>11634</v>
      </c>
      <c r="J286" s="8" t="s">
        <v>2992</v>
      </c>
      <c r="K286" t="s">
        <v>11635</v>
      </c>
      <c r="L286" t="s">
        <v>11636</v>
      </c>
      <c r="M286" s="3" t="str">
        <f>HYPERLINK(склад2въезд1319202122[[#This Row],[RelativePath]])</f>
        <v>8 Рейсмус\E33149364_2_20260206T142500Z.jpg</v>
      </c>
    </row>
    <row r="287" spans="1:13" x14ac:dyDescent="0.25">
      <c r="A287" s="2" t="s">
        <v>18</v>
      </c>
      <c r="B287" s="4">
        <v>46060</v>
      </c>
      <c r="C287" s="5">
        <v>0.38190972222222225</v>
      </c>
      <c r="D287" s="8" t="s">
        <v>4</v>
      </c>
      <c r="E287" s="8" t="s">
        <v>9</v>
      </c>
      <c r="F287" s="8"/>
      <c r="H287" s="8"/>
      <c r="I287" s="8" t="s">
        <v>11697</v>
      </c>
      <c r="J287" s="8" t="s">
        <v>2992</v>
      </c>
      <c r="K287" t="s">
        <v>11698</v>
      </c>
      <c r="L287" t="s">
        <v>11699</v>
      </c>
      <c r="M287" s="3" t="str">
        <f>HYPERLINK(склад2въезд1319202122[[#This Row],[RelativePath]])</f>
        <v>8 Рейсмус\E33149364_2_20260207T090957Z.jpg</v>
      </c>
    </row>
    <row r="288" spans="1:13" x14ac:dyDescent="0.25">
      <c r="A288" s="2" t="s">
        <v>22</v>
      </c>
      <c r="B288" s="4">
        <v>46061</v>
      </c>
      <c r="C288" s="5">
        <v>0.47939814814814813</v>
      </c>
      <c r="D288" s="8" t="s">
        <v>2024</v>
      </c>
      <c r="E288" s="8" t="s">
        <v>796</v>
      </c>
      <c r="F288" s="8"/>
      <c r="H288" s="8"/>
      <c r="I288" s="8" t="s">
        <v>11700</v>
      </c>
      <c r="J288" s="8" t="s">
        <v>2992</v>
      </c>
      <c r="K288" t="s">
        <v>11701</v>
      </c>
      <c r="L288" t="s">
        <v>11702</v>
      </c>
      <c r="M288" s="3" t="str">
        <f>HYPERLINK(склад2въезд1319202122[[#This Row],[RelativePath]])</f>
        <v>8 Рейсмус\E33149364_2_20260208T113020Z.jpg</v>
      </c>
    </row>
    <row r="289" spans="1:13" x14ac:dyDescent="0.25">
      <c r="A289" s="2" t="s">
        <v>22</v>
      </c>
      <c r="B289" s="4">
        <v>46061</v>
      </c>
      <c r="C289" s="5">
        <v>0.54703703703703699</v>
      </c>
      <c r="D289" s="8" t="s">
        <v>2024</v>
      </c>
      <c r="E289" s="8" t="s">
        <v>796</v>
      </c>
      <c r="F289" s="8"/>
      <c r="H289" s="8"/>
      <c r="I289" s="8" t="s">
        <v>11703</v>
      </c>
      <c r="J289" s="8" t="s">
        <v>2992</v>
      </c>
      <c r="K289" t="s">
        <v>11704</v>
      </c>
      <c r="L289" t="s">
        <v>11705</v>
      </c>
      <c r="M289" s="3" t="str">
        <f>HYPERLINK(склад2въезд1319202122[[#This Row],[RelativePath]])</f>
        <v>8 Рейсмус\E33149364_2_20260208T130744Z.jpg</v>
      </c>
    </row>
    <row r="290" spans="1:13" x14ac:dyDescent="0.25">
      <c r="A290" s="2" t="s">
        <v>22</v>
      </c>
      <c r="B290" s="4">
        <v>46061</v>
      </c>
      <c r="C290" s="5">
        <v>0.95343750000000005</v>
      </c>
      <c r="D290" s="8" t="s">
        <v>2024</v>
      </c>
      <c r="E290" s="8" t="s">
        <v>796</v>
      </c>
      <c r="F290" s="8"/>
      <c r="H290" s="8"/>
      <c r="I290" s="8" t="s">
        <v>11706</v>
      </c>
      <c r="J290" s="8" t="s">
        <v>2992</v>
      </c>
      <c r="K290" t="s">
        <v>11707</v>
      </c>
      <c r="L290" t="s">
        <v>11708</v>
      </c>
      <c r="M290" s="3" t="str">
        <f>HYPERLINK(склад2въезд1319202122[[#This Row],[RelativePath]])</f>
        <v>8 Рейсмус\E33149364_2_20260208T225257Z.jpg</v>
      </c>
    </row>
  </sheetData>
  <conditionalFormatting sqref="D291:D301 E291:E304 G2:H290 D2:E290">
    <cfRule type="containsText" dxfId="669" priority="14" operator="containsText" text="Выезд с территории">
      <formula>NOT(ISERROR(SEARCH("Выезд с территории",D2)))</formula>
    </cfRule>
  </conditionalFormatting>
  <conditionalFormatting sqref="F2:F290">
    <cfRule type="notContainsText" dxfId="668" priority="13" operator="notContains" text="порожний">
      <formula>ISERROR(SEARCH("порожний",F2))</formula>
    </cfRule>
  </conditionalFormatting>
  <conditionalFormatting sqref="E2:E304">
    <cfRule type="containsText" dxfId="667" priority="11" operator="containsText" text="Газель базы">
      <formula>NOT(ISERROR(SEARCH("Газель базы",E2)))</formula>
    </cfRule>
    <cfRule type="containsText" dxfId="666" priority="12" operator="containsText" text="Погрузчик базы">
      <formula>NOT(ISERROR(SEARCH("Погрузчик базы",E2)))</formula>
    </cfRule>
  </conditionalFormatting>
  <conditionalFormatting sqref="E2:E304">
    <cfRule type="containsText" dxfId="665" priority="10" operator="containsText" text="Трактор базы">
      <formula>NOT(ISERROR(SEARCH("Трактор базы",E2)))</formula>
    </cfRule>
  </conditionalFormatting>
  <conditionalFormatting sqref="A2:C290">
    <cfRule type="expression" dxfId="664" priority="9">
      <formula>$A2="пн"</formula>
    </cfRule>
  </conditionalFormatting>
  <conditionalFormatting sqref="A2:C292">
    <cfRule type="expression" dxfId="663" priority="3">
      <formula>$A2="вс"</formula>
    </cfRule>
    <cfRule type="expression" dxfId="662" priority="4">
      <formula>$A2="сб"</formula>
    </cfRule>
    <cfRule type="expression" dxfId="661" priority="5">
      <formula>$A2="пт"</formula>
    </cfRule>
    <cfRule type="expression" dxfId="660" priority="6">
      <formula>$A2="чт"</formula>
    </cfRule>
    <cfRule type="expression" dxfId="659" priority="7">
      <formula>$A2="ср"</formula>
    </cfRule>
    <cfRule type="expression" dxfId="658" priority="8">
      <formula>$A2="вт"</formula>
    </cfRule>
  </conditionalFormatting>
  <conditionalFormatting sqref="D2:D301">
    <cfRule type="containsText" dxfId="65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1">
    <cfRule type="containsText" dxfId="65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603"/>
  <sheetViews>
    <sheetView zoomScale="90" zoomScaleNormal="90" workbookViewId="0">
      <pane ySplit="1" topLeftCell="A577" activePane="bottomLeft" state="frozen"/>
      <selection pane="bottomLeft" activeCell="I594" sqref="I594:I60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s="8" t="s">
        <v>4</v>
      </c>
      <c r="E2" s="8" t="s">
        <v>9</v>
      </c>
      <c r="F2" s="8"/>
      <c r="H2" s="8"/>
      <c r="I2" s="8" t="s">
        <v>797</v>
      </c>
      <c r="J2" s="8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s="8" t="s">
        <v>1091</v>
      </c>
      <c r="E3" s="8" t="s">
        <v>1097</v>
      </c>
      <c r="F3" s="8"/>
      <c r="H3" s="8"/>
      <c r="I3" s="8" t="s">
        <v>800</v>
      </c>
      <c r="J3" s="8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s="8" t="s">
        <v>793</v>
      </c>
      <c r="E4" s="8" t="s">
        <v>531</v>
      </c>
      <c r="F4" s="8"/>
      <c r="H4" s="8"/>
      <c r="I4" s="8" t="s">
        <v>803</v>
      </c>
      <c r="J4" s="8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s="8" t="s">
        <v>793</v>
      </c>
      <c r="E5" s="8" t="s">
        <v>531</v>
      </c>
      <c r="F5" s="8"/>
      <c r="H5" s="8"/>
      <c r="I5" s="8" t="s">
        <v>806</v>
      </c>
      <c r="J5" s="8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s="8" t="s">
        <v>4</v>
      </c>
      <c r="E6" s="8" t="s">
        <v>9</v>
      </c>
      <c r="F6" s="8"/>
      <c r="H6" s="8"/>
      <c r="I6" s="8" t="s">
        <v>809</v>
      </c>
      <c r="J6" s="8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s="8" t="s">
        <v>1098</v>
      </c>
      <c r="E7" s="8" t="s">
        <v>531</v>
      </c>
      <c r="F7" s="8"/>
      <c r="H7" s="8"/>
      <c r="I7" s="8" t="s">
        <v>812</v>
      </c>
      <c r="J7" s="8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s="8" t="s">
        <v>289</v>
      </c>
      <c r="E8" s="8" t="s">
        <v>1099</v>
      </c>
      <c r="F8" s="8"/>
      <c r="H8" s="8"/>
      <c r="I8" s="8" t="s">
        <v>815</v>
      </c>
      <c r="J8" s="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s="8" t="s">
        <v>4</v>
      </c>
      <c r="E9" s="8" t="s">
        <v>9</v>
      </c>
      <c r="F9" s="8"/>
      <c r="H9" s="8"/>
      <c r="I9" s="8" t="s">
        <v>818</v>
      </c>
      <c r="J9" s="8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s="8" t="s">
        <v>4</v>
      </c>
      <c r="E10" s="8" t="s">
        <v>9</v>
      </c>
      <c r="F10" s="8"/>
      <c r="H10" s="8"/>
      <c r="I10" s="8" t="s">
        <v>821</v>
      </c>
      <c r="J10" s="8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s="8" t="s">
        <v>4</v>
      </c>
      <c r="E11" s="8" t="s">
        <v>9</v>
      </c>
      <c r="F11" s="8"/>
      <c r="H11" s="8"/>
      <c r="I11" s="8" t="s">
        <v>824</v>
      </c>
      <c r="J11" s="8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s="8" t="s">
        <v>2024</v>
      </c>
      <c r="E12" s="8" t="s">
        <v>1304</v>
      </c>
      <c r="F12" s="8"/>
      <c r="H12" s="8"/>
      <c r="I12" s="8" t="s">
        <v>827</v>
      </c>
      <c r="J12" s="8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s="8" t="s">
        <v>4</v>
      </c>
      <c r="E13" s="8" t="s">
        <v>9</v>
      </c>
      <c r="F13" s="8"/>
      <c r="H13" s="8"/>
      <c r="I13" s="8" t="s">
        <v>830</v>
      </c>
      <c r="J13" s="8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s="8" t="s">
        <v>4</v>
      </c>
      <c r="E14" s="8" t="s">
        <v>9</v>
      </c>
      <c r="F14" s="8"/>
      <c r="H14" s="8"/>
      <c r="I14" s="8" t="s">
        <v>833</v>
      </c>
      <c r="J14" s="8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s="8" t="s">
        <v>4</v>
      </c>
      <c r="E15" s="8" t="s">
        <v>9</v>
      </c>
      <c r="F15" s="8"/>
      <c r="H15" s="8"/>
      <c r="I15" s="8" t="s">
        <v>836</v>
      </c>
      <c r="J15" s="8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s="8" t="s">
        <v>4</v>
      </c>
      <c r="E16" s="8" t="s">
        <v>9</v>
      </c>
      <c r="F16" s="8"/>
      <c r="H16" s="8"/>
      <c r="I16" s="8" t="s">
        <v>839</v>
      </c>
      <c r="J16" s="8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s="8" t="s">
        <v>4</v>
      </c>
      <c r="E17" s="8" t="s">
        <v>9</v>
      </c>
      <c r="F17" s="8"/>
      <c r="H17" s="8"/>
      <c r="I17" s="8" t="s">
        <v>842</v>
      </c>
      <c r="J17" s="8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s="8" t="s">
        <v>4</v>
      </c>
      <c r="E18" s="8" t="s">
        <v>9</v>
      </c>
      <c r="F18" s="8"/>
      <c r="H18" s="8"/>
      <c r="I18" s="8" t="s">
        <v>845</v>
      </c>
      <c r="J18" s="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s="8" t="s">
        <v>4</v>
      </c>
      <c r="E19" s="8" t="s">
        <v>9</v>
      </c>
      <c r="F19" s="8"/>
      <c r="H19" s="8"/>
      <c r="I19" s="8" t="s">
        <v>848</v>
      </c>
      <c r="J19" s="8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s="8" t="s">
        <v>4</v>
      </c>
      <c r="E20" s="8" t="s">
        <v>9</v>
      </c>
      <c r="F20" s="8"/>
      <c r="H20" s="8"/>
      <c r="I20" s="8" t="s">
        <v>851</v>
      </c>
      <c r="J20" s="8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s="8" t="s">
        <v>4</v>
      </c>
      <c r="E21" s="8" t="s">
        <v>9</v>
      </c>
      <c r="F21" s="8"/>
      <c r="H21" s="8"/>
      <c r="I21" s="8" t="s">
        <v>854</v>
      </c>
      <c r="J21" s="8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s="8" t="s">
        <v>4</v>
      </c>
      <c r="E22" s="8" t="s">
        <v>9</v>
      </c>
      <c r="F22" s="8"/>
      <c r="H22" s="8"/>
      <c r="I22" s="8" t="s">
        <v>857</v>
      </c>
      <c r="J22" s="8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s="8" t="s">
        <v>4</v>
      </c>
      <c r="E23" s="8" t="s">
        <v>9</v>
      </c>
      <c r="F23" s="8"/>
      <c r="H23" s="8"/>
      <c r="I23" s="8" t="s">
        <v>860</v>
      </c>
      <c r="J23" s="8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s="8" t="s">
        <v>4</v>
      </c>
      <c r="E24" s="8" t="s">
        <v>9</v>
      </c>
      <c r="F24" s="8"/>
      <c r="H24" s="8"/>
      <c r="I24" s="8" t="s">
        <v>863</v>
      </c>
      <c r="J24" s="8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s="8" t="s">
        <v>4</v>
      </c>
      <c r="E25" s="8" t="s">
        <v>9</v>
      </c>
      <c r="F25" s="8"/>
      <c r="H25" s="8"/>
      <c r="I25" s="8" t="s">
        <v>866</v>
      </c>
      <c r="J25" s="8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s="8" t="s">
        <v>4</v>
      </c>
      <c r="E26" s="8" t="s">
        <v>9</v>
      </c>
      <c r="F26" s="8"/>
      <c r="H26" s="8"/>
      <c r="I26" s="8" t="s">
        <v>869</v>
      </c>
      <c r="J26" s="8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s="8" t="s">
        <v>4</v>
      </c>
      <c r="E27" s="8" t="s">
        <v>9</v>
      </c>
      <c r="F27" s="8"/>
      <c r="H27" s="8"/>
      <c r="I27" s="8" t="s">
        <v>872</v>
      </c>
      <c r="J27" s="8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s="8" t="s">
        <v>4</v>
      </c>
      <c r="E28" s="8" t="s">
        <v>9</v>
      </c>
      <c r="F28" s="8"/>
      <c r="H28" s="8"/>
      <c r="I28" s="8" t="s">
        <v>875</v>
      </c>
      <c r="J28" s="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s="8" t="s">
        <v>2024</v>
      </c>
      <c r="E29" s="8" t="s">
        <v>1304</v>
      </c>
      <c r="F29" s="8"/>
      <c r="H29" s="8"/>
      <c r="I29" s="8" t="s">
        <v>878</v>
      </c>
      <c r="J29" s="8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s="8" t="s">
        <v>2024</v>
      </c>
      <c r="E30" s="8" t="s">
        <v>1304</v>
      </c>
      <c r="F30" s="8"/>
      <c r="H30" s="8"/>
      <c r="I30" s="8" t="s">
        <v>881</v>
      </c>
      <c r="J30" s="8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s="8" t="s">
        <v>2024</v>
      </c>
      <c r="E31" s="8" t="s">
        <v>1304</v>
      </c>
      <c r="F31" s="8"/>
      <c r="H31" s="8"/>
      <c r="I31" s="8" t="s">
        <v>884</v>
      </c>
      <c r="J31" s="8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s="8" t="s">
        <v>4</v>
      </c>
      <c r="E32" s="8" t="s">
        <v>9</v>
      </c>
      <c r="F32" s="8"/>
      <c r="H32" s="8"/>
      <c r="I32" s="8" t="s">
        <v>887</v>
      </c>
      <c r="J32" s="8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s="8" t="s">
        <v>4</v>
      </c>
      <c r="E33" s="8" t="s">
        <v>9</v>
      </c>
      <c r="F33" s="8"/>
      <c r="H33" s="8"/>
      <c r="I33" s="8" t="s">
        <v>890</v>
      </c>
      <c r="J33" s="8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s="8" t="s">
        <v>4</v>
      </c>
      <c r="E34" s="8" t="s">
        <v>9</v>
      </c>
      <c r="F34" s="8"/>
      <c r="H34" s="8"/>
      <c r="I34" s="8" t="s">
        <v>893</v>
      </c>
      <c r="J34" s="8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s="8" t="s">
        <v>4</v>
      </c>
      <c r="E35" s="8" t="s">
        <v>9</v>
      </c>
      <c r="F35" s="8"/>
      <c r="H35" s="8"/>
      <c r="I35" s="8" t="s">
        <v>896</v>
      </c>
      <c r="J35" s="8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s="8" t="s">
        <v>2024</v>
      </c>
      <c r="E36" s="8" t="s">
        <v>1304</v>
      </c>
      <c r="F36" s="8"/>
      <c r="H36" s="8"/>
      <c r="I36" s="8" t="s">
        <v>899</v>
      </c>
      <c r="J36" s="8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s="8" t="s">
        <v>4</v>
      </c>
      <c r="E37" s="8" t="s">
        <v>9</v>
      </c>
      <c r="F37" s="8"/>
      <c r="H37" s="8"/>
      <c r="I37" s="8" t="s">
        <v>902</v>
      </c>
      <c r="J37" s="8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s="8" t="s">
        <v>795</v>
      </c>
      <c r="E38" s="8" t="s">
        <v>1304</v>
      </c>
      <c r="F38" s="8"/>
      <c r="H38" s="8"/>
      <c r="I38" s="8" t="s">
        <v>905</v>
      </c>
      <c r="J38" s="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s="8" t="s">
        <v>4</v>
      </c>
      <c r="E39" s="8" t="s">
        <v>9</v>
      </c>
      <c r="F39" s="8"/>
      <c r="H39" s="8"/>
      <c r="I39" s="8" t="s">
        <v>908</v>
      </c>
      <c r="J39" s="8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s="8" t="s">
        <v>4</v>
      </c>
      <c r="E40" s="8" t="s">
        <v>9</v>
      </c>
      <c r="F40" s="8"/>
      <c r="H40" s="8"/>
      <c r="I40" s="8" t="s">
        <v>911</v>
      </c>
      <c r="J40" s="8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s="8" t="s">
        <v>4</v>
      </c>
      <c r="E41" s="8" t="s">
        <v>9</v>
      </c>
      <c r="F41" s="8"/>
      <c r="H41" s="8"/>
      <c r="I41" s="8" t="s">
        <v>914</v>
      </c>
      <c r="J41" s="8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s="8" t="s">
        <v>4</v>
      </c>
      <c r="E42" s="8" t="s">
        <v>9</v>
      </c>
      <c r="F42" s="8"/>
      <c r="H42" s="8"/>
      <c r="I42" s="8" t="s">
        <v>917</v>
      </c>
      <c r="J42" s="8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s="8" t="s">
        <v>4</v>
      </c>
      <c r="E43" s="8" t="s">
        <v>9</v>
      </c>
      <c r="F43" s="8"/>
      <c r="H43" s="8"/>
      <c r="I43" s="8" t="s">
        <v>920</v>
      </c>
      <c r="J43" s="8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s="8" t="s">
        <v>1091</v>
      </c>
      <c r="E44" s="8" t="s">
        <v>1093</v>
      </c>
      <c r="F44" s="8"/>
      <c r="H44" s="8"/>
      <c r="I44" s="8" t="s">
        <v>923</v>
      </c>
      <c r="J44" s="8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s="8" t="s">
        <v>4</v>
      </c>
      <c r="E45" s="8" t="s">
        <v>9</v>
      </c>
      <c r="F45" s="8"/>
      <c r="H45" s="8"/>
      <c r="I45" s="8" t="s">
        <v>926</v>
      </c>
      <c r="J45" s="8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s="8" t="s">
        <v>795</v>
      </c>
      <c r="E46" s="8" t="s">
        <v>1304</v>
      </c>
      <c r="F46" s="8"/>
      <c r="H46" s="8"/>
      <c r="I46" s="8" t="s">
        <v>929</v>
      </c>
      <c r="J46" s="8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s="8" t="s">
        <v>1305</v>
      </c>
      <c r="E47" s="8" t="s">
        <v>1097</v>
      </c>
      <c r="F47" s="8"/>
      <c r="H47" s="8"/>
      <c r="I47" s="8" t="s">
        <v>932</v>
      </c>
      <c r="J47" s="8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s="8" t="s">
        <v>4</v>
      </c>
      <c r="E48" s="8" t="s">
        <v>9</v>
      </c>
      <c r="F48" s="8"/>
      <c r="H48" s="8"/>
      <c r="I48" s="8" t="s">
        <v>935</v>
      </c>
      <c r="J48" s="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s="8" t="s">
        <v>4</v>
      </c>
      <c r="E49" s="8" t="s">
        <v>9</v>
      </c>
      <c r="F49" s="8"/>
      <c r="H49" s="8"/>
      <c r="I49" s="8" t="s">
        <v>938</v>
      </c>
      <c r="J49" s="8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s="8" t="s">
        <v>1091</v>
      </c>
      <c r="E50" s="8" t="s">
        <v>1095</v>
      </c>
      <c r="F50" s="8"/>
      <c r="H50" s="8"/>
      <c r="I50" s="8" t="s">
        <v>941</v>
      </c>
      <c r="J50" s="8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s="8" t="s">
        <v>4</v>
      </c>
      <c r="E51" s="8" t="s">
        <v>9</v>
      </c>
      <c r="F51" s="8"/>
      <c r="H51" s="8"/>
      <c r="I51" s="8" t="s">
        <v>944</v>
      </c>
      <c r="J51" s="8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s="8" t="s">
        <v>4</v>
      </c>
      <c r="E52" s="8" t="s">
        <v>1306</v>
      </c>
      <c r="F52" s="8"/>
      <c r="H52" s="8"/>
      <c r="I52" s="8" t="s">
        <v>947</v>
      </c>
      <c r="J52" s="8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s="8" t="s">
        <v>1091</v>
      </c>
      <c r="E53" s="8" t="s">
        <v>1306</v>
      </c>
      <c r="F53" s="8"/>
      <c r="H53" s="8"/>
      <c r="I53" s="8" t="s">
        <v>950</v>
      </c>
      <c r="J53" s="8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s="8" t="s">
        <v>4</v>
      </c>
      <c r="E54" s="8" t="s">
        <v>9</v>
      </c>
      <c r="F54" s="8"/>
      <c r="H54" s="8"/>
      <c r="I54" s="8" t="s">
        <v>953</v>
      </c>
      <c r="J54" s="8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s="8" t="s">
        <v>4</v>
      </c>
      <c r="E55" s="8" t="s">
        <v>9</v>
      </c>
      <c r="F55" s="8"/>
      <c r="H55" s="8"/>
      <c r="I55" s="8" t="s">
        <v>956</v>
      </c>
      <c r="J55" s="8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s="8" t="s">
        <v>4</v>
      </c>
      <c r="E56" s="8" t="s">
        <v>9</v>
      </c>
      <c r="F56" s="8"/>
      <c r="H56" s="8"/>
      <c r="I56" s="8" t="s">
        <v>959</v>
      </c>
      <c r="J56" s="8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s="8" t="s">
        <v>4</v>
      </c>
      <c r="E57" s="8" t="s">
        <v>9</v>
      </c>
      <c r="F57" s="8"/>
      <c r="H57" s="8"/>
      <c r="I57" s="8" t="s">
        <v>962</v>
      </c>
      <c r="J57" s="8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s="8" t="s">
        <v>4</v>
      </c>
      <c r="E58" s="8" t="s">
        <v>9</v>
      </c>
      <c r="F58" s="8"/>
      <c r="H58" s="8"/>
      <c r="I58" s="8" t="s">
        <v>965</v>
      </c>
      <c r="J58" s="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s="8" t="s">
        <v>4</v>
      </c>
      <c r="E59" s="8" t="s">
        <v>9</v>
      </c>
      <c r="F59" s="8"/>
      <c r="H59" s="8"/>
      <c r="I59" s="8" t="s">
        <v>968</v>
      </c>
      <c r="J59" s="8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s="8" t="s">
        <v>4</v>
      </c>
      <c r="E60" s="8" t="s">
        <v>9</v>
      </c>
      <c r="F60" s="8"/>
      <c r="H60" s="8"/>
      <c r="I60" s="8" t="s">
        <v>971</v>
      </c>
      <c r="J60" s="8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s="8" t="s">
        <v>4</v>
      </c>
      <c r="E61" s="8" t="s">
        <v>9</v>
      </c>
      <c r="F61" s="8"/>
      <c r="H61" s="8"/>
      <c r="I61" s="8" t="s">
        <v>974</v>
      </c>
      <c r="J61" s="8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s="8" t="s">
        <v>4</v>
      </c>
      <c r="E62" s="8" t="s">
        <v>9</v>
      </c>
      <c r="F62" s="8"/>
      <c r="H62" s="8"/>
      <c r="I62" s="8" t="s">
        <v>977</v>
      </c>
      <c r="J62" s="8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s="8" t="s">
        <v>4</v>
      </c>
      <c r="E63" s="8" t="s">
        <v>9</v>
      </c>
      <c r="F63" s="8"/>
      <c r="H63" s="8"/>
      <c r="I63" s="8" t="s">
        <v>980</v>
      </c>
      <c r="J63" s="8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s="8" t="s">
        <v>4</v>
      </c>
      <c r="E64" s="8" t="s">
        <v>9</v>
      </c>
      <c r="F64" s="8"/>
      <c r="H64" s="8"/>
      <c r="I64" s="8" t="s">
        <v>983</v>
      </c>
      <c r="J64" s="8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s="8" t="s">
        <v>4</v>
      </c>
      <c r="E65" s="8" t="s">
        <v>9</v>
      </c>
      <c r="F65" s="8"/>
      <c r="H65" s="8"/>
      <c r="I65" s="8" t="s">
        <v>986</v>
      </c>
      <c r="J65" s="8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s="8" t="s">
        <v>4</v>
      </c>
      <c r="E66" s="8" t="s">
        <v>9</v>
      </c>
      <c r="F66" s="8"/>
      <c r="H66" s="8"/>
      <c r="I66" s="8" t="s">
        <v>989</v>
      </c>
      <c r="J66" s="8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s="8" t="s">
        <v>4</v>
      </c>
      <c r="E67" s="8" t="s">
        <v>9</v>
      </c>
      <c r="F67" s="8"/>
      <c r="H67" s="8"/>
      <c r="I67" s="8" t="s">
        <v>992</v>
      </c>
      <c r="J67" s="8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s="8" t="s">
        <v>4</v>
      </c>
      <c r="E68" s="8" t="s">
        <v>9</v>
      </c>
      <c r="F68" s="8"/>
      <c r="H68" s="8"/>
      <c r="I68" s="8" t="s">
        <v>995</v>
      </c>
      <c r="J68" s="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s="8" t="s">
        <v>4</v>
      </c>
      <c r="E69" s="8" t="s">
        <v>9</v>
      </c>
      <c r="F69" s="8"/>
      <c r="H69" s="8"/>
      <c r="I69" s="8" t="s">
        <v>998</v>
      </c>
      <c r="J69" s="8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s="8" t="s">
        <v>4</v>
      </c>
      <c r="E70" s="8" t="s">
        <v>9</v>
      </c>
      <c r="F70" s="8"/>
      <c r="H70" s="8"/>
      <c r="I70" s="8" t="s">
        <v>1001</v>
      </c>
      <c r="J70" s="8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s="8" t="s">
        <v>4</v>
      </c>
      <c r="E71" s="8" t="s">
        <v>9</v>
      </c>
      <c r="F71" s="8"/>
      <c r="H71" s="8"/>
      <c r="I71" s="8" t="s">
        <v>1004</v>
      </c>
      <c r="J71" s="8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s="8" t="s">
        <v>4</v>
      </c>
      <c r="E72" s="8" t="s">
        <v>9</v>
      </c>
      <c r="F72" s="8"/>
      <c r="H72" s="8"/>
      <c r="I72" s="8" t="s">
        <v>1007</v>
      </c>
      <c r="J72" s="8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s="8" t="s">
        <v>2024</v>
      </c>
      <c r="E73" s="8" t="s">
        <v>1304</v>
      </c>
      <c r="F73" s="8"/>
      <c r="H73" s="8"/>
      <c r="I73" s="8" t="s">
        <v>1010</v>
      </c>
      <c r="J73" s="8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s="8" t="s">
        <v>4</v>
      </c>
      <c r="E74" s="8" t="s">
        <v>9</v>
      </c>
      <c r="F74" s="8"/>
      <c r="H74" s="8"/>
      <c r="I74" s="8" t="s">
        <v>1013</v>
      </c>
      <c r="J74" s="8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s="8" t="s">
        <v>4</v>
      </c>
      <c r="E75" s="8" t="s">
        <v>9</v>
      </c>
      <c r="F75" s="8"/>
      <c r="H75" s="8"/>
      <c r="I75" s="8" t="s">
        <v>1016</v>
      </c>
      <c r="J75" s="8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s="8" t="s">
        <v>4</v>
      </c>
      <c r="E76" s="8" t="s">
        <v>9</v>
      </c>
      <c r="F76" s="8"/>
      <c r="H76" s="8"/>
      <c r="I76" s="8" t="s">
        <v>1019</v>
      </c>
      <c r="J76" s="8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s="8" t="s">
        <v>1091</v>
      </c>
      <c r="E77" s="8" t="s">
        <v>1095</v>
      </c>
      <c r="F77" s="8"/>
      <c r="H77" s="8"/>
      <c r="I77" s="8" t="s">
        <v>1022</v>
      </c>
      <c r="J77" s="8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s="8" t="s">
        <v>1091</v>
      </c>
      <c r="E78" s="8" t="s">
        <v>1095</v>
      </c>
      <c r="F78" s="8"/>
      <c r="H78" s="8"/>
      <c r="I78" s="8" t="s">
        <v>1025</v>
      </c>
      <c r="J78" s="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s="8" t="s">
        <v>4</v>
      </c>
      <c r="E79" s="8" t="s">
        <v>9</v>
      </c>
      <c r="F79" s="8"/>
      <c r="H79" s="8"/>
      <c r="I79" s="8" t="s">
        <v>1028</v>
      </c>
      <c r="J79" s="8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s="8" t="s">
        <v>4</v>
      </c>
      <c r="E80" s="8" t="s">
        <v>9</v>
      </c>
      <c r="F80" s="8"/>
      <c r="H80" s="8"/>
      <c r="I80" s="8" t="s">
        <v>1031</v>
      </c>
      <c r="J80" s="8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s="8" t="s">
        <v>4</v>
      </c>
      <c r="E81" s="8" t="s">
        <v>9</v>
      </c>
      <c r="F81" s="8"/>
      <c r="H81" s="8"/>
      <c r="I81" s="8" t="s">
        <v>1034</v>
      </c>
      <c r="J81" s="8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s="8" t="s">
        <v>4</v>
      </c>
      <c r="E82" s="8" t="s">
        <v>9</v>
      </c>
      <c r="F82" s="8"/>
      <c r="H82" s="8"/>
      <c r="I82" s="8" t="s">
        <v>1037</v>
      </c>
      <c r="J82" s="8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s="8" t="s">
        <v>4</v>
      </c>
      <c r="E83" s="8" t="s">
        <v>9</v>
      </c>
      <c r="F83" s="8"/>
      <c r="H83" s="8"/>
      <c r="I83" s="8" t="s">
        <v>1040</v>
      </c>
      <c r="J83" s="8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s="8" t="s">
        <v>4</v>
      </c>
      <c r="E84" s="8" t="s">
        <v>9</v>
      </c>
      <c r="F84" s="8"/>
      <c r="H84" s="8"/>
      <c r="I84" s="8" t="s">
        <v>1043</v>
      </c>
      <c r="J84" s="8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s="8" t="s">
        <v>4</v>
      </c>
      <c r="E85" s="8" t="s">
        <v>9</v>
      </c>
      <c r="F85" s="8"/>
      <c r="H85" s="8"/>
      <c r="I85" s="8" t="s">
        <v>1046</v>
      </c>
      <c r="J85" s="8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s="8" t="s">
        <v>2024</v>
      </c>
      <c r="E86" s="8" t="s">
        <v>1304</v>
      </c>
      <c r="F86" s="8"/>
      <c r="H86" s="8"/>
      <c r="I86" s="8" t="s">
        <v>1049</v>
      </c>
      <c r="J86" s="8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s="8" t="s">
        <v>4</v>
      </c>
      <c r="E87" s="8" t="s">
        <v>9</v>
      </c>
      <c r="F87" s="8"/>
      <c r="H87" s="8"/>
      <c r="I87" s="8" t="s">
        <v>1052</v>
      </c>
      <c r="J87" s="8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s="8" t="s">
        <v>795</v>
      </c>
      <c r="E88" s="8" t="s">
        <v>1304</v>
      </c>
      <c r="F88" s="8"/>
      <c r="H88" s="8"/>
      <c r="I88" s="8" t="s">
        <v>1055</v>
      </c>
      <c r="J88" s="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s="8" t="s">
        <v>4</v>
      </c>
      <c r="E89" s="8" t="s">
        <v>9</v>
      </c>
      <c r="F89" s="8"/>
      <c r="H89" s="8"/>
      <c r="I89" s="8" t="s">
        <v>1058</v>
      </c>
      <c r="J89" s="8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s="8" t="s">
        <v>4</v>
      </c>
      <c r="E90" s="8" t="s">
        <v>9</v>
      </c>
      <c r="F90" s="8"/>
      <c r="H90" s="8"/>
      <c r="I90" s="8" t="s">
        <v>1061</v>
      </c>
      <c r="J90" s="8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s="8" t="s">
        <v>4</v>
      </c>
      <c r="E91" s="8" t="s">
        <v>9</v>
      </c>
      <c r="F91" s="8"/>
      <c r="H91" s="8"/>
      <c r="I91" s="8" t="s">
        <v>1064</v>
      </c>
      <c r="J91" s="8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s="8" t="s">
        <v>4</v>
      </c>
      <c r="E92" s="8" t="s">
        <v>9</v>
      </c>
      <c r="F92" s="8"/>
      <c r="H92" s="8"/>
      <c r="I92" s="8" t="s">
        <v>1067</v>
      </c>
      <c r="J92" s="8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s="8" t="s">
        <v>4</v>
      </c>
      <c r="E93" s="8" t="s">
        <v>9</v>
      </c>
      <c r="F93" s="8"/>
      <c r="H93" s="8"/>
      <c r="I93" s="8" t="s">
        <v>1070</v>
      </c>
      <c r="J93" s="8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s="8" t="s">
        <v>4</v>
      </c>
      <c r="E94" s="8" t="s">
        <v>9</v>
      </c>
      <c r="F94" s="8"/>
      <c r="H94" s="8"/>
      <c r="I94" s="8" t="s">
        <v>1073</v>
      </c>
      <c r="J94" s="8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s="8" t="s">
        <v>4</v>
      </c>
      <c r="E95" s="8" t="s">
        <v>9</v>
      </c>
      <c r="F95" s="8"/>
      <c r="H95" s="8"/>
      <c r="I95" s="8" t="s">
        <v>1076</v>
      </c>
      <c r="J95" s="8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s="8" t="s">
        <v>4</v>
      </c>
      <c r="E96" s="8" t="s">
        <v>9</v>
      </c>
      <c r="F96" s="8"/>
      <c r="H96" s="8"/>
      <c r="I96" s="8" t="s">
        <v>1079</v>
      </c>
      <c r="J96" s="8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s="8" t="s">
        <v>4</v>
      </c>
      <c r="E97" s="8" t="s">
        <v>9</v>
      </c>
      <c r="F97" s="8"/>
      <c r="H97" s="8"/>
      <c r="I97" s="8" t="s">
        <v>1082</v>
      </c>
      <c r="J97" s="8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s="8" t="s">
        <v>4</v>
      </c>
      <c r="E98" s="8" t="s">
        <v>9</v>
      </c>
      <c r="F98" s="8"/>
      <c r="H98" s="8"/>
      <c r="I98" s="8" t="s">
        <v>1085</v>
      </c>
      <c r="J98" s="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s="8" t="s">
        <v>4</v>
      </c>
      <c r="E99" s="8" t="s">
        <v>9</v>
      </c>
      <c r="F99" s="8"/>
      <c r="H99" s="8"/>
      <c r="I99" s="8" t="s">
        <v>1088</v>
      </c>
      <c r="J99" s="8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s="8" t="s">
        <v>2024</v>
      </c>
      <c r="E100" s="8" t="s">
        <v>1304</v>
      </c>
      <c r="F100" s="8"/>
      <c r="H100" s="8"/>
      <c r="I100" s="8" t="s">
        <v>1190</v>
      </c>
      <c r="J100" s="8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s="8" t="s">
        <v>4</v>
      </c>
      <c r="E101" s="8" t="s">
        <v>9</v>
      </c>
      <c r="F101" s="8"/>
      <c r="H101" s="8"/>
      <c r="I101" s="8" t="s">
        <v>1193</v>
      </c>
      <c r="J101" s="8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s="8" t="s">
        <v>4</v>
      </c>
      <c r="E102" s="8" t="s">
        <v>9</v>
      </c>
      <c r="F102" s="8"/>
      <c r="H102" s="8"/>
      <c r="I102" s="8" t="s">
        <v>1196</v>
      </c>
      <c r="J102" s="8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s="8" t="s">
        <v>4</v>
      </c>
      <c r="E103" s="8" t="s">
        <v>9</v>
      </c>
      <c r="F103" s="8"/>
      <c r="H103" s="8"/>
      <c r="I103" s="8" t="s">
        <v>1199</v>
      </c>
      <c r="J103" s="8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s="8" t="s">
        <v>4</v>
      </c>
      <c r="E104" s="8" t="s">
        <v>9</v>
      </c>
      <c r="F104" s="8"/>
      <c r="H104" s="8"/>
      <c r="I104" s="8" t="s">
        <v>1202</v>
      </c>
      <c r="J104" s="8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s="8" t="s">
        <v>4</v>
      </c>
      <c r="E105" s="8" t="s">
        <v>9</v>
      </c>
      <c r="F105" s="8"/>
      <c r="H105" s="8"/>
      <c r="I105" s="8" t="s">
        <v>1205</v>
      </c>
      <c r="J105" s="8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1208</v>
      </c>
      <c r="J106" s="8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s="8" t="s">
        <v>4</v>
      </c>
      <c r="E107" s="8" t="s">
        <v>9</v>
      </c>
      <c r="F107" s="8"/>
      <c r="H107" s="8"/>
      <c r="I107" s="8" t="s">
        <v>2340</v>
      </c>
      <c r="J107" s="8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s="8" t="s">
        <v>4</v>
      </c>
      <c r="E108" s="8" t="s">
        <v>9</v>
      </c>
      <c r="F108" s="8"/>
      <c r="H108" s="8" t="s">
        <v>2936</v>
      </c>
      <c r="I108" s="8" t="s">
        <v>2343</v>
      </c>
      <c r="J108" s="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s="8" t="s">
        <v>4</v>
      </c>
      <c r="E109" s="8" t="s">
        <v>9</v>
      </c>
      <c r="F109" s="8"/>
      <c r="H109" s="8" t="s">
        <v>2936</v>
      </c>
      <c r="I109" s="8" t="s">
        <v>2346</v>
      </c>
      <c r="J109" s="8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s="8" t="s">
        <v>4</v>
      </c>
      <c r="E110" s="8" t="s">
        <v>9</v>
      </c>
      <c r="F110" s="8"/>
      <c r="H110" s="8" t="s">
        <v>2936</v>
      </c>
      <c r="I110" s="8" t="s">
        <v>2349</v>
      </c>
      <c r="J110" s="8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s="8" t="s">
        <v>4</v>
      </c>
      <c r="E111" s="8" t="s">
        <v>9</v>
      </c>
      <c r="F111" s="8"/>
      <c r="H111" s="8" t="s">
        <v>2936</v>
      </c>
      <c r="I111" s="8" t="s">
        <v>2352</v>
      </c>
      <c r="J111" s="8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s="8" t="s">
        <v>2939</v>
      </c>
      <c r="E112" s="8" t="s">
        <v>2940</v>
      </c>
      <c r="F112" s="8" t="s">
        <v>2929</v>
      </c>
      <c r="G112">
        <v>1</v>
      </c>
      <c r="H112" s="8" t="s">
        <v>2941</v>
      </c>
      <c r="I112" s="8" t="s">
        <v>2355</v>
      </c>
      <c r="J112" s="8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s="8" t="s">
        <v>2939</v>
      </c>
      <c r="E113" s="8" t="s">
        <v>2940</v>
      </c>
      <c r="F113" s="8" t="s">
        <v>2929</v>
      </c>
      <c r="G113">
        <v>1</v>
      </c>
      <c r="H113" s="8" t="s">
        <v>2941</v>
      </c>
      <c r="I113" s="8" t="s">
        <v>2358</v>
      </c>
      <c r="J113" s="8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s="8" t="s">
        <v>2939</v>
      </c>
      <c r="E114" s="8" t="s">
        <v>2940</v>
      </c>
      <c r="F114" s="8" t="s">
        <v>2929</v>
      </c>
      <c r="G114">
        <v>1</v>
      </c>
      <c r="H114" s="8" t="s">
        <v>2941</v>
      </c>
      <c r="I114" s="8" t="s">
        <v>2361</v>
      </c>
      <c r="J114" s="8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s="8" t="s">
        <v>2939</v>
      </c>
      <c r="E115" s="8" t="s">
        <v>2940</v>
      </c>
      <c r="F115" s="8" t="s">
        <v>2929</v>
      </c>
      <c r="G115">
        <v>1</v>
      </c>
      <c r="H115" s="8" t="s">
        <v>2941</v>
      </c>
      <c r="I115" s="8" t="s">
        <v>2364</v>
      </c>
      <c r="J115" s="8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s="8" t="s">
        <v>2939</v>
      </c>
      <c r="E116" s="8" t="s">
        <v>2940</v>
      </c>
      <c r="F116" s="8" t="s">
        <v>2929</v>
      </c>
      <c r="G116">
        <v>1</v>
      </c>
      <c r="H116" s="8" t="s">
        <v>2941</v>
      </c>
      <c r="I116" s="8" t="s">
        <v>2367</v>
      </c>
      <c r="J116" s="8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s="8" t="s">
        <v>2939</v>
      </c>
      <c r="E117" s="8" t="s">
        <v>2940</v>
      </c>
      <c r="F117" s="8" t="s">
        <v>2929</v>
      </c>
      <c r="G117">
        <v>1</v>
      </c>
      <c r="H117" s="8" t="s">
        <v>2941</v>
      </c>
      <c r="I117" s="8" t="s">
        <v>2370</v>
      </c>
      <c r="J117" s="8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s="8" t="s">
        <v>2939</v>
      </c>
      <c r="E118" s="8" t="s">
        <v>2940</v>
      </c>
      <c r="F118" s="8" t="s">
        <v>2929</v>
      </c>
      <c r="G118">
        <v>1</v>
      </c>
      <c r="H118" s="8" t="s">
        <v>2941</v>
      </c>
      <c r="I118" s="8" t="s">
        <v>2373</v>
      </c>
      <c r="J118" s="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s="8" t="s">
        <v>2939</v>
      </c>
      <c r="E119" s="8" t="s">
        <v>2940</v>
      </c>
      <c r="F119" s="8" t="s">
        <v>2929</v>
      </c>
      <c r="G119">
        <v>1</v>
      </c>
      <c r="H119" s="8" t="s">
        <v>2941</v>
      </c>
      <c r="I119" s="8" t="s">
        <v>2376</v>
      </c>
      <c r="J119" s="8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s="8" t="s">
        <v>4</v>
      </c>
      <c r="E120" s="8" t="s">
        <v>9</v>
      </c>
      <c r="F120" s="8"/>
      <c r="H120" s="8"/>
      <c r="I120" s="8" t="s">
        <v>2379</v>
      </c>
      <c r="J120" s="8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s="8" t="s">
        <v>4</v>
      </c>
      <c r="E121" s="8" t="s">
        <v>9</v>
      </c>
      <c r="F121" s="8"/>
      <c r="H121" s="8" t="s">
        <v>2936</v>
      </c>
      <c r="I121" s="8" t="s">
        <v>2382</v>
      </c>
      <c r="J121" s="8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s="8" t="s">
        <v>2024</v>
      </c>
      <c r="E122" s="8" t="s">
        <v>1304</v>
      </c>
      <c r="F122" s="8"/>
      <c r="H122" s="8"/>
      <c r="I122" s="8" t="s">
        <v>2385</v>
      </c>
      <c r="J122" s="8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s="8" t="s">
        <v>4</v>
      </c>
      <c r="E123" s="8" t="s">
        <v>9</v>
      </c>
      <c r="F123" s="8"/>
      <c r="H123" s="8" t="s">
        <v>2936</v>
      </c>
      <c r="I123" s="8" t="s">
        <v>2388</v>
      </c>
      <c r="J123" s="8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s="8" t="s">
        <v>4</v>
      </c>
      <c r="E124" s="8" t="s">
        <v>9</v>
      </c>
      <c r="F124" s="8"/>
      <c r="H124" s="8" t="s">
        <v>2936</v>
      </c>
      <c r="I124" s="8" t="s">
        <v>2391</v>
      </c>
      <c r="J124" s="8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s="8" t="s">
        <v>4</v>
      </c>
      <c r="E125" s="8" t="s">
        <v>9</v>
      </c>
      <c r="F125" s="8"/>
      <c r="H125" s="8" t="s">
        <v>2936</v>
      </c>
      <c r="I125" s="8" t="s">
        <v>2394</v>
      </c>
      <c r="J125" s="8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s="8" t="s">
        <v>4</v>
      </c>
      <c r="E126" s="8" t="s">
        <v>9</v>
      </c>
      <c r="F126" s="8"/>
      <c r="H126" s="8" t="s">
        <v>2936</v>
      </c>
      <c r="I126" s="8" t="s">
        <v>2397</v>
      </c>
      <c r="J126" s="8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s="8" t="s">
        <v>4</v>
      </c>
      <c r="E127" s="8" t="s">
        <v>9</v>
      </c>
      <c r="F127" s="8"/>
      <c r="H127" s="8"/>
      <c r="I127" s="8" t="s">
        <v>2400</v>
      </c>
      <c r="J127" s="8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s="8" t="s">
        <v>1091</v>
      </c>
      <c r="E128" s="8" t="s">
        <v>1607</v>
      </c>
      <c r="F128" s="8" t="s">
        <v>58</v>
      </c>
      <c r="H128" s="8"/>
      <c r="I128" s="8" t="s">
        <v>2403</v>
      </c>
      <c r="J128" s="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s="8" t="s">
        <v>1091</v>
      </c>
      <c r="E129" s="8" t="s">
        <v>1607</v>
      </c>
      <c r="F129" s="8" t="s">
        <v>58</v>
      </c>
      <c r="H129" s="8"/>
      <c r="I129" s="8" t="s">
        <v>2406</v>
      </c>
      <c r="J129" s="8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s="8" t="s">
        <v>1091</v>
      </c>
      <c r="E130" s="8" t="s">
        <v>1607</v>
      </c>
      <c r="F130" s="8" t="s">
        <v>58</v>
      </c>
      <c r="H130" s="8"/>
      <c r="I130" s="8" t="s">
        <v>2409</v>
      </c>
      <c r="J130" s="8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s="8" t="s">
        <v>1091</v>
      </c>
      <c r="E131" s="8" t="s">
        <v>1607</v>
      </c>
      <c r="F131" s="8" t="s">
        <v>58</v>
      </c>
      <c r="H131" s="8"/>
      <c r="I131" s="8" t="s">
        <v>2412</v>
      </c>
      <c r="J131" s="8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s="8" t="s">
        <v>2943</v>
      </c>
      <c r="E132" s="8"/>
      <c r="F132" s="8"/>
      <c r="H132" s="8" t="s">
        <v>2942</v>
      </c>
      <c r="I132" s="8" t="s">
        <v>2415</v>
      </c>
      <c r="J132" s="8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s="8" t="s">
        <v>1091</v>
      </c>
      <c r="E133" s="8" t="s">
        <v>1607</v>
      </c>
      <c r="F133" s="8" t="s">
        <v>2951</v>
      </c>
      <c r="H133" s="8"/>
      <c r="I133" s="8" t="s">
        <v>2418</v>
      </c>
      <c r="J133" s="8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s="8" t="s">
        <v>4</v>
      </c>
      <c r="E134" s="8" t="s">
        <v>9</v>
      </c>
      <c r="F134" s="8"/>
      <c r="H134" s="8"/>
      <c r="I134" s="8" t="s">
        <v>2421</v>
      </c>
      <c r="J134" s="8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s="8" t="s">
        <v>1091</v>
      </c>
      <c r="E135" s="8" t="s">
        <v>1607</v>
      </c>
      <c r="F135" s="8" t="s">
        <v>58</v>
      </c>
      <c r="H135" s="8"/>
      <c r="I135" s="8" t="s">
        <v>2424</v>
      </c>
      <c r="J135" s="8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s="8" t="s">
        <v>1091</v>
      </c>
      <c r="E136" s="8" t="s">
        <v>1607</v>
      </c>
      <c r="F136" s="8" t="s">
        <v>58</v>
      </c>
      <c r="H136" s="8"/>
      <c r="I136" s="8" t="s">
        <v>2427</v>
      </c>
      <c r="J136" s="8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s="8" t="s">
        <v>1091</v>
      </c>
      <c r="E137" s="8" t="s">
        <v>1607</v>
      </c>
      <c r="F137" s="8" t="s">
        <v>58</v>
      </c>
      <c r="H137" s="8" t="s">
        <v>2936</v>
      </c>
      <c r="I137" s="8" t="s">
        <v>2430</v>
      </c>
      <c r="J137" s="8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s="8" t="s">
        <v>4</v>
      </c>
      <c r="E138" s="8" t="s">
        <v>9</v>
      </c>
      <c r="F138" s="8"/>
      <c r="H138" s="8" t="s">
        <v>2936</v>
      </c>
      <c r="I138" s="8" t="s">
        <v>2433</v>
      </c>
      <c r="J138" s="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s="8" t="s">
        <v>4</v>
      </c>
      <c r="E139" s="8" t="s">
        <v>9</v>
      </c>
      <c r="F139" s="8"/>
      <c r="H139" s="8" t="s">
        <v>2936</v>
      </c>
      <c r="I139" s="8" t="s">
        <v>2436</v>
      </c>
      <c r="J139" s="8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s="8" t="s">
        <v>4</v>
      </c>
      <c r="E140" s="8" t="s">
        <v>9</v>
      </c>
      <c r="F140" s="8"/>
      <c r="H140" s="8" t="s">
        <v>2936</v>
      </c>
      <c r="I140" s="8" t="s">
        <v>2439</v>
      </c>
      <c r="J140" s="8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s="8" t="s">
        <v>4</v>
      </c>
      <c r="E141" s="8" t="s">
        <v>9</v>
      </c>
      <c r="F141" s="8"/>
      <c r="H141" s="8" t="s">
        <v>2936</v>
      </c>
      <c r="I141" s="8" t="s">
        <v>2442</v>
      </c>
      <c r="J141" s="8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s="8" t="s">
        <v>4</v>
      </c>
      <c r="E142" s="8" t="s">
        <v>9</v>
      </c>
      <c r="F142" s="8"/>
      <c r="H142" s="8" t="s">
        <v>2936</v>
      </c>
      <c r="I142" s="8" t="s">
        <v>2445</v>
      </c>
      <c r="J142" s="8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s="8" t="s">
        <v>4</v>
      </c>
      <c r="E143" s="8" t="s">
        <v>9</v>
      </c>
      <c r="F143" s="8"/>
      <c r="H143" s="8" t="s">
        <v>2936</v>
      </c>
      <c r="I143" s="8" t="s">
        <v>2448</v>
      </c>
      <c r="J143" s="8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s="8" t="s">
        <v>4</v>
      </c>
      <c r="E144" s="8" t="s">
        <v>9</v>
      </c>
      <c r="F144" s="8"/>
      <c r="H144" s="8" t="s">
        <v>2936</v>
      </c>
      <c r="I144" s="8" t="s">
        <v>2451</v>
      </c>
      <c r="J144" s="8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s="8" t="s">
        <v>4</v>
      </c>
      <c r="E145" s="8" t="s">
        <v>9</v>
      </c>
      <c r="F145" s="8"/>
      <c r="H145" s="8" t="s">
        <v>2936</v>
      </c>
      <c r="I145" s="8" t="s">
        <v>2454</v>
      </c>
      <c r="J145" s="8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s="8" t="s">
        <v>1091</v>
      </c>
      <c r="E146" s="8" t="s">
        <v>1607</v>
      </c>
      <c r="F146" s="8" t="s">
        <v>2944</v>
      </c>
      <c r="H146" s="8"/>
      <c r="I146" s="8" t="s">
        <v>2457</v>
      </c>
      <c r="J146" s="8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s="8" t="s">
        <v>1091</v>
      </c>
      <c r="E147" s="8" t="s">
        <v>2940</v>
      </c>
      <c r="F147" s="8" t="s">
        <v>2944</v>
      </c>
      <c r="H147" s="8"/>
      <c r="I147" s="8" t="s">
        <v>2460</v>
      </c>
      <c r="J147" s="8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s="8" t="s">
        <v>1091</v>
      </c>
      <c r="E148" s="8" t="s">
        <v>1607</v>
      </c>
      <c r="F148" s="8" t="s">
        <v>1093</v>
      </c>
      <c r="H148" s="8"/>
      <c r="I148" s="8" t="s">
        <v>2463</v>
      </c>
      <c r="J148" s="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s="8" t="s">
        <v>4</v>
      </c>
      <c r="E149" s="8" t="s">
        <v>9</v>
      </c>
      <c r="F149" s="8"/>
      <c r="H149" s="8"/>
      <c r="I149" s="8" t="s">
        <v>2466</v>
      </c>
      <c r="J149" s="8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s="8" t="s">
        <v>2945</v>
      </c>
      <c r="E150" s="8" t="s">
        <v>1607</v>
      </c>
      <c r="F150" s="8"/>
      <c r="H150" s="8"/>
      <c r="I150" s="8" t="s">
        <v>2469</v>
      </c>
      <c r="J150" s="8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s="8" t="s">
        <v>2946</v>
      </c>
      <c r="E151" s="8" t="s">
        <v>1607</v>
      </c>
      <c r="F151" s="8"/>
      <c r="H151" s="8"/>
      <c r="I151" s="8" t="s">
        <v>2472</v>
      </c>
      <c r="J151" s="8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s="8" t="s">
        <v>4</v>
      </c>
      <c r="E152" s="8" t="s">
        <v>9</v>
      </c>
      <c r="F152" s="8"/>
      <c r="H152" s="8"/>
      <c r="I152" s="8" t="s">
        <v>2475</v>
      </c>
      <c r="J152" s="8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s="8" t="s">
        <v>4</v>
      </c>
      <c r="E153" s="8" t="s">
        <v>9</v>
      </c>
      <c r="F153" s="8"/>
      <c r="H153" s="8" t="s">
        <v>2936</v>
      </c>
      <c r="I153" s="8" t="s">
        <v>2478</v>
      </c>
      <c r="J153" s="8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s="8" t="s">
        <v>4</v>
      </c>
      <c r="E154" s="8" t="s">
        <v>9</v>
      </c>
      <c r="F154" s="8"/>
      <c r="H154" s="8" t="s">
        <v>2936</v>
      </c>
      <c r="I154" s="8" t="s">
        <v>2481</v>
      </c>
      <c r="J154" s="8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s="8" t="s">
        <v>1091</v>
      </c>
      <c r="E155" s="8" t="s">
        <v>1607</v>
      </c>
      <c r="F155" s="8" t="s">
        <v>58</v>
      </c>
      <c r="H155" s="8"/>
      <c r="I155" s="8" t="s">
        <v>2484</v>
      </c>
      <c r="J155" s="8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s="8" t="s">
        <v>4</v>
      </c>
      <c r="E156" s="8" t="s">
        <v>9</v>
      </c>
      <c r="F156" s="8"/>
      <c r="H156" s="8" t="s">
        <v>2936</v>
      </c>
      <c r="I156" s="8" t="s">
        <v>2487</v>
      </c>
      <c r="J156" s="8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s="8" t="s">
        <v>4</v>
      </c>
      <c r="E157" s="8" t="s">
        <v>9</v>
      </c>
      <c r="F157" s="8"/>
      <c r="H157" s="8" t="s">
        <v>2936</v>
      </c>
      <c r="I157" s="8" t="s">
        <v>2490</v>
      </c>
      <c r="J157" s="8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s="8" t="s">
        <v>4</v>
      </c>
      <c r="E158" s="8" t="s">
        <v>2947</v>
      </c>
      <c r="F158" s="8"/>
      <c r="H158" s="8"/>
      <c r="I158" s="8" t="s">
        <v>2493</v>
      </c>
      <c r="J158" s="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s="8" t="s">
        <v>4</v>
      </c>
      <c r="E159" s="8" t="s">
        <v>9</v>
      </c>
      <c r="F159" s="8"/>
      <c r="H159" s="8"/>
      <c r="I159" s="8" t="s">
        <v>2496</v>
      </c>
      <c r="J159" s="8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s="8" t="s">
        <v>1091</v>
      </c>
      <c r="E160" s="8" t="s">
        <v>2940</v>
      </c>
      <c r="F160" s="8" t="s">
        <v>58</v>
      </c>
      <c r="H160" s="8"/>
      <c r="I160" s="8" t="s">
        <v>2499</v>
      </c>
      <c r="J160" s="8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s="8" t="s">
        <v>4</v>
      </c>
      <c r="E161" s="8" t="s">
        <v>9</v>
      </c>
      <c r="F161" s="8"/>
      <c r="H161" s="8" t="s">
        <v>2936</v>
      </c>
      <c r="I161" s="8" t="s">
        <v>2502</v>
      </c>
      <c r="J161" s="8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s="8" t="s">
        <v>1091</v>
      </c>
      <c r="E162" s="8" t="s">
        <v>1607</v>
      </c>
      <c r="F162" s="8" t="s">
        <v>58</v>
      </c>
      <c r="H162" s="8"/>
      <c r="I162" s="8" t="s">
        <v>2505</v>
      </c>
      <c r="J162" s="8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s="8" t="s">
        <v>4</v>
      </c>
      <c r="E163" s="8" t="s">
        <v>9</v>
      </c>
      <c r="F163" s="8"/>
      <c r="H163" s="8" t="s">
        <v>2936</v>
      </c>
      <c r="I163" s="8" t="s">
        <v>2508</v>
      </c>
      <c r="J163" s="8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s="8" t="s">
        <v>4</v>
      </c>
      <c r="E164" s="8" t="s">
        <v>9</v>
      </c>
      <c r="F164" s="8"/>
      <c r="H164" s="8" t="s">
        <v>2936</v>
      </c>
      <c r="I164" s="8" t="s">
        <v>2511</v>
      </c>
      <c r="J164" s="8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s="8" t="s">
        <v>1091</v>
      </c>
      <c r="E165" s="8" t="s">
        <v>1607</v>
      </c>
      <c r="F165" s="8" t="s">
        <v>58</v>
      </c>
      <c r="H165" s="8"/>
      <c r="I165" s="8" t="s">
        <v>2514</v>
      </c>
      <c r="J165" s="8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s="8" t="s">
        <v>4</v>
      </c>
      <c r="E166" s="8" t="s">
        <v>9</v>
      </c>
      <c r="F166" s="8"/>
      <c r="H166" s="8"/>
      <c r="I166" s="8" t="s">
        <v>2517</v>
      </c>
      <c r="J166" s="8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s="8" t="s">
        <v>2004</v>
      </c>
      <c r="E167" s="8"/>
      <c r="F167" s="8"/>
      <c r="H167" s="8"/>
      <c r="I167" s="8" t="s">
        <v>2520</v>
      </c>
      <c r="J167" s="8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s="8" t="s">
        <v>2004</v>
      </c>
      <c r="E168" s="8"/>
      <c r="F168" s="8"/>
      <c r="H168" s="8"/>
      <c r="I168" s="8" t="s">
        <v>2523</v>
      </c>
      <c r="J168" s="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s="8" t="s">
        <v>4</v>
      </c>
      <c r="E169" s="8" t="s">
        <v>9</v>
      </c>
      <c r="F169" s="8"/>
      <c r="H169" s="8"/>
      <c r="I169" s="8" t="s">
        <v>3736</v>
      </c>
      <c r="J169" s="8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s="8" t="s">
        <v>4</v>
      </c>
      <c r="E170" s="8" t="s">
        <v>9</v>
      </c>
      <c r="F170" s="8"/>
      <c r="H170" s="8" t="s">
        <v>2936</v>
      </c>
      <c r="I170" s="8" t="s">
        <v>3739</v>
      </c>
      <c r="J170" s="8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s="8" t="s">
        <v>4</v>
      </c>
      <c r="E171" s="8" t="s">
        <v>9</v>
      </c>
      <c r="F171" s="8"/>
      <c r="H171" s="8" t="s">
        <v>2936</v>
      </c>
      <c r="I171" s="8" t="s">
        <v>3742</v>
      </c>
      <c r="J171" s="8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s="8" t="s">
        <v>4</v>
      </c>
      <c r="E172" s="8" t="s">
        <v>9</v>
      </c>
      <c r="F172" s="8"/>
      <c r="H172" s="8" t="s">
        <v>2936</v>
      </c>
      <c r="I172" s="8" t="s">
        <v>3745</v>
      </c>
      <c r="J172" s="8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s="8" t="s">
        <v>4</v>
      </c>
      <c r="E173" s="8" t="s">
        <v>9</v>
      </c>
      <c r="F173" s="8"/>
      <c r="H173" s="8" t="s">
        <v>2936</v>
      </c>
      <c r="I173" s="8" t="s">
        <v>3748</v>
      </c>
      <c r="J173" s="8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s="8" t="s">
        <v>4</v>
      </c>
      <c r="E174" s="8" t="s">
        <v>9</v>
      </c>
      <c r="F174" s="8"/>
      <c r="H174" s="8"/>
      <c r="I174" s="8" t="s">
        <v>3751</v>
      </c>
      <c r="J174" s="8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s="8" t="s">
        <v>2024</v>
      </c>
      <c r="E175" s="8" t="s">
        <v>1304</v>
      </c>
      <c r="F175" s="8"/>
      <c r="H175" s="8"/>
      <c r="I175" s="8" t="s">
        <v>3754</v>
      </c>
      <c r="J175" s="8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s="8" t="s">
        <v>2024</v>
      </c>
      <c r="E176" s="8" t="s">
        <v>1304</v>
      </c>
      <c r="F176" s="8"/>
      <c r="H176" s="8" t="s">
        <v>2936</v>
      </c>
      <c r="I176" s="8" t="s">
        <v>3757</v>
      </c>
      <c r="J176" s="8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s="8" t="s">
        <v>2024</v>
      </c>
      <c r="E177" s="8" t="s">
        <v>1304</v>
      </c>
      <c r="F177" s="8"/>
      <c r="H177" s="8" t="s">
        <v>2936</v>
      </c>
      <c r="I177" s="8" t="s">
        <v>3760</v>
      </c>
      <c r="J177" s="8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s="8" t="s">
        <v>2024</v>
      </c>
      <c r="E178" s="8" t="s">
        <v>1304</v>
      </c>
      <c r="F178" s="8"/>
      <c r="H178" s="8" t="s">
        <v>2936</v>
      </c>
      <c r="I178" s="8" t="s">
        <v>3763</v>
      </c>
      <c r="J178" s="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s="8" t="s">
        <v>2024</v>
      </c>
      <c r="E179" s="8" t="s">
        <v>1304</v>
      </c>
      <c r="F179" s="8"/>
      <c r="H179" s="8" t="s">
        <v>2936</v>
      </c>
      <c r="I179" s="8" t="s">
        <v>3766</v>
      </c>
      <c r="J179" s="8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s="8" t="s">
        <v>4</v>
      </c>
      <c r="E180" s="8" t="s">
        <v>9</v>
      </c>
      <c r="F180" s="8"/>
      <c r="H180" s="8"/>
      <c r="I180" s="8" t="s">
        <v>3769</v>
      </c>
      <c r="J180" s="8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s="8" t="s">
        <v>2024</v>
      </c>
      <c r="E181" s="8" t="s">
        <v>1304</v>
      </c>
      <c r="F181" s="8"/>
      <c r="H181" s="8" t="s">
        <v>2936</v>
      </c>
      <c r="I181" s="8" t="s">
        <v>3772</v>
      </c>
      <c r="J181" s="8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s="8" t="s">
        <v>2024</v>
      </c>
      <c r="E182" s="8" t="s">
        <v>1304</v>
      </c>
      <c r="F182" s="8"/>
      <c r="H182" s="8" t="s">
        <v>2936</v>
      </c>
      <c r="I182" s="8" t="s">
        <v>3775</v>
      </c>
      <c r="J182" s="8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s="8" t="s">
        <v>2024</v>
      </c>
      <c r="E183" s="8" t="s">
        <v>1304</v>
      </c>
      <c r="F183" s="8"/>
      <c r="H183" s="8" t="s">
        <v>2936</v>
      </c>
      <c r="I183" s="8" t="s">
        <v>3778</v>
      </c>
      <c r="J183" s="8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s="8" t="s">
        <v>2024</v>
      </c>
      <c r="E184" s="8" t="s">
        <v>1304</v>
      </c>
      <c r="F184" s="8"/>
      <c r="H184" s="8" t="s">
        <v>2936</v>
      </c>
      <c r="I184" s="8" t="s">
        <v>3781</v>
      </c>
      <c r="J184" s="8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s="8" t="s">
        <v>2024</v>
      </c>
      <c r="E185" s="8" t="s">
        <v>1304</v>
      </c>
      <c r="F185" s="8"/>
      <c r="H185" s="8" t="s">
        <v>2936</v>
      </c>
      <c r="I185" s="8" t="s">
        <v>3784</v>
      </c>
      <c r="J185" s="8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s="8" t="s">
        <v>2024</v>
      </c>
      <c r="E186" s="8" t="s">
        <v>1304</v>
      </c>
      <c r="F186" s="8"/>
      <c r="H186" s="8" t="s">
        <v>2936</v>
      </c>
      <c r="I186" s="8" t="s">
        <v>3787</v>
      </c>
      <c r="J186" s="8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s="8" t="s">
        <v>2024</v>
      </c>
      <c r="E187" s="8" t="s">
        <v>1304</v>
      </c>
      <c r="F187" s="8"/>
      <c r="H187" s="8" t="s">
        <v>2936</v>
      </c>
      <c r="I187" s="8" t="s">
        <v>3790</v>
      </c>
      <c r="J187" s="8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s="8" t="s">
        <v>2024</v>
      </c>
      <c r="E188" s="8" t="s">
        <v>1304</v>
      </c>
      <c r="F188" s="8"/>
      <c r="H188" s="8" t="s">
        <v>2936</v>
      </c>
      <c r="I188" s="8" t="s">
        <v>3793</v>
      </c>
      <c r="J188" s="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s="8" t="s">
        <v>2024</v>
      </c>
      <c r="E189" s="8" t="s">
        <v>1304</v>
      </c>
      <c r="F189" s="8"/>
      <c r="H189" s="8" t="s">
        <v>2936</v>
      </c>
      <c r="I189" s="8" t="s">
        <v>3796</v>
      </c>
      <c r="J189" s="8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s="8" t="s">
        <v>4</v>
      </c>
      <c r="E190" s="8" t="s">
        <v>9</v>
      </c>
      <c r="F190" s="8"/>
      <c r="H190" s="8"/>
      <c r="I190" s="8" t="s">
        <v>3799</v>
      </c>
      <c r="J190" s="8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s="8" t="s">
        <v>4</v>
      </c>
      <c r="E191" s="8" t="s">
        <v>9</v>
      </c>
      <c r="F191" s="8"/>
      <c r="H191" s="8" t="s">
        <v>2936</v>
      </c>
      <c r="I191" s="8" t="s">
        <v>3802</v>
      </c>
      <c r="J191" s="8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s="8" t="s">
        <v>4</v>
      </c>
      <c r="E192" s="8" t="s">
        <v>9</v>
      </c>
      <c r="F192" s="8"/>
      <c r="H192" s="8" t="s">
        <v>2936</v>
      </c>
      <c r="I192" s="8" t="s">
        <v>3805</v>
      </c>
      <c r="J192" s="8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s="8" t="s">
        <v>4</v>
      </c>
      <c r="E193" s="8" t="s">
        <v>9</v>
      </c>
      <c r="F193" s="8"/>
      <c r="H193" s="8" t="s">
        <v>2936</v>
      </c>
      <c r="I193" s="8" t="s">
        <v>3808</v>
      </c>
      <c r="J193" s="8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s="8" t="s">
        <v>4</v>
      </c>
      <c r="E194" s="8" t="s">
        <v>9</v>
      </c>
      <c r="F194" s="8"/>
      <c r="H194" s="8" t="s">
        <v>2936</v>
      </c>
      <c r="I194" s="8" t="s">
        <v>3811</v>
      </c>
      <c r="J194" s="8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s="8" t="s">
        <v>4</v>
      </c>
      <c r="E195" s="8" t="s">
        <v>9</v>
      </c>
      <c r="F195" s="8"/>
      <c r="H195" s="8" t="s">
        <v>2936</v>
      </c>
      <c r="I195" s="8" t="s">
        <v>3814</v>
      </c>
      <c r="J195" s="8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s="8" t="s">
        <v>4</v>
      </c>
      <c r="E196" s="8" t="s">
        <v>9</v>
      </c>
      <c r="F196" s="8"/>
      <c r="H196" s="8" t="s">
        <v>2936</v>
      </c>
      <c r="I196" s="8" t="s">
        <v>3817</v>
      </c>
      <c r="J196" s="8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s="8" t="s">
        <v>4</v>
      </c>
      <c r="E197" s="8" t="s">
        <v>9</v>
      </c>
      <c r="F197" s="8"/>
      <c r="H197" s="8" t="s">
        <v>2936</v>
      </c>
      <c r="I197" s="8" t="s">
        <v>3820</v>
      </c>
      <c r="J197" s="8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s="8" t="s">
        <v>4</v>
      </c>
      <c r="E198" s="8" t="s">
        <v>9</v>
      </c>
      <c r="F198" s="8"/>
      <c r="H198" s="8" t="s">
        <v>2936</v>
      </c>
      <c r="I198" s="8" t="s">
        <v>3823</v>
      </c>
      <c r="J198" s="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s="8" t="s">
        <v>4</v>
      </c>
      <c r="E199" s="8" t="s">
        <v>9</v>
      </c>
      <c r="F199" s="8"/>
      <c r="H199" s="8" t="s">
        <v>2936</v>
      </c>
      <c r="I199" s="8" t="s">
        <v>3826</v>
      </c>
      <c r="J199" s="8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s="8" t="s">
        <v>4</v>
      </c>
      <c r="E200" s="8" t="s">
        <v>9</v>
      </c>
      <c r="F200" s="8"/>
      <c r="H200" s="8" t="s">
        <v>2936</v>
      </c>
      <c r="I200" s="8" t="s">
        <v>3829</v>
      </c>
      <c r="J200" s="8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s="8" t="s">
        <v>4</v>
      </c>
      <c r="E201" s="8" t="s">
        <v>9</v>
      </c>
      <c r="F201" s="8"/>
      <c r="H201" s="8" t="s">
        <v>2936</v>
      </c>
      <c r="I201" s="8" t="s">
        <v>3832</v>
      </c>
      <c r="J201" s="8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s="8" t="s">
        <v>4</v>
      </c>
      <c r="E202" s="8" t="s">
        <v>9</v>
      </c>
      <c r="F202" s="8"/>
      <c r="H202" s="8" t="s">
        <v>2936</v>
      </c>
      <c r="I202" s="8" t="s">
        <v>3835</v>
      </c>
      <c r="J202" s="8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s="8" t="s">
        <v>4</v>
      </c>
      <c r="E203" s="8" t="s">
        <v>9</v>
      </c>
      <c r="F203" s="8"/>
      <c r="H203" s="8" t="s">
        <v>2936</v>
      </c>
      <c r="I203" s="8" t="s">
        <v>3838</v>
      </c>
      <c r="J203" s="8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s="8" t="s">
        <v>4</v>
      </c>
      <c r="E204" s="8" t="s">
        <v>9</v>
      </c>
      <c r="F204" s="8"/>
      <c r="H204" s="8" t="s">
        <v>2936</v>
      </c>
      <c r="I204" s="8" t="s">
        <v>3841</v>
      </c>
      <c r="J204" s="8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s="8" t="s">
        <v>4</v>
      </c>
      <c r="E205" s="8" t="s">
        <v>9</v>
      </c>
      <c r="F205" s="8"/>
      <c r="H205" s="8" t="s">
        <v>2936</v>
      </c>
      <c r="I205" s="8" t="s">
        <v>3844</v>
      </c>
      <c r="J205" s="8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s="8" t="s">
        <v>4</v>
      </c>
      <c r="E206" s="8" t="s">
        <v>9</v>
      </c>
      <c r="F206" s="8"/>
      <c r="H206" s="8" t="s">
        <v>2936</v>
      </c>
      <c r="I206" s="8" t="s">
        <v>3847</v>
      </c>
      <c r="J206" s="8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s="8" t="s">
        <v>4</v>
      </c>
      <c r="E207" s="8" t="s">
        <v>9</v>
      </c>
      <c r="F207" s="8"/>
      <c r="H207" s="8" t="s">
        <v>2936</v>
      </c>
      <c r="I207" s="8" t="s">
        <v>3850</v>
      </c>
      <c r="J207" s="8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s="8" t="s">
        <v>4</v>
      </c>
      <c r="E208" s="8" t="s">
        <v>9</v>
      </c>
      <c r="F208" s="8"/>
      <c r="H208" s="8" t="s">
        <v>2936</v>
      </c>
      <c r="I208" s="8" t="s">
        <v>3853</v>
      </c>
      <c r="J208" s="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s="8" t="s">
        <v>4</v>
      </c>
      <c r="E209" s="8" t="s">
        <v>9</v>
      </c>
      <c r="F209" s="8"/>
      <c r="H209" s="8" t="s">
        <v>2936</v>
      </c>
      <c r="I209" s="8" t="s">
        <v>3856</v>
      </c>
      <c r="J209" s="8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s="8" t="s">
        <v>4221</v>
      </c>
      <c r="E210" s="8" t="s">
        <v>86</v>
      </c>
      <c r="F210" s="8" t="s">
        <v>58</v>
      </c>
      <c r="H210" s="8"/>
      <c r="I210" s="8" t="s">
        <v>3859</v>
      </c>
      <c r="J210" s="8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s="8" t="s">
        <v>4</v>
      </c>
      <c r="E211" s="8" t="s">
        <v>9</v>
      </c>
      <c r="F211" s="8"/>
      <c r="H211" s="8"/>
      <c r="I211" s="8" t="s">
        <v>3862</v>
      </c>
      <c r="J211" s="8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s="8" t="s">
        <v>4</v>
      </c>
      <c r="E212" s="8" t="s">
        <v>4222</v>
      </c>
      <c r="F212" s="8" t="s">
        <v>1099</v>
      </c>
      <c r="H212" s="8"/>
      <c r="I212" s="8" t="s">
        <v>3865</v>
      </c>
      <c r="J212" s="8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s="8" t="s">
        <v>2004</v>
      </c>
      <c r="E213" s="8"/>
      <c r="F213" s="8"/>
      <c r="H213" s="8"/>
      <c r="I213" s="8" t="s">
        <v>4282</v>
      </c>
      <c r="J213" s="8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s="8" t="s">
        <v>4</v>
      </c>
      <c r="E214" s="8" t="s">
        <v>9</v>
      </c>
      <c r="F214" s="8"/>
      <c r="H214" s="8"/>
      <c r="I214" s="8" t="s">
        <v>4627</v>
      </c>
      <c r="J214" s="8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s="8" t="s">
        <v>5136</v>
      </c>
      <c r="E215" s="8" t="s">
        <v>5135</v>
      </c>
      <c r="F215" s="8"/>
      <c r="H215" s="8"/>
      <c r="I215" s="8" t="s">
        <v>4630</v>
      </c>
      <c r="J215" s="8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s="8" t="s">
        <v>5136</v>
      </c>
      <c r="E216" s="8" t="s">
        <v>5135</v>
      </c>
      <c r="F216" s="8"/>
      <c r="H216" s="8" t="s">
        <v>2936</v>
      </c>
      <c r="I216" s="8" t="s">
        <v>4633</v>
      </c>
      <c r="J216" s="8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s="8" t="s">
        <v>1091</v>
      </c>
      <c r="E217" s="8" t="s">
        <v>5137</v>
      </c>
      <c r="F217" s="8" t="s">
        <v>1099</v>
      </c>
      <c r="H217" s="8"/>
      <c r="I217" s="8" t="s">
        <v>4636</v>
      </c>
      <c r="J217" s="8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s="8" t="s">
        <v>1091</v>
      </c>
      <c r="E218" s="8" t="s">
        <v>5137</v>
      </c>
      <c r="F218" s="8" t="s">
        <v>1099</v>
      </c>
      <c r="H218" s="8" t="s">
        <v>2936</v>
      </c>
      <c r="I218" s="8" t="s">
        <v>4639</v>
      </c>
      <c r="J218" s="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s="8" t="s">
        <v>4</v>
      </c>
      <c r="E219" s="8" t="s">
        <v>9</v>
      </c>
      <c r="F219" s="8"/>
      <c r="H219" s="8"/>
      <c r="I219" s="8" t="s">
        <v>4642</v>
      </c>
      <c r="J219" s="8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s="8" t="s">
        <v>4</v>
      </c>
      <c r="E220" s="8" t="s">
        <v>9</v>
      </c>
      <c r="F220" s="8"/>
      <c r="H220" s="8" t="s">
        <v>2936</v>
      </c>
      <c r="I220" s="8" t="s">
        <v>4645</v>
      </c>
      <c r="J220" s="8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s="8" t="s">
        <v>4</v>
      </c>
      <c r="E221" s="8" t="s">
        <v>9</v>
      </c>
      <c r="F221" s="8"/>
      <c r="H221" s="8" t="s">
        <v>2936</v>
      </c>
      <c r="I221" s="8" t="s">
        <v>4648</v>
      </c>
      <c r="J221" s="8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s="8" t="s">
        <v>4</v>
      </c>
      <c r="E222" s="8" t="s">
        <v>9</v>
      </c>
      <c r="F222" s="8"/>
      <c r="H222" s="8" t="s">
        <v>2936</v>
      </c>
      <c r="I222" s="8" t="s">
        <v>4651</v>
      </c>
      <c r="J222" s="8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s="8" t="s">
        <v>4</v>
      </c>
      <c r="E223" s="8" t="s">
        <v>9</v>
      </c>
      <c r="F223" s="8"/>
      <c r="H223" s="8" t="s">
        <v>2936</v>
      </c>
      <c r="I223" s="8" t="s">
        <v>4654</v>
      </c>
      <c r="J223" s="8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s="8" t="s">
        <v>4</v>
      </c>
      <c r="E224" s="8" t="s">
        <v>9</v>
      </c>
      <c r="F224" s="8"/>
      <c r="H224" s="8" t="s">
        <v>2936</v>
      </c>
      <c r="I224" s="8" t="s">
        <v>4657</v>
      </c>
      <c r="J224" s="8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s="8" t="s">
        <v>4</v>
      </c>
      <c r="E225" s="8" t="s">
        <v>9</v>
      </c>
      <c r="F225" s="8"/>
      <c r="H225" s="8" t="s">
        <v>2936</v>
      </c>
      <c r="I225" s="8" t="s">
        <v>4660</v>
      </c>
      <c r="J225" s="8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s="8" t="s">
        <v>4</v>
      </c>
      <c r="E226" s="8" t="s">
        <v>9</v>
      </c>
      <c r="F226" s="8"/>
      <c r="H226" s="8" t="s">
        <v>2936</v>
      </c>
      <c r="I226" s="8" t="s">
        <v>4663</v>
      </c>
      <c r="J226" s="8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s="8" t="s">
        <v>4</v>
      </c>
      <c r="E227" s="8" t="s">
        <v>9</v>
      </c>
      <c r="F227" s="8"/>
      <c r="H227" s="8" t="s">
        <v>2936</v>
      </c>
      <c r="I227" s="8" t="s">
        <v>4666</v>
      </c>
      <c r="J227" s="8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s="8" t="s">
        <v>4</v>
      </c>
      <c r="E228" s="8" t="s">
        <v>9</v>
      </c>
      <c r="F228" s="8"/>
      <c r="H228" s="8" t="s">
        <v>2936</v>
      </c>
      <c r="I228" s="8" t="s">
        <v>4669</v>
      </c>
      <c r="J228" s="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s="8" t="s">
        <v>4</v>
      </c>
      <c r="E229" s="8" t="s">
        <v>9</v>
      </c>
      <c r="F229" s="8"/>
      <c r="H229" s="8" t="s">
        <v>2936</v>
      </c>
      <c r="I229" s="8" t="s">
        <v>4672</v>
      </c>
      <c r="J229" s="8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s="8" t="s">
        <v>4</v>
      </c>
      <c r="E230" s="8" t="s">
        <v>9</v>
      </c>
      <c r="F230" s="8"/>
      <c r="H230" s="8" t="s">
        <v>2936</v>
      </c>
      <c r="I230" s="8" t="s">
        <v>4675</v>
      </c>
      <c r="J230" s="8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s="8" t="s">
        <v>1091</v>
      </c>
      <c r="E231" s="8" t="s">
        <v>1607</v>
      </c>
      <c r="F231" s="8" t="s">
        <v>58</v>
      </c>
      <c r="H231" s="8"/>
      <c r="I231" s="8" t="s">
        <v>4678</v>
      </c>
      <c r="J231" s="8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s="8" t="s">
        <v>4</v>
      </c>
      <c r="E232" s="8" t="s">
        <v>9</v>
      </c>
      <c r="F232" s="8"/>
      <c r="H232" s="8" t="s">
        <v>2936</v>
      </c>
      <c r="I232" s="8" t="s">
        <v>4681</v>
      </c>
      <c r="J232" s="8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s="8" t="s">
        <v>1091</v>
      </c>
      <c r="E233" s="8" t="s">
        <v>1607</v>
      </c>
      <c r="F233" s="8" t="s">
        <v>58</v>
      </c>
      <c r="H233" s="8"/>
      <c r="I233" s="8" t="s">
        <v>4684</v>
      </c>
      <c r="J233" s="8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s="8" t="s">
        <v>4</v>
      </c>
      <c r="E234" s="8" t="s">
        <v>9</v>
      </c>
      <c r="F234" s="8"/>
      <c r="H234" s="8" t="s">
        <v>2936</v>
      </c>
      <c r="I234" s="8" t="s">
        <v>4687</v>
      </c>
      <c r="J234" s="8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s="8" t="s">
        <v>1091</v>
      </c>
      <c r="E235" s="8" t="s">
        <v>1607</v>
      </c>
      <c r="F235" s="8" t="s">
        <v>58</v>
      </c>
      <c r="H235" s="8"/>
      <c r="I235" s="8" t="s">
        <v>4690</v>
      </c>
      <c r="J235" s="8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s="8" t="s">
        <v>4</v>
      </c>
      <c r="E236" s="8" t="s">
        <v>9</v>
      </c>
      <c r="F236" s="8"/>
      <c r="H236" s="8" t="s">
        <v>2936</v>
      </c>
      <c r="I236" s="8" t="s">
        <v>4693</v>
      </c>
      <c r="J236" s="8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s="8" t="s">
        <v>1091</v>
      </c>
      <c r="E237" s="8" t="s">
        <v>1607</v>
      </c>
      <c r="F237" s="8" t="s">
        <v>58</v>
      </c>
      <c r="H237" s="8"/>
      <c r="I237" s="8" t="s">
        <v>4696</v>
      </c>
      <c r="J237" s="8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s="8" t="s">
        <v>4</v>
      </c>
      <c r="E238" s="8" t="s">
        <v>9</v>
      </c>
      <c r="F238" s="8"/>
      <c r="H238" s="8"/>
      <c r="I238" s="8" t="s">
        <v>4699</v>
      </c>
      <c r="J238" s="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s="8" t="s">
        <v>4</v>
      </c>
      <c r="E239" s="8" t="s">
        <v>9</v>
      </c>
      <c r="F239" s="8"/>
      <c r="H239" s="8" t="s">
        <v>2936</v>
      </c>
      <c r="I239" s="8" t="s">
        <v>4702</v>
      </c>
      <c r="J239" s="8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s="8" t="s">
        <v>4</v>
      </c>
      <c r="E240" s="8" t="s">
        <v>9</v>
      </c>
      <c r="F240" s="8"/>
      <c r="H240" s="8" t="s">
        <v>2936</v>
      </c>
      <c r="I240" s="8" t="s">
        <v>4705</v>
      </c>
      <c r="J240" s="8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s="8" t="s">
        <v>4</v>
      </c>
      <c r="E241" s="8" t="s">
        <v>9</v>
      </c>
      <c r="F241" s="8"/>
      <c r="H241" s="8" t="s">
        <v>2936</v>
      </c>
      <c r="I241" s="8" t="s">
        <v>4708</v>
      </c>
      <c r="J241" s="8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s="8" t="s">
        <v>4</v>
      </c>
      <c r="E242" s="8" t="s">
        <v>9</v>
      </c>
      <c r="F242" s="8"/>
      <c r="H242" s="8" t="s">
        <v>2936</v>
      </c>
      <c r="I242" s="8" t="s">
        <v>4711</v>
      </c>
      <c r="J242" s="8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s="8" t="s">
        <v>4</v>
      </c>
      <c r="E243" s="8" t="s">
        <v>9</v>
      </c>
      <c r="F243" s="8"/>
      <c r="H243" s="8" t="s">
        <v>2936</v>
      </c>
      <c r="I243" s="8" t="s">
        <v>4714</v>
      </c>
      <c r="J243" s="8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s="8" t="s">
        <v>1091</v>
      </c>
      <c r="E244" s="8" t="s">
        <v>531</v>
      </c>
      <c r="F244" s="8" t="s">
        <v>2944</v>
      </c>
      <c r="H244" s="8"/>
      <c r="I244" s="8" t="s">
        <v>4717</v>
      </c>
      <c r="J244" s="8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s="8" t="s">
        <v>4</v>
      </c>
      <c r="E245" s="8" t="s">
        <v>9</v>
      </c>
      <c r="F245" s="8"/>
      <c r="H245" s="8" t="s">
        <v>2936</v>
      </c>
      <c r="I245" s="8" t="s">
        <v>4720</v>
      </c>
      <c r="J245" s="8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s="8" t="s">
        <v>1091</v>
      </c>
      <c r="E246" s="8" t="s">
        <v>1607</v>
      </c>
      <c r="F246" s="8" t="s">
        <v>58</v>
      </c>
      <c r="H246" s="8"/>
      <c r="I246" s="8" t="s">
        <v>4723</v>
      </c>
      <c r="J246" s="8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s="8" t="s">
        <v>4</v>
      </c>
      <c r="E247" s="8" t="s">
        <v>9</v>
      </c>
      <c r="F247" s="8"/>
      <c r="H247" s="8" t="s">
        <v>2936</v>
      </c>
      <c r="I247" s="8" t="s">
        <v>4726</v>
      </c>
      <c r="J247" s="8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s="8" t="s">
        <v>1091</v>
      </c>
      <c r="E248" s="8" t="s">
        <v>1607</v>
      </c>
      <c r="F248" s="8" t="s">
        <v>58</v>
      </c>
      <c r="H248" s="8"/>
      <c r="I248" s="8" t="s">
        <v>4729</v>
      </c>
      <c r="J248" s="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s="8" t="s">
        <v>4</v>
      </c>
      <c r="E249" s="8" t="s">
        <v>9</v>
      </c>
      <c r="F249" s="8"/>
      <c r="H249" s="8" t="s">
        <v>2936</v>
      </c>
      <c r="I249" s="8" t="s">
        <v>4732</v>
      </c>
      <c r="J249" s="8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s="8" t="s">
        <v>4</v>
      </c>
      <c r="E250" s="8" t="s">
        <v>9</v>
      </c>
      <c r="F250" s="8"/>
      <c r="H250" s="8" t="s">
        <v>2936</v>
      </c>
      <c r="I250" s="8" t="s">
        <v>4735</v>
      </c>
      <c r="J250" s="8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s="8" t="s">
        <v>4</v>
      </c>
      <c r="E251" s="8" t="s">
        <v>9</v>
      </c>
      <c r="F251" s="8"/>
      <c r="H251" s="8" t="s">
        <v>2936</v>
      </c>
      <c r="I251" s="8" t="s">
        <v>4738</v>
      </c>
      <c r="J251" s="8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s="8" t="s">
        <v>4</v>
      </c>
      <c r="E252" s="8" t="s">
        <v>9</v>
      </c>
      <c r="F252" s="8"/>
      <c r="H252" s="8" t="s">
        <v>2936</v>
      </c>
      <c r="I252" s="8" t="s">
        <v>4741</v>
      </c>
      <c r="J252" s="8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s="8" t="s">
        <v>4</v>
      </c>
      <c r="E253" s="8" t="s">
        <v>9</v>
      </c>
      <c r="F253" s="8"/>
      <c r="H253" s="8" t="s">
        <v>2936</v>
      </c>
      <c r="I253" s="8" t="s">
        <v>4744</v>
      </c>
      <c r="J253" s="8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s="8" t="s">
        <v>4</v>
      </c>
      <c r="E254" s="8" t="s">
        <v>9</v>
      </c>
      <c r="F254" s="8"/>
      <c r="H254" s="8" t="s">
        <v>2936</v>
      </c>
      <c r="I254" s="8" t="s">
        <v>4747</v>
      </c>
      <c r="J254" s="8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s="8" t="s">
        <v>4</v>
      </c>
      <c r="E255" s="8" t="s">
        <v>9</v>
      </c>
      <c r="F255" s="8"/>
      <c r="H255" s="8" t="s">
        <v>2936</v>
      </c>
      <c r="I255" s="8" t="s">
        <v>4750</v>
      </c>
      <c r="J255" s="8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s="8" t="s">
        <v>4</v>
      </c>
      <c r="E256" s="8" t="s">
        <v>531</v>
      </c>
      <c r="F256" s="8" t="s">
        <v>1099</v>
      </c>
      <c r="H256" s="8" t="s">
        <v>5138</v>
      </c>
      <c r="I256" s="8" t="s">
        <v>4753</v>
      </c>
      <c r="J256" s="8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s="8" t="s">
        <v>4</v>
      </c>
      <c r="E257" s="8" t="s">
        <v>9</v>
      </c>
      <c r="F257" s="8"/>
      <c r="H257" s="8" t="s">
        <v>2936</v>
      </c>
      <c r="I257" s="8" t="s">
        <v>4756</v>
      </c>
      <c r="J257" s="8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s="8" t="s">
        <v>1091</v>
      </c>
      <c r="E258" s="8" t="s">
        <v>1607</v>
      </c>
      <c r="F258" s="8" t="s">
        <v>58</v>
      </c>
      <c r="H258" s="8"/>
      <c r="I258" s="8" t="s">
        <v>4759</v>
      </c>
      <c r="J258" s="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s="8" t="s">
        <v>4</v>
      </c>
      <c r="E259" s="8" t="s">
        <v>9</v>
      </c>
      <c r="F259" s="8"/>
      <c r="H259" s="8" t="s">
        <v>2936</v>
      </c>
      <c r="I259" s="8" t="s">
        <v>4762</v>
      </c>
      <c r="J259" s="8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s="8" t="s">
        <v>1091</v>
      </c>
      <c r="E260" s="8" t="s">
        <v>1607</v>
      </c>
      <c r="F260" s="8" t="s">
        <v>58</v>
      </c>
      <c r="H260" s="8"/>
      <c r="I260" s="8" t="s">
        <v>4765</v>
      </c>
      <c r="J260" s="8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s="8" t="s">
        <v>4</v>
      </c>
      <c r="E261" s="8" t="s">
        <v>9</v>
      </c>
      <c r="F261" s="8"/>
      <c r="H261" s="8" t="s">
        <v>2936</v>
      </c>
      <c r="I261" s="8" t="s">
        <v>4768</v>
      </c>
      <c r="J261" s="8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s="8" t="s">
        <v>4</v>
      </c>
      <c r="E262" s="8" t="s">
        <v>9</v>
      </c>
      <c r="F262" s="8"/>
      <c r="H262" s="8" t="s">
        <v>2936</v>
      </c>
      <c r="I262" s="8" t="s">
        <v>4771</v>
      </c>
      <c r="J262" s="8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s="8" t="s">
        <v>4</v>
      </c>
      <c r="E263" s="8" t="s">
        <v>9</v>
      </c>
      <c r="F263" s="8"/>
      <c r="H263" s="8" t="s">
        <v>2936</v>
      </c>
      <c r="I263" s="8" t="s">
        <v>4774</v>
      </c>
      <c r="J263" s="8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s="8" t="s">
        <v>4</v>
      </c>
      <c r="E264" s="8" t="s">
        <v>9</v>
      </c>
      <c r="F264" s="8"/>
      <c r="H264" s="8" t="s">
        <v>2936</v>
      </c>
      <c r="I264" s="8" t="s">
        <v>4777</v>
      </c>
      <c r="J264" s="8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s="8" t="s">
        <v>4</v>
      </c>
      <c r="E265" s="8" t="s">
        <v>9</v>
      </c>
      <c r="F265" s="8"/>
      <c r="H265" s="8" t="s">
        <v>2936</v>
      </c>
      <c r="I265" s="8" t="s">
        <v>4780</v>
      </c>
      <c r="J265" s="8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s="8" t="s">
        <v>1091</v>
      </c>
      <c r="E266" s="8" t="s">
        <v>1607</v>
      </c>
      <c r="F266" s="8" t="s">
        <v>58</v>
      </c>
      <c r="H266" s="8"/>
      <c r="I266" s="8" t="s">
        <v>4783</v>
      </c>
      <c r="J266" s="8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s="8" t="s">
        <v>4</v>
      </c>
      <c r="E267" s="8" t="s">
        <v>9</v>
      </c>
      <c r="F267" s="8"/>
      <c r="H267" s="8" t="s">
        <v>2936</v>
      </c>
      <c r="I267" s="8" t="s">
        <v>4786</v>
      </c>
      <c r="J267" s="8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s="8" t="s">
        <v>1091</v>
      </c>
      <c r="E268" s="8" t="s">
        <v>1607</v>
      </c>
      <c r="F268" s="8" t="s">
        <v>58</v>
      </c>
      <c r="H268" s="8"/>
      <c r="I268" s="8" t="s">
        <v>4789</v>
      </c>
      <c r="J268" s="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s="8" t="s">
        <v>4</v>
      </c>
      <c r="E269" s="8" t="s">
        <v>9</v>
      </c>
      <c r="F269" s="8"/>
      <c r="H269" s="8" t="s">
        <v>2936</v>
      </c>
      <c r="I269" s="8" t="s">
        <v>4792</v>
      </c>
      <c r="J269" s="8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s="8" t="s">
        <v>4</v>
      </c>
      <c r="E270" s="8" t="s">
        <v>9</v>
      </c>
      <c r="F270" s="8"/>
      <c r="H270" s="8" t="s">
        <v>2936</v>
      </c>
      <c r="I270" s="8" t="s">
        <v>4795</v>
      </c>
      <c r="J270" s="8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s="8" t="s">
        <v>4</v>
      </c>
      <c r="E271" s="8" t="s">
        <v>9</v>
      </c>
      <c r="F271" s="8"/>
      <c r="H271" s="8" t="s">
        <v>2936</v>
      </c>
      <c r="I271" s="8" t="s">
        <v>4798</v>
      </c>
      <c r="J271" s="8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s="8" t="s">
        <v>4</v>
      </c>
      <c r="E272" s="8" t="s">
        <v>9</v>
      </c>
      <c r="F272" s="8"/>
      <c r="H272" s="8" t="s">
        <v>2936</v>
      </c>
      <c r="I272" s="8" t="s">
        <v>4801</v>
      </c>
      <c r="J272" s="8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s="8" t="s">
        <v>4</v>
      </c>
      <c r="E273" s="8" t="s">
        <v>9</v>
      </c>
      <c r="F273" s="8"/>
      <c r="H273" s="8" t="s">
        <v>2936</v>
      </c>
      <c r="I273" s="8" t="s">
        <v>4804</v>
      </c>
      <c r="J273" s="8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s="8" t="s">
        <v>4</v>
      </c>
      <c r="E274" s="8" t="s">
        <v>9</v>
      </c>
      <c r="F274" s="8"/>
      <c r="H274" s="8" t="s">
        <v>2936</v>
      </c>
      <c r="I274" s="8" t="s">
        <v>4807</v>
      </c>
      <c r="J274" s="8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s="8" t="s">
        <v>4</v>
      </c>
      <c r="E275" s="8" t="s">
        <v>9</v>
      </c>
      <c r="F275" s="8"/>
      <c r="H275" s="8" t="s">
        <v>2936</v>
      </c>
      <c r="I275" s="8" t="s">
        <v>4810</v>
      </c>
      <c r="J275" s="8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s="8" t="s">
        <v>4</v>
      </c>
      <c r="E276" s="8" t="s">
        <v>9</v>
      </c>
      <c r="F276" s="8"/>
      <c r="H276" s="8" t="s">
        <v>2936</v>
      </c>
      <c r="I276" s="8" t="s">
        <v>4813</v>
      </c>
      <c r="J276" s="8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s="8" t="s">
        <v>4</v>
      </c>
      <c r="E277" s="8" t="s">
        <v>9</v>
      </c>
      <c r="F277" s="8"/>
      <c r="H277" s="8" t="s">
        <v>2936</v>
      </c>
      <c r="I277" s="8" t="s">
        <v>4816</v>
      </c>
      <c r="J277" s="8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s="8" t="s">
        <v>4</v>
      </c>
      <c r="E278" s="8" t="s">
        <v>9</v>
      </c>
      <c r="F278" s="8"/>
      <c r="H278" s="8" t="s">
        <v>2936</v>
      </c>
      <c r="I278" s="8" t="s">
        <v>4819</v>
      </c>
      <c r="J278" s="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s="8" t="s">
        <v>4</v>
      </c>
      <c r="E279" s="8" t="s">
        <v>9</v>
      </c>
      <c r="F279" s="8"/>
      <c r="H279" s="8" t="s">
        <v>2936</v>
      </c>
      <c r="I279" s="8" t="s">
        <v>4822</v>
      </c>
      <c r="J279" s="8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s="8" t="s">
        <v>4</v>
      </c>
      <c r="E280" s="8" t="s">
        <v>9</v>
      </c>
      <c r="F280" s="8"/>
      <c r="H280" s="8" t="s">
        <v>2936</v>
      </c>
      <c r="I280" s="8" t="s">
        <v>4825</v>
      </c>
      <c r="J280" s="8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s="8" t="s">
        <v>4</v>
      </c>
      <c r="E281" s="8" t="s">
        <v>9</v>
      </c>
      <c r="F281" s="8"/>
      <c r="H281" s="8" t="s">
        <v>2936</v>
      </c>
      <c r="I281" s="8" t="s">
        <v>4828</v>
      </c>
      <c r="J281" s="8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s="8" t="s">
        <v>4</v>
      </c>
      <c r="E282" s="8" t="s">
        <v>9</v>
      </c>
      <c r="F282" s="8"/>
      <c r="H282" s="8"/>
      <c r="I282" s="8" t="s">
        <v>5232</v>
      </c>
      <c r="J282" s="8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s="8" t="s">
        <v>4</v>
      </c>
      <c r="E283" s="8" t="s">
        <v>9</v>
      </c>
      <c r="F283" s="8"/>
      <c r="H283" s="8" t="s">
        <v>5264</v>
      </c>
      <c r="I283" s="8" t="s">
        <v>5235</v>
      </c>
      <c r="J283" s="8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s="8" t="s">
        <v>2024</v>
      </c>
      <c r="E284" s="8" t="s">
        <v>1304</v>
      </c>
      <c r="F284" s="8"/>
      <c r="H284" s="8"/>
      <c r="I284" s="8" t="s">
        <v>5238</v>
      </c>
      <c r="J284" s="8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s="8" t="s">
        <v>2024</v>
      </c>
      <c r="E285" s="8" t="s">
        <v>1304</v>
      </c>
      <c r="F285" s="8"/>
      <c r="H285" s="8"/>
      <c r="I285" s="8" t="s">
        <v>5241</v>
      </c>
      <c r="J285" s="8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s="8" t="s">
        <v>4</v>
      </c>
      <c r="E286" s="8" t="s">
        <v>9</v>
      </c>
      <c r="F286" s="8"/>
      <c r="H286" s="8" t="s">
        <v>2936</v>
      </c>
      <c r="I286" s="8" t="s">
        <v>5244</v>
      </c>
      <c r="J286" s="8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s="8" t="s">
        <v>4</v>
      </c>
      <c r="E287" s="8" t="s">
        <v>9</v>
      </c>
      <c r="F287" s="8"/>
      <c r="H287" s="8" t="s">
        <v>2936</v>
      </c>
      <c r="I287" s="8" t="s">
        <v>5247</v>
      </c>
      <c r="J287" s="8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s="8" t="s">
        <v>4</v>
      </c>
      <c r="E288" s="8" t="s">
        <v>9</v>
      </c>
      <c r="F288" s="8"/>
      <c r="H288" s="8" t="s">
        <v>2936</v>
      </c>
      <c r="I288" s="8" t="s">
        <v>5250</v>
      </c>
      <c r="J288" s="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s="8" t="s">
        <v>4</v>
      </c>
      <c r="E289" s="8" t="s">
        <v>9</v>
      </c>
      <c r="F289" s="8"/>
      <c r="H289" s="8" t="s">
        <v>2936</v>
      </c>
      <c r="I289" s="8" t="s">
        <v>5253</v>
      </c>
      <c r="J289" s="8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s="8" t="s">
        <v>4</v>
      </c>
      <c r="E290" s="8" t="s">
        <v>9</v>
      </c>
      <c r="F290" s="8"/>
      <c r="H290" s="8" t="s">
        <v>2936</v>
      </c>
      <c r="I290" s="8" t="s">
        <v>5256</v>
      </c>
      <c r="J290" s="8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s="8" t="s">
        <v>4</v>
      </c>
      <c r="E291" s="8" t="s">
        <v>9</v>
      </c>
      <c r="F291" s="8"/>
      <c r="H291" s="8"/>
      <c r="I291" s="8" t="s">
        <v>5328</v>
      </c>
      <c r="J291" s="8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s="8" t="s">
        <v>4</v>
      </c>
      <c r="E292" s="8" t="s">
        <v>9</v>
      </c>
      <c r="F292" s="8"/>
      <c r="H292" s="8" t="s">
        <v>2936</v>
      </c>
      <c r="I292" s="8" t="s">
        <v>5331</v>
      </c>
      <c r="J292" s="8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s="8" t="s">
        <v>4</v>
      </c>
      <c r="E293" s="8" t="s">
        <v>9</v>
      </c>
      <c r="F293" s="8"/>
      <c r="H293" s="8" t="s">
        <v>2936</v>
      </c>
      <c r="I293" s="8" t="s">
        <v>5334</v>
      </c>
      <c r="J293" s="8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s="8" t="s">
        <v>5136</v>
      </c>
      <c r="E294" s="8"/>
      <c r="F294" s="8"/>
      <c r="H294" s="8"/>
      <c r="I294" s="8" t="s">
        <v>5337</v>
      </c>
      <c r="J294" s="8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s="8" t="s">
        <v>4</v>
      </c>
      <c r="E295" s="8" t="s">
        <v>53</v>
      </c>
      <c r="F295" s="8"/>
      <c r="H295" s="8"/>
      <c r="I295" s="8" t="s">
        <v>5340</v>
      </c>
      <c r="J295" s="8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s="8" t="s">
        <v>1091</v>
      </c>
      <c r="E296" s="8" t="s">
        <v>53</v>
      </c>
      <c r="F296" s="8"/>
      <c r="H296" s="8"/>
      <c r="I296" s="8" t="s">
        <v>5343</v>
      </c>
      <c r="J296" s="8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s="8" t="s">
        <v>1091</v>
      </c>
      <c r="E297" s="8" t="s">
        <v>58</v>
      </c>
      <c r="F297" s="8"/>
      <c r="H297" s="8"/>
      <c r="I297" s="8" t="s">
        <v>5346</v>
      </c>
      <c r="J297" s="8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s="8" t="s">
        <v>4</v>
      </c>
      <c r="E298" s="8" t="s">
        <v>9</v>
      </c>
      <c r="F298" s="8"/>
      <c r="H298" s="8" t="s">
        <v>2936</v>
      </c>
      <c r="I298" s="8" t="s">
        <v>5349</v>
      </c>
      <c r="J298" s="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s="8" t="s">
        <v>4</v>
      </c>
      <c r="E299" s="8" t="s">
        <v>9</v>
      </c>
      <c r="F299" s="8"/>
      <c r="H299" s="8" t="s">
        <v>2936</v>
      </c>
      <c r="I299" s="8" t="s">
        <v>5352</v>
      </c>
      <c r="J299" s="8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s="8" t="s">
        <v>4</v>
      </c>
      <c r="E300" s="8" t="s">
        <v>9</v>
      </c>
      <c r="F300" s="8"/>
      <c r="H300" s="8" t="s">
        <v>2936</v>
      </c>
      <c r="I300" s="8" t="s">
        <v>5355</v>
      </c>
      <c r="J300" s="8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s="8" t="s">
        <v>5476</v>
      </c>
      <c r="E301" s="8" t="s">
        <v>86</v>
      </c>
      <c r="F301" s="8" t="s">
        <v>58</v>
      </c>
      <c r="H301" s="8"/>
      <c r="I301" s="8" t="s">
        <v>5358</v>
      </c>
      <c r="J301" s="8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s="8" t="s">
        <v>5476</v>
      </c>
      <c r="E302" s="8" t="s">
        <v>86</v>
      </c>
      <c r="F302" s="8" t="s">
        <v>58</v>
      </c>
      <c r="H302" s="8"/>
      <c r="I302" s="8" t="s">
        <v>5361</v>
      </c>
      <c r="J302" s="8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s="8" t="s">
        <v>4</v>
      </c>
      <c r="E303" s="8" t="s">
        <v>5477</v>
      </c>
      <c r="F303" s="8"/>
      <c r="H303" s="8"/>
      <c r="I303" s="8" t="s">
        <v>5364</v>
      </c>
      <c r="J303" s="8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s="8" t="s">
        <v>4</v>
      </c>
      <c r="E304" s="8" t="s">
        <v>9</v>
      </c>
      <c r="F304" s="8"/>
      <c r="H304" s="8"/>
      <c r="I304" s="8" t="s">
        <v>5367</v>
      </c>
      <c r="J304" s="8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s="8" t="s">
        <v>4</v>
      </c>
      <c r="E305" s="8" t="s">
        <v>9</v>
      </c>
      <c r="F305" s="8"/>
      <c r="H305" s="8" t="s">
        <v>2936</v>
      </c>
      <c r="I305" s="8" t="s">
        <v>5370</v>
      </c>
      <c r="J305" s="8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s="8" t="s">
        <v>4</v>
      </c>
      <c r="E306" s="8" t="s">
        <v>9</v>
      </c>
      <c r="F306" s="8"/>
      <c r="H306" s="8" t="s">
        <v>2936</v>
      </c>
      <c r="I306" s="8" t="s">
        <v>5373</v>
      </c>
      <c r="J306" s="8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s="8" t="s">
        <v>5476</v>
      </c>
      <c r="E307" s="8" t="s">
        <v>86</v>
      </c>
      <c r="F307" s="8" t="s">
        <v>58</v>
      </c>
      <c r="H307" s="8"/>
      <c r="I307" s="8" t="s">
        <v>5376</v>
      </c>
      <c r="J307" s="8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s="8" t="s">
        <v>4</v>
      </c>
      <c r="E308" s="8" t="s">
        <v>9</v>
      </c>
      <c r="F308" s="8"/>
      <c r="H308" s="8"/>
      <c r="I308" s="8" t="s">
        <v>5379</v>
      </c>
      <c r="J308" s="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s="8" t="s">
        <v>4</v>
      </c>
      <c r="E309" s="8" t="s">
        <v>9</v>
      </c>
      <c r="F309" s="8"/>
      <c r="H309" s="8"/>
      <c r="I309" s="8" t="s">
        <v>5382</v>
      </c>
      <c r="J309" s="8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s="8" t="s">
        <v>4</v>
      </c>
      <c r="E310" s="8" t="s">
        <v>9</v>
      </c>
      <c r="F310" s="8"/>
      <c r="H310" s="8"/>
      <c r="I310" s="8" t="s">
        <v>5557</v>
      </c>
      <c r="J310" s="8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s="8" t="s">
        <v>4</v>
      </c>
      <c r="E311" s="8" t="s">
        <v>86</v>
      </c>
      <c r="F311" s="8" t="s">
        <v>528</v>
      </c>
      <c r="H311" s="8" t="s">
        <v>6177</v>
      </c>
      <c r="I311" s="8" t="s">
        <v>5560</v>
      </c>
      <c r="J311" s="8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s="8" t="s">
        <v>4</v>
      </c>
      <c r="E312" s="8" t="s">
        <v>9</v>
      </c>
      <c r="F312" s="8"/>
      <c r="H312" s="8" t="s">
        <v>2936</v>
      </c>
      <c r="I312" s="8" t="s">
        <v>5563</v>
      </c>
      <c r="J312" s="8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s="8" t="s">
        <v>4</v>
      </c>
      <c r="E313" s="8" t="s">
        <v>9</v>
      </c>
      <c r="F313" s="8"/>
      <c r="H313" s="8" t="s">
        <v>2936</v>
      </c>
      <c r="I313" s="8" t="s">
        <v>5566</v>
      </c>
      <c r="J313" s="8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s="8" t="s">
        <v>4</v>
      </c>
      <c r="E314" s="8" t="s">
        <v>9</v>
      </c>
      <c r="F314" s="8"/>
      <c r="H314" s="8" t="s">
        <v>2936</v>
      </c>
      <c r="I314" s="8" t="s">
        <v>5569</v>
      </c>
      <c r="J314" s="8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s="8" t="s">
        <v>4</v>
      </c>
      <c r="E315" s="8" t="s">
        <v>9</v>
      </c>
      <c r="F315" s="8"/>
      <c r="H315" s="8" t="s">
        <v>2936</v>
      </c>
      <c r="I315" s="8" t="s">
        <v>5572</v>
      </c>
      <c r="J315" s="8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s="8" t="s">
        <v>4</v>
      </c>
      <c r="E316" s="8" t="s">
        <v>9</v>
      </c>
      <c r="F316" s="8"/>
      <c r="H316" s="8" t="s">
        <v>2936</v>
      </c>
      <c r="I316" s="8" t="s">
        <v>5575</v>
      </c>
      <c r="J316" s="8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s="8" t="s">
        <v>4</v>
      </c>
      <c r="E317" s="8" t="s">
        <v>9</v>
      </c>
      <c r="F317" s="8"/>
      <c r="H317" s="8" t="s">
        <v>2936</v>
      </c>
      <c r="I317" s="8" t="s">
        <v>5578</v>
      </c>
      <c r="J317" s="8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s="8" t="s">
        <v>4</v>
      </c>
      <c r="E318" s="8" t="s">
        <v>9</v>
      </c>
      <c r="F318" s="8"/>
      <c r="H318" s="8" t="s">
        <v>2936</v>
      </c>
      <c r="I318" s="8" t="s">
        <v>5581</v>
      </c>
      <c r="J318" s="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s="8" t="s">
        <v>4</v>
      </c>
      <c r="E319" s="8" t="s">
        <v>9</v>
      </c>
      <c r="F319" s="8"/>
      <c r="H319" s="8" t="s">
        <v>2936</v>
      </c>
      <c r="I319" s="8" t="s">
        <v>5584</v>
      </c>
      <c r="J319" s="8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s="8" t="s">
        <v>4</v>
      </c>
      <c r="E320" s="8" t="s">
        <v>9</v>
      </c>
      <c r="F320" s="8"/>
      <c r="H320" s="8" t="s">
        <v>2936</v>
      </c>
      <c r="I320" s="8" t="s">
        <v>5587</v>
      </c>
      <c r="J320" s="8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s="8" t="s">
        <v>6178</v>
      </c>
      <c r="E321" s="8"/>
      <c r="F321" s="8"/>
      <c r="H321" s="8"/>
      <c r="I321" s="8" t="s">
        <v>5590</v>
      </c>
      <c r="J321" s="8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s="8" t="s">
        <v>1091</v>
      </c>
      <c r="E322" s="8" t="s">
        <v>531</v>
      </c>
      <c r="F322" s="8" t="s">
        <v>6179</v>
      </c>
      <c r="H322" s="8"/>
      <c r="I322" s="8" t="s">
        <v>5593</v>
      </c>
      <c r="J322" s="8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s="8" t="s">
        <v>4</v>
      </c>
      <c r="E323" s="8" t="s">
        <v>9</v>
      </c>
      <c r="F323" s="8"/>
      <c r="H323" s="8"/>
      <c r="I323" s="8" t="s">
        <v>5596</v>
      </c>
      <c r="J323" s="8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s="8" t="s">
        <v>4</v>
      </c>
      <c r="E324" s="8" t="s">
        <v>9</v>
      </c>
      <c r="F324" s="8"/>
      <c r="H324" s="8"/>
      <c r="I324" s="8" t="s">
        <v>5599</v>
      </c>
      <c r="J324" s="8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s="8" t="s">
        <v>4</v>
      </c>
      <c r="E325" s="8" t="s">
        <v>9</v>
      </c>
      <c r="F325" s="8"/>
      <c r="H325" s="8"/>
      <c r="I325" s="8" t="s">
        <v>5602</v>
      </c>
      <c r="J325" s="8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s="8" t="s">
        <v>4</v>
      </c>
      <c r="E326" s="8" t="s">
        <v>9</v>
      </c>
      <c r="F326" s="8"/>
      <c r="H326" s="8"/>
      <c r="I326" s="8" t="s">
        <v>5605</v>
      </c>
      <c r="J326" s="8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s="8" t="s">
        <v>6178</v>
      </c>
      <c r="E327" s="8"/>
      <c r="F327" s="8"/>
      <c r="H327" s="8"/>
      <c r="I327" s="8" t="s">
        <v>5608</v>
      </c>
      <c r="J327" s="8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s="8" t="s">
        <v>6180</v>
      </c>
      <c r="E328" s="8" t="s">
        <v>531</v>
      </c>
      <c r="F328" s="8" t="s">
        <v>6179</v>
      </c>
      <c r="H328" s="8"/>
      <c r="I328" s="8" t="s">
        <v>5611</v>
      </c>
      <c r="J328" s="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s="8" t="s">
        <v>4</v>
      </c>
      <c r="E329" s="8" t="s">
        <v>9</v>
      </c>
      <c r="F329" s="8"/>
      <c r="H329" s="8"/>
      <c r="I329" s="8" t="s">
        <v>5614</v>
      </c>
      <c r="J329" s="8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s="8" t="s">
        <v>4</v>
      </c>
      <c r="E330" s="8" t="s">
        <v>9</v>
      </c>
      <c r="F330" s="8"/>
      <c r="H330" s="8"/>
      <c r="I330" s="8" t="s">
        <v>5617</v>
      </c>
      <c r="J330" s="8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s="8" t="s">
        <v>4</v>
      </c>
      <c r="E331" s="8" t="s">
        <v>9</v>
      </c>
      <c r="F331" s="8"/>
      <c r="H331" s="8" t="s">
        <v>2936</v>
      </c>
      <c r="I331" s="8" t="s">
        <v>5620</v>
      </c>
      <c r="J331" s="8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s="8" t="s">
        <v>4</v>
      </c>
      <c r="E332" s="8" t="s">
        <v>9</v>
      </c>
      <c r="F332" s="8"/>
      <c r="H332" s="8" t="s">
        <v>2936</v>
      </c>
      <c r="I332" s="8" t="s">
        <v>5623</v>
      </c>
      <c r="J332" s="8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s="8" t="s">
        <v>4</v>
      </c>
      <c r="E333" s="8" t="s">
        <v>9</v>
      </c>
      <c r="F333" s="8"/>
      <c r="H333" s="8" t="s">
        <v>2936</v>
      </c>
      <c r="I333" s="8" t="s">
        <v>5626</v>
      </c>
      <c r="J333" s="8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s="8" t="s">
        <v>4</v>
      </c>
      <c r="E334" s="8" t="s">
        <v>9</v>
      </c>
      <c r="F334" s="8"/>
      <c r="H334" s="8" t="s">
        <v>2936</v>
      </c>
      <c r="I334" s="8" t="s">
        <v>5629</v>
      </c>
      <c r="J334" s="8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s="8" t="s">
        <v>4</v>
      </c>
      <c r="E335" s="8" t="s">
        <v>9</v>
      </c>
      <c r="F335" s="8"/>
      <c r="H335" s="8" t="s">
        <v>2936</v>
      </c>
      <c r="I335" s="8" t="s">
        <v>5933</v>
      </c>
      <c r="J335" s="8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s="8" t="s">
        <v>4</v>
      </c>
      <c r="E336" s="8" t="s">
        <v>9</v>
      </c>
      <c r="F336" s="8"/>
      <c r="H336" s="8" t="s">
        <v>2936</v>
      </c>
      <c r="I336" s="8" t="s">
        <v>5936</v>
      </c>
      <c r="J336" s="8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s="8" t="s">
        <v>4</v>
      </c>
      <c r="E337" s="8" t="s">
        <v>9</v>
      </c>
      <c r="F337" s="8"/>
      <c r="H337" s="8" t="s">
        <v>2936</v>
      </c>
      <c r="I337" s="8" t="s">
        <v>5939</v>
      </c>
      <c r="J337" s="8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s="8" t="s">
        <v>4</v>
      </c>
      <c r="E338" s="8" t="s">
        <v>9</v>
      </c>
      <c r="F338" s="8"/>
      <c r="H338" s="8" t="s">
        <v>2936</v>
      </c>
      <c r="I338" s="8" t="s">
        <v>5942</v>
      </c>
      <c r="J338" s="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s="8" t="s">
        <v>4</v>
      </c>
      <c r="E339" s="8" t="s">
        <v>9</v>
      </c>
      <c r="F339" s="8"/>
      <c r="H339" s="8" t="s">
        <v>2936</v>
      </c>
      <c r="I339" s="8" t="s">
        <v>5945</v>
      </c>
      <c r="J339" s="8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s="8" t="s">
        <v>4</v>
      </c>
      <c r="E340" s="8" t="s">
        <v>9</v>
      </c>
      <c r="F340" s="8"/>
      <c r="H340" s="8" t="s">
        <v>2936</v>
      </c>
      <c r="I340" s="8" t="s">
        <v>5948</v>
      </c>
      <c r="J340" s="8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s="8" t="s">
        <v>4</v>
      </c>
      <c r="E341" s="8" t="s">
        <v>9</v>
      </c>
      <c r="F341" s="8"/>
      <c r="H341" s="8" t="s">
        <v>2936</v>
      </c>
      <c r="I341" s="8" t="s">
        <v>5951</v>
      </c>
      <c r="J341" s="8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s="8" t="s">
        <v>4</v>
      </c>
      <c r="E342" s="8" t="s">
        <v>9</v>
      </c>
      <c r="F342" s="8"/>
      <c r="H342" s="8" t="s">
        <v>2936</v>
      </c>
      <c r="I342" s="8" t="s">
        <v>5954</v>
      </c>
      <c r="J342" s="8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s="8" t="s">
        <v>4</v>
      </c>
      <c r="E343" s="8" t="s">
        <v>9</v>
      </c>
      <c r="F343" s="8"/>
      <c r="H343" s="8" t="s">
        <v>2936</v>
      </c>
      <c r="I343" s="8" t="s">
        <v>5957</v>
      </c>
      <c r="J343" s="8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s="8" t="s">
        <v>1091</v>
      </c>
      <c r="E344" s="8" t="s">
        <v>58</v>
      </c>
      <c r="F344" s="8"/>
      <c r="H344" s="8"/>
      <c r="I344" s="8" t="s">
        <v>5960</v>
      </c>
      <c r="J344" s="8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s="8" t="s">
        <v>1091</v>
      </c>
      <c r="E345" s="8" t="s">
        <v>6181</v>
      </c>
      <c r="F345" s="8"/>
      <c r="H345" s="8"/>
      <c r="I345" s="8" t="s">
        <v>5963</v>
      </c>
      <c r="J345" s="8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s="8" t="s">
        <v>4</v>
      </c>
      <c r="E346" s="8" t="s">
        <v>9</v>
      </c>
      <c r="F346" s="8"/>
      <c r="H346" s="8"/>
      <c r="I346" s="8" t="s">
        <v>5966</v>
      </c>
      <c r="J346" s="8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s="8" t="s">
        <v>4</v>
      </c>
      <c r="E347" s="8" t="s">
        <v>9</v>
      </c>
      <c r="F347" s="8"/>
      <c r="H347" s="8" t="s">
        <v>2936</v>
      </c>
      <c r="I347" s="8" t="s">
        <v>5969</v>
      </c>
      <c r="J347" s="8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s="8" t="s">
        <v>4</v>
      </c>
      <c r="E348" s="8" t="s">
        <v>9</v>
      </c>
      <c r="F348" s="8"/>
      <c r="H348" s="8" t="s">
        <v>2936</v>
      </c>
      <c r="I348" s="8" t="s">
        <v>5972</v>
      </c>
      <c r="J348" s="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s="8" t="s">
        <v>4</v>
      </c>
      <c r="E349" s="8" t="s">
        <v>9</v>
      </c>
      <c r="F349" s="8"/>
      <c r="H349" s="8" t="s">
        <v>2936</v>
      </c>
      <c r="I349" s="8" t="s">
        <v>5975</v>
      </c>
      <c r="J349" s="8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s="8" t="s">
        <v>4</v>
      </c>
      <c r="E350" s="8" t="s">
        <v>9</v>
      </c>
      <c r="F350" s="8"/>
      <c r="H350" s="8" t="s">
        <v>2936</v>
      </c>
      <c r="I350" s="8" t="s">
        <v>5978</v>
      </c>
      <c r="J350" s="8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s="8" t="s">
        <v>4</v>
      </c>
      <c r="E351" s="8" t="s">
        <v>9</v>
      </c>
      <c r="F351" s="8"/>
      <c r="H351" s="8" t="s">
        <v>2936</v>
      </c>
      <c r="I351" s="8" t="s">
        <v>5981</v>
      </c>
      <c r="J351" s="8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s="8" t="s">
        <v>4</v>
      </c>
      <c r="E352" s="8" t="s">
        <v>9</v>
      </c>
      <c r="F352" s="8"/>
      <c r="H352" s="8" t="s">
        <v>2936</v>
      </c>
      <c r="I352" s="8" t="s">
        <v>5984</v>
      </c>
      <c r="J352" s="8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s="8" t="s">
        <v>4</v>
      </c>
      <c r="E353" s="8" t="s">
        <v>9</v>
      </c>
      <c r="F353" s="8"/>
      <c r="H353" s="8" t="s">
        <v>2936</v>
      </c>
      <c r="I353" s="8" t="s">
        <v>5987</v>
      </c>
      <c r="J353" s="8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s="8" t="s">
        <v>4</v>
      </c>
      <c r="E354" s="8" t="s">
        <v>9</v>
      </c>
      <c r="F354" s="8"/>
      <c r="H354" s="8" t="s">
        <v>2936</v>
      </c>
      <c r="I354" s="8" t="s">
        <v>6083</v>
      </c>
      <c r="J354" s="8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s="8" t="s">
        <v>4</v>
      </c>
      <c r="E355" s="8" t="s">
        <v>9</v>
      </c>
      <c r="F355" s="8"/>
      <c r="H355" s="8" t="s">
        <v>2936</v>
      </c>
      <c r="I355" s="8" t="s">
        <v>6086</v>
      </c>
      <c r="J355" s="8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s="8" t="s">
        <v>4</v>
      </c>
      <c r="E356" s="8" t="s">
        <v>9</v>
      </c>
      <c r="F356" s="8"/>
      <c r="H356" s="8" t="s">
        <v>2936</v>
      </c>
      <c r="I356" s="8" t="s">
        <v>6089</v>
      </c>
      <c r="J356" s="8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s="8" t="s">
        <v>4</v>
      </c>
      <c r="E357" s="8" t="s">
        <v>9</v>
      </c>
      <c r="F357" s="8"/>
      <c r="H357" s="8"/>
      <c r="I357" s="8" t="s">
        <v>6092</v>
      </c>
      <c r="J357" s="8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s="8" t="s">
        <v>4</v>
      </c>
      <c r="E358" s="8" t="s">
        <v>9</v>
      </c>
      <c r="F358" s="8"/>
      <c r="H358" s="8"/>
      <c r="I358" s="8" t="s">
        <v>6213</v>
      </c>
      <c r="J358" s="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s="8" t="s">
        <v>2024</v>
      </c>
      <c r="E359" s="8" t="s">
        <v>1304</v>
      </c>
      <c r="F359" s="8"/>
      <c r="H359" s="8"/>
      <c r="I359" s="8" t="s">
        <v>6216</v>
      </c>
      <c r="J359" s="8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s="8" t="s">
        <v>4</v>
      </c>
      <c r="E360" s="8" t="s">
        <v>9</v>
      </c>
      <c r="F360" s="8"/>
      <c r="H360" s="8"/>
      <c r="I360" s="8" t="s">
        <v>6219</v>
      </c>
      <c r="J360" s="8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s="8" t="s">
        <v>2024</v>
      </c>
      <c r="E361" s="8" t="s">
        <v>1304</v>
      </c>
      <c r="F361" s="8"/>
      <c r="H361" s="8"/>
      <c r="I361" s="8" t="s">
        <v>6222</v>
      </c>
      <c r="J361" s="8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s="8" t="s">
        <v>2024</v>
      </c>
      <c r="E362" s="8" t="s">
        <v>1304</v>
      </c>
      <c r="F362" s="8"/>
      <c r="H362" s="8" t="s">
        <v>2936</v>
      </c>
      <c r="I362" s="8" t="s">
        <v>6225</v>
      </c>
      <c r="J362" s="8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s="8" t="s">
        <v>2024</v>
      </c>
      <c r="E363" s="8" t="s">
        <v>1304</v>
      </c>
      <c r="F363" s="8"/>
      <c r="H363" s="8" t="s">
        <v>2936</v>
      </c>
      <c r="I363" s="8" t="s">
        <v>6228</v>
      </c>
      <c r="J363" s="8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s="8" t="s">
        <v>4</v>
      </c>
      <c r="E364" s="8" t="s">
        <v>9</v>
      </c>
      <c r="F364" s="8"/>
      <c r="H364" s="8" t="s">
        <v>2936</v>
      </c>
      <c r="I364" s="8" t="s">
        <v>6231</v>
      </c>
      <c r="J364" s="8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s="8" t="s">
        <v>2024</v>
      </c>
      <c r="E365" s="8" t="s">
        <v>1304</v>
      </c>
      <c r="F365" s="8"/>
      <c r="H365" s="8" t="s">
        <v>2936</v>
      </c>
      <c r="I365" s="8" t="s">
        <v>6234</v>
      </c>
      <c r="J365" s="8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s="8" t="s">
        <v>2024</v>
      </c>
      <c r="E366" s="8" t="s">
        <v>1304</v>
      </c>
      <c r="F366" s="8"/>
      <c r="H366" s="8" t="s">
        <v>2936</v>
      </c>
      <c r="I366" s="8" t="s">
        <v>6237</v>
      </c>
      <c r="J366" s="8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s="8" t="s">
        <v>2024</v>
      </c>
      <c r="E367" s="8" t="s">
        <v>1304</v>
      </c>
      <c r="F367" s="8"/>
      <c r="H367" s="8" t="s">
        <v>2936</v>
      </c>
      <c r="I367" s="8" t="s">
        <v>6240</v>
      </c>
      <c r="J367" s="8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s="8" t="s">
        <v>2024</v>
      </c>
      <c r="E368" s="8" t="s">
        <v>1304</v>
      </c>
      <c r="F368" s="8"/>
      <c r="H368" s="8" t="s">
        <v>2936</v>
      </c>
      <c r="I368" s="8" t="s">
        <v>6243</v>
      </c>
      <c r="J368" s="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s="8" t="s">
        <v>2024</v>
      </c>
      <c r="E369" s="8" t="s">
        <v>1304</v>
      </c>
      <c r="F369" s="8"/>
      <c r="H369" s="8" t="s">
        <v>2936</v>
      </c>
      <c r="I369" s="8" t="s">
        <v>6246</v>
      </c>
      <c r="J369" s="8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s="8" t="s">
        <v>4</v>
      </c>
      <c r="E370" s="8" t="s">
        <v>9</v>
      </c>
      <c r="F370" s="8"/>
      <c r="H370" s="8"/>
      <c r="I370" s="8" t="s">
        <v>6352</v>
      </c>
      <c r="J370" s="8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s="8" t="s">
        <v>4</v>
      </c>
      <c r="E371" s="8" t="s">
        <v>9</v>
      </c>
      <c r="F371" s="8"/>
      <c r="H371" s="8" t="s">
        <v>2936</v>
      </c>
      <c r="I371" s="8" t="s">
        <v>6355</v>
      </c>
      <c r="J371" s="8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s="8" t="s">
        <v>4</v>
      </c>
      <c r="E372" s="8" t="s">
        <v>9</v>
      </c>
      <c r="F372" s="8"/>
      <c r="H372" s="8" t="s">
        <v>2936</v>
      </c>
      <c r="I372" s="8" t="s">
        <v>6358</v>
      </c>
      <c r="J372" s="8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s="8" t="s">
        <v>1091</v>
      </c>
      <c r="E373" s="8" t="s">
        <v>58</v>
      </c>
      <c r="F373" s="8"/>
      <c r="H373" s="8"/>
      <c r="I373" s="8" t="s">
        <v>6361</v>
      </c>
      <c r="J373" s="8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s="8" t="s">
        <v>4</v>
      </c>
      <c r="E374" s="8" t="s">
        <v>9</v>
      </c>
      <c r="F374" s="8"/>
      <c r="H374" s="8" t="s">
        <v>2936</v>
      </c>
      <c r="I374" s="8" t="s">
        <v>6364</v>
      </c>
      <c r="J374" s="8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s="8" t="s">
        <v>1091</v>
      </c>
      <c r="E375" s="8" t="s">
        <v>58</v>
      </c>
      <c r="F375" s="8"/>
      <c r="H375" s="8"/>
      <c r="I375" s="8" t="s">
        <v>6367</v>
      </c>
      <c r="J375" s="8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s="8" t="s">
        <v>1091</v>
      </c>
      <c r="E376" s="8" t="s">
        <v>58</v>
      </c>
      <c r="F376" s="8"/>
      <c r="H376" s="8"/>
      <c r="I376" s="8" t="s">
        <v>6370</v>
      </c>
      <c r="J376" s="8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s="8" t="s">
        <v>4</v>
      </c>
      <c r="E377" s="8" t="s">
        <v>9</v>
      </c>
      <c r="F377" s="8"/>
      <c r="H377" s="8"/>
      <c r="I377" s="8" t="s">
        <v>6373</v>
      </c>
      <c r="J377" s="8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s="8" t="s">
        <v>1091</v>
      </c>
      <c r="E378" s="8" t="s">
        <v>53</v>
      </c>
      <c r="F378" s="8"/>
      <c r="H378" s="8"/>
      <c r="I378" s="8" t="s">
        <v>6376</v>
      </c>
      <c r="J378" s="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s="8" t="s">
        <v>4</v>
      </c>
      <c r="E379" s="8" t="s">
        <v>9</v>
      </c>
      <c r="F379" s="8"/>
      <c r="H379" s="8"/>
      <c r="I379" s="8" t="s">
        <v>6379</v>
      </c>
      <c r="J379" s="8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s="8" t="s">
        <v>4</v>
      </c>
      <c r="E380" s="8" t="s">
        <v>9</v>
      </c>
      <c r="F380" s="8"/>
      <c r="H380" s="8" t="s">
        <v>2936</v>
      </c>
      <c r="I380" s="8" t="s">
        <v>6382</v>
      </c>
      <c r="J380" s="8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s="8" t="s">
        <v>4</v>
      </c>
      <c r="E381" s="8" t="s">
        <v>9</v>
      </c>
      <c r="F381" s="8"/>
      <c r="H381" s="8" t="s">
        <v>2936</v>
      </c>
      <c r="I381" s="8" t="s">
        <v>6385</v>
      </c>
      <c r="J381" s="8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s="8" t="s">
        <v>4</v>
      </c>
      <c r="E382" s="8" t="s">
        <v>9</v>
      </c>
      <c r="F382" s="8"/>
      <c r="H382" s="8" t="s">
        <v>2936</v>
      </c>
      <c r="I382" s="8" t="s">
        <v>6388</v>
      </c>
      <c r="J382" s="8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s="8" t="s">
        <v>4</v>
      </c>
      <c r="E383" s="8" t="s">
        <v>9</v>
      </c>
      <c r="F383" s="8"/>
      <c r="H383" s="8"/>
      <c r="I383" s="8" t="s">
        <v>6584</v>
      </c>
      <c r="J383" s="8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s="8" t="s">
        <v>4</v>
      </c>
      <c r="E384" s="8" t="s">
        <v>9</v>
      </c>
      <c r="F384" s="8"/>
      <c r="H384" s="8" t="s">
        <v>2936</v>
      </c>
      <c r="I384" s="8" t="s">
        <v>6587</v>
      </c>
      <c r="J384" s="8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s="8" t="s">
        <v>4</v>
      </c>
      <c r="E385" s="8" t="s">
        <v>9</v>
      </c>
      <c r="F385" s="8"/>
      <c r="H385" s="8" t="s">
        <v>2936</v>
      </c>
      <c r="I385" s="8" t="s">
        <v>6590</v>
      </c>
      <c r="J385" s="8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s="8" t="s">
        <v>4</v>
      </c>
      <c r="E386" s="8" t="s">
        <v>9</v>
      </c>
      <c r="F386" s="8"/>
      <c r="H386" s="8" t="s">
        <v>2936</v>
      </c>
      <c r="I386" s="8" t="s">
        <v>6593</v>
      </c>
      <c r="J386" s="8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s="8" t="s">
        <v>4</v>
      </c>
      <c r="E387" s="8" t="s">
        <v>9</v>
      </c>
      <c r="F387" s="8"/>
      <c r="H387" s="8" t="s">
        <v>2936</v>
      </c>
      <c r="I387" s="8" t="s">
        <v>6596</v>
      </c>
      <c r="J387" s="8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s="8" t="s">
        <v>4</v>
      </c>
      <c r="E388" s="8" t="s">
        <v>9</v>
      </c>
      <c r="F388" s="8"/>
      <c r="H388" s="8" t="s">
        <v>2936</v>
      </c>
      <c r="I388" s="8" t="s">
        <v>6599</v>
      </c>
      <c r="J388" s="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s="8" t="s">
        <v>4</v>
      </c>
      <c r="E389" s="8" t="s">
        <v>9</v>
      </c>
      <c r="F389" s="8"/>
      <c r="H389" s="8"/>
      <c r="I389" s="8" t="s">
        <v>6602</v>
      </c>
      <c r="J389" s="8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s="8" t="s">
        <v>4</v>
      </c>
      <c r="E390" s="8" t="s">
        <v>9</v>
      </c>
      <c r="F390" s="8"/>
      <c r="H390" s="8"/>
      <c r="I390" s="8" t="s">
        <v>6605</v>
      </c>
      <c r="J390" s="8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s="8" t="s">
        <v>4</v>
      </c>
      <c r="E391" s="8" t="s">
        <v>9</v>
      </c>
      <c r="F391" s="8"/>
      <c r="H391" s="8"/>
      <c r="I391" s="8" t="s">
        <v>6724</v>
      </c>
      <c r="J391" s="8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s="8" t="s">
        <v>4</v>
      </c>
      <c r="E392" s="8" t="s">
        <v>6869</v>
      </c>
      <c r="F392" s="8"/>
      <c r="H392" s="8"/>
      <c r="I392" s="8" t="s">
        <v>6727</v>
      </c>
      <c r="J392" s="8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s="8" t="s">
        <v>1091</v>
      </c>
      <c r="E393" s="8" t="s">
        <v>58</v>
      </c>
      <c r="F393" s="8"/>
      <c r="H393" s="8"/>
      <c r="I393" s="8" t="s">
        <v>6730</v>
      </c>
      <c r="J393" s="8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s="8" t="s">
        <v>4</v>
      </c>
      <c r="E394" s="8" t="s">
        <v>9</v>
      </c>
      <c r="F394" s="8"/>
      <c r="H394" s="8" t="s">
        <v>2936</v>
      </c>
      <c r="I394" s="8" t="s">
        <v>6733</v>
      </c>
      <c r="J394" s="8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s="8" t="s">
        <v>1091</v>
      </c>
      <c r="E395" s="8" t="s">
        <v>58</v>
      </c>
      <c r="F395" s="8"/>
      <c r="H395" s="8"/>
      <c r="I395" s="8" t="s">
        <v>6736</v>
      </c>
      <c r="J395" s="8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s="8" t="s">
        <v>4</v>
      </c>
      <c r="E396" s="8" t="s">
        <v>9</v>
      </c>
      <c r="F396" s="8"/>
      <c r="H396" s="8" t="s">
        <v>2936</v>
      </c>
      <c r="I396" s="8" t="s">
        <v>6739</v>
      </c>
      <c r="J396" s="8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s="8" t="s">
        <v>1091</v>
      </c>
      <c r="E397" s="8" t="s">
        <v>53</v>
      </c>
      <c r="F397" s="8"/>
      <c r="H397" s="8"/>
      <c r="I397" s="8" t="s">
        <v>6742</v>
      </c>
      <c r="J397" s="8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s="8" t="s">
        <v>1091</v>
      </c>
      <c r="E398" s="8" t="s">
        <v>58</v>
      </c>
      <c r="F398" s="8"/>
      <c r="H398" s="8"/>
      <c r="I398" s="8" t="s">
        <v>6745</v>
      </c>
      <c r="J398" s="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s="8" t="s">
        <v>4</v>
      </c>
      <c r="E399" s="8" t="s">
        <v>9</v>
      </c>
      <c r="F399" s="8"/>
      <c r="H399" s="8" t="s">
        <v>2936</v>
      </c>
      <c r="I399" s="8" t="s">
        <v>6748</v>
      </c>
      <c r="J399" s="8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s="8" t="s">
        <v>4</v>
      </c>
      <c r="E400" s="8" t="s">
        <v>9</v>
      </c>
      <c r="F400" s="8"/>
      <c r="H400" s="8" t="s">
        <v>2936</v>
      </c>
      <c r="I400" s="8" t="s">
        <v>6751</v>
      </c>
      <c r="J400" s="8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s="8" t="s">
        <v>4</v>
      </c>
      <c r="E401" s="8" t="s">
        <v>9</v>
      </c>
      <c r="F401" s="8"/>
      <c r="H401" s="8" t="s">
        <v>2936</v>
      </c>
      <c r="I401" s="8" t="s">
        <v>6754</v>
      </c>
      <c r="J401" s="8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s="8" t="s">
        <v>1091</v>
      </c>
      <c r="E402" s="8" t="s">
        <v>53</v>
      </c>
      <c r="F402" s="8"/>
      <c r="H402" s="8"/>
      <c r="I402" s="8" t="s">
        <v>6757</v>
      </c>
      <c r="J402" s="8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s="8" t="s">
        <v>4</v>
      </c>
      <c r="E403" s="8" t="s">
        <v>6870</v>
      </c>
      <c r="F403" s="8"/>
      <c r="H403" s="8"/>
      <c r="I403" s="8" t="s">
        <v>6760</v>
      </c>
      <c r="J403" s="8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s="8" t="s">
        <v>1091</v>
      </c>
      <c r="E404" s="8" t="s">
        <v>53</v>
      </c>
      <c r="F404" s="8"/>
      <c r="H404" s="8"/>
      <c r="I404" s="8" t="s">
        <v>6763</v>
      </c>
      <c r="J404" s="8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s="8" t="s">
        <v>4</v>
      </c>
      <c r="E405" s="8" t="s">
        <v>9</v>
      </c>
      <c r="F405" s="8"/>
      <c r="H405" s="8"/>
      <c r="I405" s="8" t="s">
        <v>6766</v>
      </c>
      <c r="J405" s="8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s="8" t="s">
        <v>1091</v>
      </c>
      <c r="E406" s="8" t="s">
        <v>58</v>
      </c>
      <c r="F406" s="8"/>
      <c r="H406" s="8"/>
      <c r="I406" s="8" t="s">
        <v>6769</v>
      </c>
      <c r="J406" s="8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s="8" t="s">
        <v>1091</v>
      </c>
      <c r="E407" s="8" t="s">
        <v>58</v>
      </c>
      <c r="F407" s="8"/>
      <c r="H407" s="8"/>
      <c r="I407" s="8" t="s">
        <v>6772</v>
      </c>
      <c r="J407" s="8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s="8" t="s">
        <v>1091</v>
      </c>
      <c r="E408" s="8" t="s">
        <v>58</v>
      </c>
      <c r="F408" s="8"/>
      <c r="H408" s="8"/>
      <c r="I408" s="8" t="s">
        <v>6775</v>
      </c>
      <c r="J408" s="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s="8" t="s">
        <v>4</v>
      </c>
      <c r="E409" s="8" t="s">
        <v>9</v>
      </c>
      <c r="F409" s="8"/>
      <c r="H409" s="8" t="s">
        <v>2936</v>
      </c>
      <c r="I409" s="8" t="s">
        <v>6778</v>
      </c>
      <c r="J409" s="8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s="8" t="s">
        <v>4</v>
      </c>
      <c r="E410" s="8" t="s">
        <v>9</v>
      </c>
      <c r="F410" s="8"/>
      <c r="H410" s="8"/>
      <c r="I410" s="8" t="s">
        <v>6947</v>
      </c>
      <c r="J410" s="8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s="8" t="s">
        <v>4</v>
      </c>
      <c r="E411" s="8" t="s">
        <v>9</v>
      </c>
      <c r="F411" s="8"/>
      <c r="H411" s="8" t="s">
        <v>2936</v>
      </c>
      <c r="I411" s="8" t="s">
        <v>6950</v>
      </c>
      <c r="J411" s="8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s="8" t="s">
        <v>1091</v>
      </c>
      <c r="E412" s="8" t="s">
        <v>58</v>
      </c>
      <c r="F412" s="8"/>
      <c r="H412" s="8"/>
      <c r="I412" s="8" t="s">
        <v>6953</v>
      </c>
      <c r="J412" s="8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s="8" t="s">
        <v>1091</v>
      </c>
      <c r="E413" s="8" t="s">
        <v>58</v>
      </c>
      <c r="F413" s="8"/>
      <c r="H413" s="8"/>
      <c r="I413" s="8" t="s">
        <v>6956</v>
      </c>
      <c r="J413" s="8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s="8" t="s">
        <v>1091</v>
      </c>
      <c r="E414" s="8" t="s">
        <v>58</v>
      </c>
      <c r="F414" s="8"/>
      <c r="H414" s="8"/>
      <c r="I414" s="8" t="s">
        <v>6959</v>
      </c>
      <c r="J414" s="8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s="8" t="s">
        <v>1091</v>
      </c>
      <c r="E415" s="8" t="s">
        <v>58</v>
      </c>
      <c r="F415" s="8"/>
      <c r="H415" s="8"/>
      <c r="I415" s="8" t="s">
        <v>6962</v>
      </c>
      <c r="J415" s="8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s="8" t="s">
        <v>4</v>
      </c>
      <c r="E416" s="8" t="s">
        <v>9</v>
      </c>
      <c r="F416" s="8"/>
      <c r="H416" s="8" t="s">
        <v>2936</v>
      </c>
      <c r="I416" s="8" t="s">
        <v>6965</v>
      </c>
      <c r="J416" s="8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s="8" t="s">
        <v>4</v>
      </c>
      <c r="E417" s="8" t="s">
        <v>9</v>
      </c>
      <c r="F417" s="8"/>
      <c r="H417" s="8" t="s">
        <v>2936</v>
      </c>
      <c r="I417" s="8" t="s">
        <v>6968</v>
      </c>
      <c r="J417" s="8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s="8" t="s">
        <v>4</v>
      </c>
      <c r="E418" s="8" t="s">
        <v>9</v>
      </c>
      <c r="F418" s="8"/>
      <c r="H418" s="8" t="s">
        <v>2936</v>
      </c>
      <c r="I418" s="8" t="s">
        <v>6971</v>
      </c>
      <c r="J418" s="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s="8" t="s">
        <v>4221</v>
      </c>
      <c r="E419" s="8" t="s">
        <v>5480</v>
      </c>
      <c r="F419" s="8" t="s">
        <v>6188</v>
      </c>
      <c r="H419" s="8"/>
      <c r="I419" s="8" t="s">
        <v>6974</v>
      </c>
      <c r="J419" s="8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s="8" t="s">
        <v>4221</v>
      </c>
      <c r="E420" s="8" t="s">
        <v>5480</v>
      </c>
      <c r="F420" s="8" t="s">
        <v>6188</v>
      </c>
      <c r="H420" s="8"/>
      <c r="I420" s="8" t="s">
        <v>6977</v>
      </c>
      <c r="J420" s="8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s="8" t="s">
        <v>4221</v>
      </c>
      <c r="E421" s="8" t="s">
        <v>5480</v>
      </c>
      <c r="F421" s="8" t="s">
        <v>6188</v>
      </c>
      <c r="H421" s="8"/>
      <c r="I421" s="8" t="s">
        <v>6980</v>
      </c>
      <c r="J421" s="8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s="8" t="s">
        <v>4</v>
      </c>
      <c r="E422" s="8" t="s">
        <v>9</v>
      </c>
      <c r="F422" s="8"/>
      <c r="H422" s="8"/>
      <c r="I422" s="8" t="s">
        <v>6983</v>
      </c>
      <c r="J422" s="8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s="8" t="s">
        <v>1091</v>
      </c>
      <c r="E423" s="8" t="s">
        <v>58</v>
      </c>
      <c r="F423" s="8"/>
      <c r="H423" s="8"/>
      <c r="I423" s="8" t="s">
        <v>6986</v>
      </c>
      <c r="J423" s="8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s="8" t="s">
        <v>4</v>
      </c>
      <c r="E424" s="8" t="s">
        <v>9</v>
      </c>
      <c r="F424" s="8"/>
      <c r="H424" s="8"/>
      <c r="I424" s="8" t="s">
        <v>6989</v>
      </c>
      <c r="J424" s="8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s="8" t="s">
        <v>4</v>
      </c>
      <c r="E425" s="8" t="s">
        <v>9</v>
      </c>
      <c r="F425" s="8"/>
      <c r="H425" s="8" t="s">
        <v>2936</v>
      </c>
      <c r="I425" s="8" t="s">
        <v>6992</v>
      </c>
      <c r="J425" s="8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s="8" t="s">
        <v>4</v>
      </c>
      <c r="E426" s="8" t="s">
        <v>9</v>
      </c>
      <c r="F426" s="8"/>
      <c r="H426" s="8" t="s">
        <v>2936</v>
      </c>
      <c r="I426" s="8" t="s">
        <v>6995</v>
      </c>
      <c r="J426" s="8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s="8" t="s">
        <v>4</v>
      </c>
      <c r="E427" s="8" t="s">
        <v>9</v>
      </c>
      <c r="F427" s="8"/>
      <c r="H427" s="8" t="s">
        <v>2936</v>
      </c>
      <c r="I427" s="8" t="s">
        <v>6998</v>
      </c>
      <c r="J427" s="8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s="8" t="s">
        <v>4</v>
      </c>
      <c r="E428" s="8" t="s">
        <v>9</v>
      </c>
      <c r="F428" s="8"/>
      <c r="H428" s="8" t="s">
        <v>2936</v>
      </c>
      <c r="I428" s="8" t="s">
        <v>7001</v>
      </c>
      <c r="J428" s="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s="8" t="s">
        <v>4</v>
      </c>
      <c r="E429" s="8" t="s">
        <v>9</v>
      </c>
      <c r="F429" s="8"/>
      <c r="H429" s="8" t="s">
        <v>2936</v>
      </c>
      <c r="I429" s="8" t="s">
        <v>7004</v>
      </c>
      <c r="J429" s="8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s="8" t="s">
        <v>4</v>
      </c>
      <c r="E430" s="8" t="s">
        <v>9</v>
      </c>
      <c r="F430" s="8"/>
      <c r="H430" s="8" t="s">
        <v>2936</v>
      </c>
      <c r="I430" s="8" t="s">
        <v>7007</v>
      </c>
      <c r="J430" s="8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s="8" t="s">
        <v>4</v>
      </c>
      <c r="E431" s="8" t="s">
        <v>1607</v>
      </c>
      <c r="F431" s="8" t="s">
        <v>7168</v>
      </c>
      <c r="H431" s="8"/>
      <c r="I431" s="8" t="s">
        <v>7010</v>
      </c>
      <c r="J431" s="8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s="8" t="s">
        <v>4</v>
      </c>
      <c r="E432" s="8" t="s">
        <v>1607</v>
      </c>
      <c r="F432" s="8" t="s">
        <v>3076</v>
      </c>
      <c r="H432" s="8"/>
      <c r="I432" s="8" t="s">
        <v>7013</v>
      </c>
      <c r="J432" s="8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s="8" t="s">
        <v>4</v>
      </c>
      <c r="E433" s="8" t="s">
        <v>9</v>
      </c>
      <c r="F433" s="8"/>
      <c r="H433" s="8"/>
      <c r="I433" s="8" t="s">
        <v>7016</v>
      </c>
      <c r="J433" s="8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s="8" t="s">
        <v>2004</v>
      </c>
      <c r="E434" s="8" t="s">
        <v>9</v>
      </c>
      <c r="F434" s="8"/>
      <c r="H434" s="8"/>
      <c r="I434" s="8" t="s">
        <v>7019</v>
      </c>
      <c r="J434" s="8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s="8" t="s">
        <v>2004</v>
      </c>
      <c r="E435" s="8" t="s">
        <v>9</v>
      </c>
      <c r="F435" s="8"/>
      <c r="H435" s="8"/>
      <c r="I435" s="8" t="s">
        <v>7022</v>
      </c>
      <c r="J435" s="8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s="8" t="s">
        <v>4</v>
      </c>
      <c r="E436" s="8" t="s">
        <v>9</v>
      </c>
      <c r="F436" s="8"/>
      <c r="H436" s="8"/>
      <c r="I436" s="8" t="s">
        <v>7193</v>
      </c>
      <c r="J436" s="8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s="8" t="s">
        <v>4</v>
      </c>
      <c r="E437" s="8" t="s">
        <v>7217</v>
      </c>
      <c r="F437" s="8"/>
      <c r="H437" s="8"/>
      <c r="I437" s="8" t="s">
        <v>7196</v>
      </c>
      <c r="J437" s="8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s="8" t="s">
        <v>4</v>
      </c>
      <c r="E438" s="8" t="s">
        <v>7217</v>
      </c>
      <c r="F438" s="8"/>
      <c r="H438" s="8" t="s">
        <v>2936</v>
      </c>
      <c r="I438" s="8" t="s">
        <v>7199</v>
      </c>
      <c r="J438" s="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s="8" t="s">
        <v>4</v>
      </c>
      <c r="E439" s="8" t="s">
        <v>9</v>
      </c>
      <c r="F439" s="8"/>
      <c r="H439" s="8"/>
      <c r="I439" s="8" t="s">
        <v>7269</v>
      </c>
      <c r="J439" s="8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s="8" t="s">
        <v>4</v>
      </c>
      <c r="E440" s="8" t="s">
        <v>7217</v>
      </c>
      <c r="F440" s="8"/>
      <c r="H440" s="8"/>
      <c r="I440" s="8" t="s">
        <v>7272</v>
      </c>
      <c r="J440" s="8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s="8" t="s">
        <v>4</v>
      </c>
      <c r="E441" s="8" t="s">
        <v>9</v>
      </c>
      <c r="F441" s="8"/>
      <c r="H441" s="8"/>
      <c r="I441" s="8" t="s">
        <v>7275</v>
      </c>
      <c r="J441" s="8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s="8" t="s">
        <v>4</v>
      </c>
      <c r="E442" s="8" t="s">
        <v>9</v>
      </c>
      <c r="F442" s="8"/>
      <c r="H442" s="8" t="s">
        <v>2936</v>
      </c>
      <c r="I442" s="8" t="s">
        <v>7278</v>
      </c>
      <c r="J442" s="8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s="8" t="s">
        <v>4</v>
      </c>
      <c r="E443" s="8" t="s">
        <v>9</v>
      </c>
      <c r="F443" s="8"/>
      <c r="H443" s="8" t="s">
        <v>2936</v>
      </c>
      <c r="I443" s="8" t="s">
        <v>7281</v>
      </c>
      <c r="J443" s="8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s="8" t="s">
        <v>4</v>
      </c>
      <c r="E444" s="8" t="s">
        <v>7217</v>
      </c>
      <c r="F444" s="8"/>
      <c r="H444" s="8"/>
      <c r="I444" s="8" t="s">
        <v>7284</v>
      </c>
      <c r="J444" s="8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s="8" t="s">
        <v>4</v>
      </c>
      <c r="E445" s="8" t="s">
        <v>9</v>
      </c>
      <c r="F445" s="8"/>
      <c r="H445" s="8" t="s">
        <v>2936</v>
      </c>
      <c r="I445" s="8" t="s">
        <v>7287</v>
      </c>
      <c r="J445" s="8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s="8" t="s">
        <v>4</v>
      </c>
      <c r="E446" s="8" t="s">
        <v>9</v>
      </c>
      <c r="F446" s="8"/>
      <c r="H446" s="8" t="s">
        <v>2936</v>
      </c>
      <c r="I446" s="8" t="s">
        <v>7290</v>
      </c>
      <c r="J446" s="8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s="8" t="s">
        <v>4</v>
      </c>
      <c r="E447" s="8" t="s">
        <v>9</v>
      </c>
      <c r="F447" s="8"/>
      <c r="H447" s="8" t="s">
        <v>2936</v>
      </c>
      <c r="I447" s="8" t="s">
        <v>7293</v>
      </c>
      <c r="J447" s="8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s="8" t="s">
        <v>4</v>
      </c>
      <c r="E448" s="8" t="s">
        <v>86</v>
      </c>
      <c r="F448" s="8"/>
      <c r="H448" s="8" t="s">
        <v>7710</v>
      </c>
      <c r="I448" s="8" t="s">
        <v>7296</v>
      </c>
      <c r="J448" s="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s="8" t="s">
        <v>4</v>
      </c>
      <c r="E449" s="8" t="s">
        <v>86</v>
      </c>
      <c r="F449" s="8"/>
      <c r="H449" s="8" t="s">
        <v>7710</v>
      </c>
      <c r="I449" s="8" t="s">
        <v>7451</v>
      </c>
      <c r="J449" s="8" t="s">
        <v>2993</v>
      </c>
      <c r="K449" t="s">
        <v>7452</v>
      </c>
      <c r="L449" t="s">
        <v>7453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s="8" t="s">
        <v>4</v>
      </c>
      <c r="E450" s="8" t="s">
        <v>7709</v>
      </c>
      <c r="F450" s="8"/>
      <c r="H450" s="8"/>
      <c r="I450" s="8" t="s">
        <v>7454</v>
      </c>
      <c r="J450" s="8" t="s">
        <v>2993</v>
      </c>
      <c r="K450" t="s">
        <v>7455</v>
      </c>
      <c r="L450" t="s">
        <v>7456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s="8" t="s">
        <v>4</v>
      </c>
      <c r="E451" s="8" t="s">
        <v>86</v>
      </c>
      <c r="F451" s="8"/>
      <c r="H451" s="8" t="s">
        <v>7710</v>
      </c>
      <c r="I451" s="8" t="s">
        <v>7457</v>
      </c>
      <c r="J451" s="8" t="s">
        <v>2993</v>
      </c>
      <c r="K451" t="s">
        <v>7458</v>
      </c>
      <c r="L451" t="s">
        <v>7459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s="8" t="s">
        <v>4</v>
      </c>
      <c r="E452" s="8" t="s">
        <v>86</v>
      </c>
      <c r="F452" s="8"/>
      <c r="H452" s="8" t="s">
        <v>7710</v>
      </c>
      <c r="I452" s="8" t="s">
        <v>7460</v>
      </c>
      <c r="J452" s="8" t="s">
        <v>2993</v>
      </c>
      <c r="K452" t="s">
        <v>7461</v>
      </c>
      <c r="L452" t="s">
        <v>7462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s="8" t="s">
        <v>4</v>
      </c>
      <c r="E453" s="8" t="s">
        <v>7709</v>
      </c>
      <c r="F453" s="8"/>
      <c r="H453" s="8"/>
      <c r="I453" s="8" t="s">
        <v>7463</v>
      </c>
      <c r="J453" s="8" t="s">
        <v>2993</v>
      </c>
      <c r="K453" t="s">
        <v>7464</v>
      </c>
      <c r="L453" t="s">
        <v>7465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s="8" t="s">
        <v>4</v>
      </c>
      <c r="E454" s="8" t="s">
        <v>7709</v>
      </c>
      <c r="F454" s="8"/>
      <c r="H454" s="8"/>
      <c r="I454" s="8" t="s">
        <v>7466</v>
      </c>
      <c r="J454" s="8" t="s">
        <v>2993</v>
      </c>
      <c r="K454" t="s">
        <v>7467</v>
      </c>
      <c r="L454" t="s">
        <v>7468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s="8" t="s">
        <v>4</v>
      </c>
      <c r="E455" s="8" t="s">
        <v>86</v>
      </c>
      <c r="F455" s="8"/>
      <c r="H455" s="8" t="s">
        <v>7710</v>
      </c>
      <c r="I455" s="8" t="s">
        <v>7469</v>
      </c>
      <c r="J455" s="8" t="s">
        <v>2993</v>
      </c>
      <c r="K455" t="s">
        <v>7470</v>
      </c>
      <c r="L455" t="s">
        <v>7471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s="8" t="s">
        <v>4</v>
      </c>
      <c r="E456" s="8" t="s">
        <v>7709</v>
      </c>
      <c r="F456" s="8"/>
      <c r="H456" s="8"/>
      <c r="I456" s="8" t="s">
        <v>7472</v>
      </c>
      <c r="J456" s="8" t="s">
        <v>2993</v>
      </c>
      <c r="K456" t="s">
        <v>7473</v>
      </c>
      <c r="L456" t="s">
        <v>7474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s="8" t="s">
        <v>4</v>
      </c>
      <c r="E457" s="8" t="s">
        <v>86</v>
      </c>
      <c r="F457" s="8"/>
      <c r="H457" s="8" t="s">
        <v>7710</v>
      </c>
      <c r="I457" s="8" t="s">
        <v>7475</v>
      </c>
      <c r="J457" s="8" t="s">
        <v>2993</v>
      </c>
      <c r="K457" t="s">
        <v>7476</v>
      </c>
      <c r="L457" t="s">
        <v>7477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17</v>
      </c>
      <c r="B458" s="4">
        <v>46017</v>
      </c>
      <c r="C458" s="5">
        <v>0.36872685185185183</v>
      </c>
      <c r="D458" s="8" t="s">
        <v>4</v>
      </c>
      <c r="E458" s="8" t="s">
        <v>86</v>
      </c>
      <c r="F458" s="8"/>
      <c r="H458" s="8" t="s">
        <v>7710</v>
      </c>
      <c r="I458" s="8" t="s">
        <v>7729</v>
      </c>
      <c r="J458" s="8" t="s">
        <v>2993</v>
      </c>
      <c r="K458" t="s">
        <v>7730</v>
      </c>
      <c r="L458" t="s">
        <v>7731</v>
      </c>
      <c r="M458" s="3" t="str">
        <f>HYPERLINK(склад2въезд13192021222[[#This Row],[RelativePath]])</f>
        <v>9 Ангар пилорама\E33149364_1_20251226T085058Z.jpg</v>
      </c>
    </row>
    <row r="459" spans="1:13" x14ac:dyDescent="0.25">
      <c r="A459" s="2" t="s">
        <v>17</v>
      </c>
      <c r="B459" s="4">
        <v>46017</v>
      </c>
      <c r="C459" s="5">
        <v>0.41701388888888891</v>
      </c>
      <c r="D459" s="8" t="s">
        <v>4</v>
      </c>
      <c r="E459" s="8" t="s">
        <v>7709</v>
      </c>
      <c r="F459" s="8"/>
      <c r="H459" s="8"/>
      <c r="I459" s="8" t="s">
        <v>7732</v>
      </c>
      <c r="J459" s="8" t="s">
        <v>2993</v>
      </c>
      <c r="K459" t="s">
        <v>7733</v>
      </c>
      <c r="L459" t="s">
        <v>7734</v>
      </c>
      <c r="M459" s="3" t="str">
        <f>HYPERLINK(склад2въезд13192021222[[#This Row],[RelativePath]])</f>
        <v>9 Ангар пилорама\E33149364_1_20251226T100030Z.jpg</v>
      </c>
    </row>
    <row r="460" spans="1:13" x14ac:dyDescent="0.25">
      <c r="A460" s="2" t="s">
        <v>17</v>
      </c>
      <c r="B460" s="4">
        <v>46017</v>
      </c>
      <c r="C460" s="5">
        <v>0.53240740740740744</v>
      </c>
      <c r="D460" s="8" t="s">
        <v>4</v>
      </c>
      <c r="E460" s="8" t="s">
        <v>86</v>
      </c>
      <c r="F460" s="8"/>
      <c r="H460" s="8" t="s">
        <v>7710</v>
      </c>
      <c r="I460" s="8" t="s">
        <v>7735</v>
      </c>
      <c r="J460" s="8" t="s">
        <v>2993</v>
      </c>
      <c r="K460" t="s">
        <v>7736</v>
      </c>
      <c r="L460" t="s">
        <v>7737</v>
      </c>
      <c r="M460" s="3" t="str">
        <f>HYPERLINK(склад2въезд13192021222[[#This Row],[RelativePath]])</f>
        <v>9 Ангар пилорама\E33149364_1_20251226T124640Z.jpg</v>
      </c>
    </row>
    <row r="461" spans="1:13" x14ac:dyDescent="0.25">
      <c r="A461" s="2" t="s">
        <v>17</v>
      </c>
      <c r="B461" s="4">
        <v>46017</v>
      </c>
      <c r="C461" s="5">
        <v>0.59583333333333333</v>
      </c>
      <c r="D461" s="8" t="s">
        <v>4</v>
      </c>
      <c r="E461" s="8" t="s">
        <v>7709</v>
      </c>
      <c r="F461" s="8"/>
      <c r="H461" s="8"/>
      <c r="I461" s="8" t="s">
        <v>7738</v>
      </c>
      <c r="J461" s="8" t="s">
        <v>2993</v>
      </c>
      <c r="K461" t="s">
        <v>7739</v>
      </c>
      <c r="L461" t="s">
        <v>7740</v>
      </c>
      <c r="M461" s="3" t="str">
        <f>HYPERLINK(склад2въезд13192021222[[#This Row],[RelativePath]])</f>
        <v>9 Ангар пилорама\E33149364_1_20251226T141800Z.jpg</v>
      </c>
    </row>
    <row r="462" spans="1:13" x14ac:dyDescent="0.25">
      <c r="A462" s="2" t="s">
        <v>17</v>
      </c>
      <c r="B462" s="4">
        <v>46017</v>
      </c>
      <c r="C462" s="5">
        <v>0.98486111111111108</v>
      </c>
      <c r="D462" s="8" t="s">
        <v>4</v>
      </c>
      <c r="E462" s="8" t="s">
        <v>86</v>
      </c>
      <c r="F462" s="8"/>
      <c r="H462" s="8" t="s">
        <v>7710</v>
      </c>
      <c r="I462" s="8" t="s">
        <v>7741</v>
      </c>
      <c r="J462" s="8" t="s">
        <v>2993</v>
      </c>
      <c r="K462" t="s">
        <v>7742</v>
      </c>
      <c r="L462" t="s">
        <v>7743</v>
      </c>
      <c r="M462" s="3" t="str">
        <f>HYPERLINK(склад2въезд13192021222[[#This Row],[RelativePath]])</f>
        <v>9 Ангар пилорама\E33149364_1_20251226T233812Z.jpg</v>
      </c>
    </row>
    <row r="463" spans="1:13" x14ac:dyDescent="0.25">
      <c r="A463" s="2" t="s">
        <v>18</v>
      </c>
      <c r="B463" s="4">
        <v>46018</v>
      </c>
      <c r="C463" s="5">
        <v>0.45038194444444446</v>
      </c>
      <c r="D463" s="8" t="s">
        <v>2004</v>
      </c>
      <c r="E463" s="8" t="s">
        <v>86</v>
      </c>
      <c r="F463" s="8"/>
      <c r="H463" s="8"/>
      <c r="I463" s="8" t="s">
        <v>7956</v>
      </c>
      <c r="J463" s="8" t="s">
        <v>2993</v>
      </c>
      <c r="K463" t="s">
        <v>7957</v>
      </c>
      <c r="L463" t="s">
        <v>7958</v>
      </c>
      <c r="M463" s="3" t="str">
        <f>HYPERLINK(склад2въезд13192021222[[#This Row],[RelativePath]])</f>
        <v>9 Ангар пилорама\E33149364_1_20251227T104833Z.jpg</v>
      </c>
    </row>
    <row r="464" spans="1:13" x14ac:dyDescent="0.25">
      <c r="A464" s="2" t="s">
        <v>22</v>
      </c>
      <c r="B464" s="4">
        <v>46019</v>
      </c>
      <c r="C464" s="5">
        <v>0.97547453703703701</v>
      </c>
      <c r="D464" s="8" t="s">
        <v>2004</v>
      </c>
      <c r="E464" s="8" t="s">
        <v>86</v>
      </c>
      <c r="F464" s="8"/>
      <c r="H464" s="8"/>
      <c r="I464" s="8" t="s">
        <v>7959</v>
      </c>
      <c r="J464" s="8" t="s">
        <v>2993</v>
      </c>
      <c r="K464" t="s">
        <v>7960</v>
      </c>
      <c r="L464" t="s">
        <v>7961</v>
      </c>
      <c r="M464" s="3" t="str">
        <f>HYPERLINK(склад2въезд13192021222[[#This Row],[RelativePath]])</f>
        <v>9 Ангар пилорама\E33149364_1_20251228T232441Z.jpg</v>
      </c>
    </row>
    <row r="465" spans="1:13" x14ac:dyDescent="0.25">
      <c r="A465" s="2" t="s">
        <v>13</v>
      </c>
      <c r="B465" s="4">
        <v>46020</v>
      </c>
      <c r="C465" s="5">
        <v>0.39093749999999999</v>
      </c>
      <c r="D465" s="8" t="s">
        <v>4</v>
      </c>
      <c r="E465" s="8" t="s">
        <v>8335</v>
      </c>
      <c r="F465" s="8"/>
      <c r="H465" s="8"/>
      <c r="I465" s="8" t="s">
        <v>8120</v>
      </c>
      <c r="J465" s="8" t="s">
        <v>2993</v>
      </c>
      <c r="K465" t="s">
        <v>8121</v>
      </c>
      <c r="L465" t="s">
        <v>8122</v>
      </c>
      <c r="M465" s="3" t="str">
        <f>HYPERLINK(склад2въезд13192021222[[#This Row],[RelativePath]])</f>
        <v>9 Ангар пилорама\E33149364_1_20251229T092257Z.jpg</v>
      </c>
    </row>
    <row r="466" spans="1:13" x14ac:dyDescent="0.25">
      <c r="A466" s="2" t="s">
        <v>13</v>
      </c>
      <c r="B466" s="4">
        <v>46020</v>
      </c>
      <c r="C466" s="5">
        <v>0.41165509259259259</v>
      </c>
      <c r="D466" s="8" t="s">
        <v>1091</v>
      </c>
      <c r="E466" s="8" t="s">
        <v>8335</v>
      </c>
      <c r="F466" s="8" t="s">
        <v>53</v>
      </c>
      <c r="G466">
        <v>2</v>
      </c>
      <c r="H466" s="8" t="s">
        <v>8362</v>
      </c>
      <c r="I466" s="8" t="s">
        <v>8123</v>
      </c>
      <c r="J466" s="8" t="s">
        <v>2993</v>
      </c>
      <c r="K466" t="s">
        <v>8124</v>
      </c>
      <c r="L466" t="s">
        <v>8125</v>
      </c>
      <c r="M466" s="3" t="str">
        <f>HYPERLINK(склад2въезд13192021222[[#This Row],[RelativePath]])</f>
        <v>9 Ангар пилорама\E33149364_1_20251229T095247Z.jpg</v>
      </c>
    </row>
    <row r="467" spans="1:13" x14ac:dyDescent="0.25">
      <c r="A467" s="2" t="s">
        <v>13</v>
      </c>
      <c r="B467" s="4">
        <v>46020</v>
      </c>
      <c r="C467" s="5">
        <v>0.41174768518518517</v>
      </c>
      <c r="D467" s="8" t="s">
        <v>1091</v>
      </c>
      <c r="E467" s="8" t="s">
        <v>8335</v>
      </c>
      <c r="F467" s="8" t="s">
        <v>53</v>
      </c>
      <c r="G467">
        <v>1</v>
      </c>
      <c r="H467" s="8"/>
      <c r="I467" s="8" t="s">
        <v>8126</v>
      </c>
      <c r="J467" s="8" t="s">
        <v>2993</v>
      </c>
      <c r="K467" t="s">
        <v>8127</v>
      </c>
      <c r="L467" t="s">
        <v>8128</v>
      </c>
      <c r="M467" s="3" t="str">
        <f>HYPERLINK(склад2въезд13192021222[[#This Row],[RelativePath]])</f>
        <v>9 Ангар пилорама\E33149364_1_20251229T095255Z.jpg</v>
      </c>
    </row>
    <row r="468" spans="1:13" x14ac:dyDescent="0.25">
      <c r="A468" s="2" t="s">
        <v>13</v>
      </c>
      <c r="B468" s="4">
        <v>46020</v>
      </c>
      <c r="C468" s="5">
        <v>0.41200231481481481</v>
      </c>
      <c r="D468" s="8" t="s">
        <v>1091</v>
      </c>
      <c r="E468" s="8" t="s">
        <v>8335</v>
      </c>
      <c r="F468" s="8" t="s">
        <v>53</v>
      </c>
      <c r="G468">
        <v>2</v>
      </c>
      <c r="H468" s="8"/>
      <c r="I468" s="8" t="s">
        <v>8129</v>
      </c>
      <c r="J468" s="8" t="s">
        <v>2993</v>
      </c>
      <c r="K468" t="s">
        <v>8130</v>
      </c>
      <c r="L468" t="s">
        <v>8131</v>
      </c>
      <c r="M468" s="3" t="str">
        <f>HYPERLINK(склад2въезд13192021222[[#This Row],[RelativePath]])</f>
        <v>9 Ангар пилорама\E33149364_1_20251229T095317Z.jpg</v>
      </c>
    </row>
    <row r="469" spans="1:13" x14ac:dyDescent="0.25">
      <c r="A469" s="2" t="s">
        <v>13</v>
      </c>
      <c r="B469" s="4">
        <v>46020</v>
      </c>
      <c r="C469" s="5">
        <v>0.49380787037037038</v>
      </c>
      <c r="D469" s="8" t="s">
        <v>4</v>
      </c>
      <c r="E469" s="8" t="s">
        <v>1607</v>
      </c>
      <c r="F469" s="8"/>
      <c r="H469" s="8"/>
      <c r="I469" s="8" t="s">
        <v>8132</v>
      </c>
      <c r="J469" s="8" t="s">
        <v>2993</v>
      </c>
      <c r="K469" t="s">
        <v>8133</v>
      </c>
      <c r="L469" t="s">
        <v>8134</v>
      </c>
      <c r="M469" s="3" t="str">
        <f>HYPERLINK(склад2въезд13192021222[[#This Row],[RelativePath]])</f>
        <v>9 Ангар пилорама\E33149364_1_20251229T115105Z.jpg</v>
      </c>
    </row>
    <row r="470" spans="1:13" x14ac:dyDescent="0.25">
      <c r="A470" s="2" t="s">
        <v>14</v>
      </c>
      <c r="B470" s="4">
        <v>46021</v>
      </c>
      <c r="C470" s="5">
        <v>0.6925810185185185</v>
      </c>
      <c r="D470" s="8" t="s">
        <v>2004</v>
      </c>
      <c r="E470" s="8" t="s">
        <v>86</v>
      </c>
      <c r="F470" s="8"/>
      <c r="H470" s="8" t="s">
        <v>5479</v>
      </c>
      <c r="I470" s="8" t="s">
        <v>8135</v>
      </c>
      <c r="J470" s="8" t="s">
        <v>2993</v>
      </c>
      <c r="K470" t="s">
        <v>8136</v>
      </c>
      <c r="L470" t="s">
        <v>8137</v>
      </c>
      <c r="M470" s="3" t="str">
        <f>HYPERLINK(склад2въезд13192021222[[#This Row],[RelativePath]])</f>
        <v>9 Ангар пилорама\E33149364_1_20251230T163719Z.jpg</v>
      </c>
    </row>
    <row r="471" spans="1:13" x14ac:dyDescent="0.25">
      <c r="A471" s="2" t="s">
        <v>15</v>
      </c>
      <c r="B471" s="4">
        <v>46022</v>
      </c>
      <c r="C471" s="5">
        <v>0.70347222222222228</v>
      </c>
      <c r="D471" s="8" t="s">
        <v>2004</v>
      </c>
      <c r="E471" s="8" t="s">
        <v>86</v>
      </c>
      <c r="F471" s="8"/>
      <c r="H471" s="8" t="s">
        <v>5479</v>
      </c>
      <c r="I471" s="8" t="s">
        <v>8138</v>
      </c>
      <c r="J471" s="8" t="s">
        <v>2993</v>
      </c>
      <c r="K471" t="s">
        <v>8139</v>
      </c>
      <c r="L471" t="s">
        <v>8140</v>
      </c>
      <c r="M471" s="3" t="str">
        <f>HYPERLINK(склад2въезд13192021222[[#This Row],[RelativePath]])</f>
        <v>9 Ангар пилорама\E33149364_1_20251231T165300Z.jpg</v>
      </c>
    </row>
    <row r="472" spans="1:13" x14ac:dyDescent="0.25">
      <c r="A472" s="2" t="s">
        <v>16</v>
      </c>
      <c r="B472" s="4">
        <v>46023</v>
      </c>
      <c r="C472" s="5">
        <v>0.71578703703703705</v>
      </c>
      <c r="D472" s="8" t="s">
        <v>2004</v>
      </c>
      <c r="E472" s="8" t="s">
        <v>86</v>
      </c>
      <c r="F472" s="8"/>
      <c r="H472" s="8" t="s">
        <v>5479</v>
      </c>
      <c r="I472" s="8" t="s">
        <v>8141</v>
      </c>
      <c r="J472" s="8" t="s">
        <v>2993</v>
      </c>
      <c r="K472" t="s">
        <v>8142</v>
      </c>
      <c r="L472" t="s">
        <v>8143</v>
      </c>
      <c r="M472" s="3" t="str">
        <f>HYPERLINK(склад2въезд13192021222[[#This Row],[RelativePath]])</f>
        <v>9 Ангар пилорама\E33149364_1_20260101T171044Z.jpg</v>
      </c>
    </row>
    <row r="473" spans="1:13" x14ac:dyDescent="0.25">
      <c r="A473" s="2" t="s">
        <v>17</v>
      </c>
      <c r="B473" s="4">
        <v>46024</v>
      </c>
      <c r="C473" s="5">
        <v>0.71284722222222219</v>
      </c>
      <c r="D473" s="8" t="s">
        <v>2004</v>
      </c>
      <c r="E473" s="8" t="s">
        <v>86</v>
      </c>
      <c r="F473" s="8"/>
      <c r="H473" s="8" t="s">
        <v>5479</v>
      </c>
      <c r="I473" s="8" t="s">
        <v>8420</v>
      </c>
      <c r="J473" s="8" t="s">
        <v>2993</v>
      </c>
      <c r="K473" t="s">
        <v>8421</v>
      </c>
      <c r="L473" t="s">
        <v>8422</v>
      </c>
      <c r="M473" s="3" t="str">
        <f>HYPERLINK(склад2въезд13192021222[[#This Row],[RelativePath]])</f>
        <v>9 Ангар пилорама\E33149364_1_20260102T170630Z.jpg</v>
      </c>
    </row>
    <row r="474" spans="1:13" x14ac:dyDescent="0.25">
      <c r="A474" s="2" t="s">
        <v>18</v>
      </c>
      <c r="B474" s="4">
        <v>46025</v>
      </c>
      <c r="C474" s="5">
        <v>0.71440972222222221</v>
      </c>
      <c r="D474" s="8" t="s">
        <v>2004</v>
      </c>
      <c r="E474" s="8" t="s">
        <v>86</v>
      </c>
      <c r="F474" s="8"/>
      <c r="H474" s="8" t="s">
        <v>5479</v>
      </c>
      <c r="I474" s="8" t="s">
        <v>8423</v>
      </c>
      <c r="J474" s="8" t="s">
        <v>2993</v>
      </c>
      <c r="K474" t="s">
        <v>8424</v>
      </c>
      <c r="L474" t="s">
        <v>8425</v>
      </c>
      <c r="M474" s="3" t="str">
        <f>HYPERLINK(склад2въезд13192021222[[#This Row],[RelativePath]])</f>
        <v>9 Ангар пилорама\E33149364_1_20260103T170845Z.jpg</v>
      </c>
    </row>
    <row r="475" spans="1:13" x14ac:dyDescent="0.25">
      <c r="A475" s="2" t="s">
        <v>22</v>
      </c>
      <c r="B475" s="4">
        <v>46026</v>
      </c>
      <c r="C475" s="5">
        <v>0.70715277777777774</v>
      </c>
      <c r="D475" s="8" t="s">
        <v>2004</v>
      </c>
      <c r="E475" s="8" t="s">
        <v>86</v>
      </c>
      <c r="F475" s="8"/>
      <c r="H475" s="8" t="s">
        <v>5479</v>
      </c>
      <c r="I475" s="8" t="s">
        <v>8426</v>
      </c>
      <c r="J475" s="8" t="s">
        <v>2993</v>
      </c>
      <c r="K475" t="s">
        <v>8427</v>
      </c>
      <c r="L475" t="s">
        <v>8428</v>
      </c>
      <c r="M475" s="3" t="str">
        <f>HYPERLINK(склад2въезд13192021222[[#This Row],[RelativePath]])</f>
        <v>9 Ангар пилорама\E33149364_1_20260104T165818Z.jpg</v>
      </c>
    </row>
    <row r="476" spans="1:13" x14ac:dyDescent="0.25">
      <c r="A476" s="2" t="s">
        <v>13</v>
      </c>
      <c r="B476" s="4">
        <v>46027</v>
      </c>
      <c r="C476" s="5">
        <v>0.70526620370370374</v>
      </c>
      <c r="D476" s="8" t="s">
        <v>2004</v>
      </c>
      <c r="E476" s="8" t="s">
        <v>86</v>
      </c>
      <c r="F476" s="8"/>
      <c r="H476" s="8" t="s">
        <v>5479</v>
      </c>
      <c r="I476" s="8" t="s">
        <v>8682</v>
      </c>
      <c r="J476" s="8" t="s">
        <v>2993</v>
      </c>
      <c r="K476" t="s">
        <v>8683</v>
      </c>
      <c r="L476" t="s">
        <v>8684</v>
      </c>
      <c r="M476" s="3" t="str">
        <f>HYPERLINK(склад2въезд13192021222[[#This Row],[RelativePath]])</f>
        <v>9 Ангар пилорама\E33149364_1_20260105T165535Z.jpg</v>
      </c>
    </row>
    <row r="477" spans="1:13" x14ac:dyDescent="0.25">
      <c r="A477" s="2" t="s">
        <v>14</v>
      </c>
      <c r="B477" s="4">
        <v>46028</v>
      </c>
      <c r="C477" s="5">
        <v>0.42364583333333333</v>
      </c>
      <c r="D477" s="8" t="s">
        <v>2004</v>
      </c>
      <c r="E477" s="8" t="s">
        <v>86</v>
      </c>
      <c r="F477" s="8"/>
      <c r="H477" s="8" t="s">
        <v>5479</v>
      </c>
      <c r="I477" s="8" t="s">
        <v>8685</v>
      </c>
      <c r="J477" s="8" t="s">
        <v>2993</v>
      </c>
      <c r="K477" t="s">
        <v>8686</v>
      </c>
      <c r="L477" t="s">
        <v>8687</v>
      </c>
      <c r="M477" s="3" t="str">
        <f>HYPERLINK(склад2въезд13192021222[[#This Row],[RelativePath]])</f>
        <v>9 Ангар пилорама\E33149364_1_20260106T101003Z.jpg</v>
      </c>
    </row>
    <row r="478" spans="1:13" x14ac:dyDescent="0.25">
      <c r="A478" s="2" t="s">
        <v>15</v>
      </c>
      <c r="B478" s="4">
        <v>46029</v>
      </c>
      <c r="C478" s="5">
        <v>0.50497685185185182</v>
      </c>
      <c r="D478" s="8" t="s">
        <v>2004</v>
      </c>
      <c r="E478" s="8" t="s">
        <v>8825</v>
      </c>
      <c r="F478" s="8"/>
      <c r="H478" s="8" t="s">
        <v>5479</v>
      </c>
      <c r="I478" s="8" t="s">
        <v>8688</v>
      </c>
      <c r="J478" s="8" t="s">
        <v>2993</v>
      </c>
      <c r="K478" t="s">
        <v>8689</v>
      </c>
      <c r="L478" t="s">
        <v>8690</v>
      </c>
      <c r="M478" s="3" t="str">
        <f>HYPERLINK(склад2въезд13192021222[[#This Row],[RelativePath]])</f>
        <v>9 Ангар пилорама\E33149364_1_20260107T120710Z.jpg</v>
      </c>
    </row>
    <row r="479" spans="1:13" x14ac:dyDescent="0.25">
      <c r="A479" s="2" t="s">
        <v>16</v>
      </c>
      <c r="B479" s="4">
        <v>46030</v>
      </c>
      <c r="C479" s="5">
        <v>0.71959490740740739</v>
      </c>
      <c r="D479" s="8" t="s">
        <v>2004</v>
      </c>
      <c r="E479" s="8" t="s">
        <v>86</v>
      </c>
      <c r="F479" s="8"/>
      <c r="H479" s="8" t="s">
        <v>5479</v>
      </c>
      <c r="I479" s="8" t="s">
        <v>8691</v>
      </c>
      <c r="J479" s="8" t="s">
        <v>2993</v>
      </c>
      <c r="K479" t="s">
        <v>8692</v>
      </c>
      <c r="L479" t="s">
        <v>8693</v>
      </c>
      <c r="M479" s="3" t="str">
        <f>HYPERLINK(склад2въезд13192021222[[#This Row],[RelativePath]])</f>
        <v>9 Ангар пилорама\E33149364_1_20260108T171613Z.jpg</v>
      </c>
    </row>
    <row r="480" spans="1:13" x14ac:dyDescent="0.25">
      <c r="A480" s="2" t="s">
        <v>17</v>
      </c>
      <c r="B480" s="4">
        <v>46031</v>
      </c>
      <c r="C480" s="5">
        <v>0.57805555555555554</v>
      </c>
      <c r="D480" s="8" t="s">
        <v>2004</v>
      </c>
      <c r="E480" s="8" t="s">
        <v>86</v>
      </c>
      <c r="F480" s="8"/>
      <c r="H480" s="8" t="s">
        <v>5479</v>
      </c>
      <c r="I480" s="8" t="s">
        <v>8694</v>
      </c>
      <c r="J480" s="8" t="s">
        <v>2993</v>
      </c>
      <c r="K480" t="s">
        <v>8695</v>
      </c>
      <c r="L480" t="s">
        <v>8696</v>
      </c>
      <c r="M480" s="3" t="str">
        <f>HYPERLINK(склад2въезд13192021222[[#This Row],[RelativePath]])</f>
        <v>9 Ангар пилорама\E33149364_1_20260109T135224Z.jpg</v>
      </c>
    </row>
    <row r="481" spans="1:13" x14ac:dyDescent="0.25">
      <c r="A481" s="2" t="s">
        <v>18</v>
      </c>
      <c r="B481" s="4">
        <v>46032</v>
      </c>
      <c r="C481" s="5">
        <v>0.40118055555555554</v>
      </c>
      <c r="D481" s="8" t="s">
        <v>2004</v>
      </c>
      <c r="E481" s="8" t="s">
        <v>86</v>
      </c>
      <c r="F481" s="8"/>
      <c r="H481" s="8" t="s">
        <v>5479</v>
      </c>
      <c r="I481" s="8" t="s">
        <v>8697</v>
      </c>
      <c r="J481" s="8" t="s">
        <v>2993</v>
      </c>
      <c r="K481" t="s">
        <v>8698</v>
      </c>
      <c r="L481" t="s">
        <v>8699</v>
      </c>
      <c r="M481" s="3" t="str">
        <f>HYPERLINK(склад2въезд13192021222[[#This Row],[RelativePath]])</f>
        <v>9 Ангар пилорама\E33149364_1_20260110T093742Z.jpg</v>
      </c>
    </row>
    <row r="482" spans="1:13" x14ac:dyDescent="0.25">
      <c r="A482" s="2" t="s">
        <v>22</v>
      </c>
      <c r="B482" s="4">
        <v>46033</v>
      </c>
      <c r="C482" s="5">
        <v>0.63531249999999995</v>
      </c>
      <c r="D482" s="8" t="s">
        <v>2004</v>
      </c>
      <c r="E482" s="8" t="s">
        <v>86</v>
      </c>
      <c r="F482" s="8"/>
      <c r="H482" s="8" t="s">
        <v>5479</v>
      </c>
      <c r="I482" s="8" t="s">
        <v>8700</v>
      </c>
      <c r="J482" s="8" t="s">
        <v>2993</v>
      </c>
      <c r="K482" t="s">
        <v>8701</v>
      </c>
      <c r="L482" t="s">
        <v>8702</v>
      </c>
      <c r="M482" s="3" t="str">
        <f>HYPERLINK(склад2въезд13192021222[[#This Row],[RelativePath]])</f>
        <v>9 Ангар пилорама\E33149364_1_20260111T151451Z.jpg</v>
      </c>
    </row>
    <row r="483" spans="1:13" x14ac:dyDescent="0.25">
      <c r="A483" s="2" t="s">
        <v>13</v>
      </c>
      <c r="B483" s="4">
        <v>46034</v>
      </c>
      <c r="C483" s="5">
        <v>0.4266550925925926</v>
      </c>
      <c r="D483" s="8" t="s">
        <v>2004</v>
      </c>
      <c r="E483" s="8" t="s">
        <v>86</v>
      </c>
      <c r="F483" s="8"/>
      <c r="H483" s="8" t="s">
        <v>5479</v>
      </c>
      <c r="I483" s="8" t="s">
        <v>8897</v>
      </c>
      <c r="J483" s="8" t="s">
        <v>2993</v>
      </c>
      <c r="K483" t="s">
        <v>8898</v>
      </c>
      <c r="L483" t="s">
        <v>8899</v>
      </c>
      <c r="M483" s="3" t="str">
        <f>HYPERLINK(склад2въезд13192021222[[#This Row],[RelativePath]])</f>
        <v>9 Ангар пилорама\E33149364_1_20260112T101423Z.jpg</v>
      </c>
    </row>
    <row r="484" spans="1:13" x14ac:dyDescent="0.25">
      <c r="A484" s="2" t="s">
        <v>13</v>
      </c>
      <c r="B484" s="4">
        <v>46034</v>
      </c>
      <c r="C484" s="5">
        <v>0.45538194444444446</v>
      </c>
      <c r="D484" s="8" t="s">
        <v>4</v>
      </c>
      <c r="E484" s="8" t="s">
        <v>9</v>
      </c>
      <c r="F484" s="8"/>
      <c r="H484" s="8"/>
      <c r="I484" s="8" t="s">
        <v>8900</v>
      </c>
      <c r="J484" s="8" t="s">
        <v>2993</v>
      </c>
      <c r="K484" t="s">
        <v>8901</v>
      </c>
      <c r="L484" t="s">
        <v>8902</v>
      </c>
      <c r="M484" s="3" t="str">
        <f>HYPERLINK(склад2въезд13192021222[[#This Row],[RelativePath]])</f>
        <v>9 Ангар пилорама\E33149364_1_20260112T105545Z.jpg</v>
      </c>
    </row>
    <row r="485" spans="1:13" x14ac:dyDescent="0.25">
      <c r="A485" s="2" t="s">
        <v>13</v>
      </c>
      <c r="B485" s="4">
        <v>46034</v>
      </c>
      <c r="C485" s="5">
        <v>0.45577546296296295</v>
      </c>
      <c r="D485" s="8" t="s">
        <v>9200</v>
      </c>
      <c r="E485" s="8" t="s">
        <v>9201</v>
      </c>
      <c r="F485" s="8"/>
      <c r="H485" s="8"/>
      <c r="I485" s="8" t="s">
        <v>8903</v>
      </c>
      <c r="J485" s="8" t="s">
        <v>2993</v>
      </c>
      <c r="K485" t="s">
        <v>8904</v>
      </c>
      <c r="L485" t="s">
        <v>8905</v>
      </c>
      <c r="M485" s="3" t="str">
        <f>HYPERLINK(склад2въезд13192021222[[#This Row],[RelativePath]])</f>
        <v>9 Ангар пилорама\E33149364_1_20260112T105619Z.jpg</v>
      </c>
    </row>
    <row r="486" spans="1:13" x14ac:dyDescent="0.25">
      <c r="A486" s="2" t="s">
        <v>13</v>
      </c>
      <c r="B486" s="4">
        <v>46034</v>
      </c>
      <c r="C486" s="5">
        <v>0.45582175925925927</v>
      </c>
      <c r="D486" s="8" t="s">
        <v>2024</v>
      </c>
      <c r="E486" s="8" t="s">
        <v>1304</v>
      </c>
      <c r="F486" s="8"/>
      <c r="H486" s="8"/>
      <c r="I486" s="8" t="s">
        <v>8906</v>
      </c>
      <c r="J486" s="8" t="s">
        <v>2993</v>
      </c>
      <c r="K486" t="s">
        <v>8907</v>
      </c>
      <c r="L486" t="s">
        <v>8908</v>
      </c>
      <c r="M486" s="3" t="str">
        <f>HYPERLINK(склад2въезд13192021222[[#This Row],[RelativePath]])</f>
        <v>9 Ангар пилорама\E33149364_1_20260112T105623Z.jpg</v>
      </c>
    </row>
    <row r="487" spans="1:13" x14ac:dyDescent="0.25">
      <c r="A487" s="2" t="s">
        <v>13</v>
      </c>
      <c r="B487" s="4">
        <v>46034</v>
      </c>
      <c r="C487" s="5">
        <v>0.47841435185185183</v>
      </c>
      <c r="D487" s="8" t="s">
        <v>9200</v>
      </c>
      <c r="E487" s="8" t="s">
        <v>5137</v>
      </c>
      <c r="F487" s="8"/>
      <c r="H487" s="8"/>
      <c r="I487" s="8" t="s">
        <v>8909</v>
      </c>
      <c r="J487" s="8" t="s">
        <v>2993</v>
      </c>
      <c r="K487" t="s">
        <v>8910</v>
      </c>
      <c r="L487" t="s">
        <v>8911</v>
      </c>
      <c r="M487" s="3" t="str">
        <f>HYPERLINK(склад2въезд13192021222[[#This Row],[RelativePath]])</f>
        <v>9 Ангар пилорама\E33149364_1_20260112T112855Z.jpg</v>
      </c>
    </row>
    <row r="488" spans="1:13" x14ac:dyDescent="0.25">
      <c r="A488" s="2" t="s">
        <v>13</v>
      </c>
      <c r="B488" s="4">
        <v>46034</v>
      </c>
      <c r="C488" s="5">
        <v>0.48241898148148149</v>
      </c>
      <c r="D488" s="8" t="s">
        <v>5476</v>
      </c>
      <c r="E488" s="8" t="s">
        <v>5480</v>
      </c>
      <c r="F488" s="8" t="s">
        <v>9202</v>
      </c>
      <c r="H488" s="8"/>
      <c r="I488" s="8" t="s">
        <v>8912</v>
      </c>
      <c r="J488" s="8" t="s">
        <v>2993</v>
      </c>
      <c r="K488" t="s">
        <v>8913</v>
      </c>
      <c r="L488" t="s">
        <v>8914</v>
      </c>
      <c r="M488" s="3" t="str">
        <f>HYPERLINK(склад2въезд13192021222[[#This Row],[RelativePath]])</f>
        <v>9 Ангар пилорама\E33149364_1_20260112T113441Z.jpg</v>
      </c>
    </row>
    <row r="489" spans="1:13" x14ac:dyDescent="0.25">
      <c r="A489" s="2" t="s">
        <v>13</v>
      </c>
      <c r="B489" s="4">
        <v>46034</v>
      </c>
      <c r="C489" s="5">
        <v>0.49310185185185185</v>
      </c>
      <c r="D489" s="8" t="s">
        <v>4</v>
      </c>
      <c r="E489" s="8" t="s">
        <v>9</v>
      </c>
      <c r="F489" s="8"/>
      <c r="H489" s="8"/>
      <c r="I489" s="8" t="s">
        <v>8915</v>
      </c>
      <c r="J489" s="8" t="s">
        <v>2993</v>
      </c>
      <c r="K489" t="s">
        <v>8916</v>
      </c>
      <c r="L489" t="s">
        <v>8917</v>
      </c>
      <c r="M489" s="3" t="str">
        <f>HYPERLINK(склад2въезд13192021222[[#This Row],[RelativePath]])</f>
        <v>9 Ангар пилорама\E33149364_1_20260112T115004Z.jpg</v>
      </c>
    </row>
    <row r="490" spans="1:13" x14ac:dyDescent="0.25">
      <c r="A490" s="2" t="s">
        <v>13</v>
      </c>
      <c r="B490" s="4">
        <v>46034</v>
      </c>
      <c r="C490" s="5">
        <v>0.49789351851851854</v>
      </c>
      <c r="D490" s="8" t="s">
        <v>5476</v>
      </c>
      <c r="E490" s="8" t="s">
        <v>5480</v>
      </c>
      <c r="F490" s="8" t="s">
        <v>9203</v>
      </c>
      <c r="H490" s="8"/>
      <c r="I490" s="8" t="s">
        <v>8918</v>
      </c>
      <c r="J490" s="8" t="s">
        <v>2993</v>
      </c>
      <c r="K490" t="s">
        <v>8919</v>
      </c>
      <c r="L490" t="s">
        <v>8920</v>
      </c>
      <c r="M490" s="3" t="str">
        <f>HYPERLINK(склад2въезд13192021222[[#This Row],[RelativePath]])</f>
        <v>9 Ангар пилорама\E33149364_1_20260112T115658Z.jpg</v>
      </c>
    </row>
    <row r="491" spans="1:13" x14ac:dyDescent="0.25">
      <c r="A491" s="2" t="s">
        <v>13</v>
      </c>
      <c r="B491" s="4">
        <v>46034</v>
      </c>
      <c r="C491" s="5">
        <v>0.50311342592592589</v>
      </c>
      <c r="D491" s="8" t="s">
        <v>4</v>
      </c>
      <c r="E491" s="8" t="s">
        <v>9204</v>
      </c>
      <c r="F491" s="8"/>
      <c r="H491" s="8"/>
      <c r="I491" s="8" t="s">
        <v>8921</v>
      </c>
      <c r="J491" s="8" t="s">
        <v>2993</v>
      </c>
      <c r="K491" t="s">
        <v>8922</v>
      </c>
      <c r="L491" t="s">
        <v>8923</v>
      </c>
      <c r="M491" s="3" t="str">
        <f>HYPERLINK(склад2въезд13192021222[[#This Row],[RelativePath]])</f>
        <v>9 Ангар пилорама\E33149364_1_20260112T120429Z.jpg</v>
      </c>
    </row>
    <row r="492" spans="1:13" x14ac:dyDescent="0.25">
      <c r="A492" s="2" t="s">
        <v>13</v>
      </c>
      <c r="B492" s="4">
        <v>46034</v>
      </c>
      <c r="C492" s="5">
        <v>0.51141203703703708</v>
      </c>
      <c r="D492" s="8" t="s">
        <v>5476</v>
      </c>
      <c r="E492" s="8" t="s">
        <v>5480</v>
      </c>
      <c r="F492" s="8" t="s">
        <v>9203</v>
      </c>
      <c r="H492" s="8"/>
      <c r="I492" s="8" t="s">
        <v>8924</v>
      </c>
      <c r="J492" s="8" t="s">
        <v>2993</v>
      </c>
      <c r="K492" t="s">
        <v>8925</v>
      </c>
      <c r="L492" t="s">
        <v>8926</v>
      </c>
      <c r="M492" s="3" t="str">
        <f>HYPERLINK(склад2въезд13192021222[[#This Row],[RelativePath]])</f>
        <v>9 Ангар пилорама\E33149364_1_20260112T121626Z.jpg</v>
      </c>
    </row>
    <row r="493" spans="1:13" x14ac:dyDescent="0.25">
      <c r="A493" s="2" t="s">
        <v>13</v>
      </c>
      <c r="B493" s="4">
        <v>46034</v>
      </c>
      <c r="C493" s="5">
        <v>0.51883101851851854</v>
      </c>
      <c r="D493" s="8" t="s">
        <v>5476</v>
      </c>
      <c r="E493" s="8" t="s">
        <v>5480</v>
      </c>
      <c r="F493" s="8" t="s">
        <v>9203</v>
      </c>
      <c r="H493" s="8"/>
      <c r="I493" s="8" t="s">
        <v>8927</v>
      </c>
      <c r="J493" s="8" t="s">
        <v>2993</v>
      </c>
      <c r="K493" t="s">
        <v>8928</v>
      </c>
      <c r="L493" t="s">
        <v>8929</v>
      </c>
      <c r="M493" s="3" t="str">
        <f>HYPERLINK(склад2въезд13192021222[[#This Row],[RelativePath]])</f>
        <v>9 Ангар пилорама\E33149364_1_20260112T122707Z.jpg</v>
      </c>
    </row>
    <row r="494" spans="1:13" x14ac:dyDescent="0.25">
      <c r="A494" s="2" t="s">
        <v>13</v>
      </c>
      <c r="B494" s="4">
        <v>46034</v>
      </c>
      <c r="C494" s="5">
        <v>0.59407407407407409</v>
      </c>
      <c r="D494" s="8" t="s">
        <v>4</v>
      </c>
      <c r="E494" s="8" t="s">
        <v>9</v>
      </c>
      <c r="F494" s="8"/>
      <c r="H494" s="8"/>
      <c r="I494" s="8" t="s">
        <v>8930</v>
      </c>
      <c r="J494" s="8" t="s">
        <v>2993</v>
      </c>
      <c r="K494" t="s">
        <v>8931</v>
      </c>
      <c r="L494" t="s">
        <v>8932</v>
      </c>
      <c r="M494" s="3" t="str">
        <f>HYPERLINK(склад2въезд13192021222[[#This Row],[RelativePath]])</f>
        <v>9 Ангар пилорама\E33149364_1_20260112T141528Z.jpg</v>
      </c>
    </row>
    <row r="495" spans="1:13" x14ac:dyDescent="0.25">
      <c r="A495" s="2" t="s">
        <v>13</v>
      </c>
      <c r="B495" s="4">
        <v>46034</v>
      </c>
      <c r="C495" s="5">
        <v>0.60145833333333332</v>
      </c>
      <c r="D495" s="8" t="s">
        <v>5476</v>
      </c>
      <c r="E495" s="8" t="s">
        <v>5480</v>
      </c>
      <c r="F495" s="8" t="s">
        <v>9203</v>
      </c>
      <c r="H495" s="8"/>
      <c r="I495" s="8" t="s">
        <v>8933</v>
      </c>
      <c r="J495" s="8" t="s">
        <v>2993</v>
      </c>
      <c r="K495" t="s">
        <v>8934</v>
      </c>
      <c r="L495" t="s">
        <v>8935</v>
      </c>
      <c r="M495" s="3" t="str">
        <f>HYPERLINK(склад2въезд13192021222[[#This Row],[RelativePath]])</f>
        <v>9 Ангар пилорама\E33149364_1_20260112T142606Z.jpg</v>
      </c>
    </row>
    <row r="496" spans="1:13" x14ac:dyDescent="0.25">
      <c r="A496" s="2" t="s">
        <v>13</v>
      </c>
      <c r="B496" s="4">
        <v>46034</v>
      </c>
      <c r="C496" s="5">
        <v>0.62015046296296295</v>
      </c>
      <c r="D496" s="8" t="s">
        <v>5476</v>
      </c>
      <c r="E496" s="8" t="s">
        <v>5480</v>
      </c>
      <c r="F496" s="8" t="s">
        <v>9203</v>
      </c>
      <c r="H496" s="8"/>
      <c r="I496" s="8" t="s">
        <v>8936</v>
      </c>
      <c r="J496" s="8" t="s">
        <v>2993</v>
      </c>
      <c r="K496" t="s">
        <v>8937</v>
      </c>
      <c r="L496" t="s">
        <v>8938</v>
      </c>
      <c r="M496" s="3" t="str">
        <f>HYPERLINK(склад2въезд13192021222[[#This Row],[RelativePath]])</f>
        <v>9 Ангар пилорама\E33149364_1_20260112T145301Z.jpg</v>
      </c>
    </row>
    <row r="497" spans="1:13" x14ac:dyDescent="0.25">
      <c r="A497" s="2" t="s">
        <v>13</v>
      </c>
      <c r="B497" s="4">
        <v>46034</v>
      </c>
      <c r="C497" s="5">
        <v>0.71547453703703701</v>
      </c>
      <c r="D497" s="8" t="s">
        <v>4</v>
      </c>
      <c r="E497" s="8" t="s">
        <v>9</v>
      </c>
      <c r="F497" s="8"/>
      <c r="H497" s="8"/>
      <c r="I497" s="8" t="s">
        <v>8939</v>
      </c>
      <c r="J497" s="8" t="s">
        <v>2993</v>
      </c>
      <c r="K497" t="s">
        <v>8940</v>
      </c>
      <c r="L497" t="s">
        <v>8941</v>
      </c>
      <c r="M497" s="3" t="str">
        <f>HYPERLINK(склад2въезд13192021222[[#This Row],[RelativePath]])</f>
        <v>9 Ангар пилорама\E33149364_1_20260112T171017Z.jpg</v>
      </c>
    </row>
    <row r="498" spans="1:13" x14ac:dyDescent="0.25">
      <c r="A498" s="2" t="s">
        <v>13</v>
      </c>
      <c r="B498" s="4">
        <v>46034</v>
      </c>
      <c r="C498" s="5">
        <v>0.89054398148148151</v>
      </c>
      <c r="D498" s="8" t="s">
        <v>4</v>
      </c>
      <c r="E498" s="8" t="s">
        <v>86</v>
      </c>
      <c r="F498" s="8"/>
      <c r="H498" s="8" t="s">
        <v>5479</v>
      </c>
      <c r="I498" s="8" t="s">
        <v>8942</v>
      </c>
      <c r="J498" s="8" t="s">
        <v>2993</v>
      </c>
      <c r="K498" t="s">
        <v>8943</v>
      </c>
      <c r="L498" t="s">
        <v>8944</v>
      </c>
      <c r="M498" s="3" t="str">
        <f>HYPERLINK(склад2въезд13192021222[[#This Row],[RelativePath]])</f>
        <v>9 Ангар пилорама\E33149364_1_20260112T212223Z.jpg</v>
      </c>
    </row>
    <row r="499" spans="1:13" x14ac:dyDescent="0.25">
      <c r="A499" s="2" t="s">
        <v>14</v>
      </c>
      <c r="B499" s="4">
        <v>46035</v>
      </c>
      <c r="C499" s="5">
        <v>0.37564814814814818</v>
      </c>
      <c r="D499" s="8" t="s">
        <v>9205</v>
      </c>
      <c r="E499" s="8" t="s">
        <v>1304</v>
      </c>
      <c r="F499" s="8"/>
      <c r="H499" s="8"/>
      <c r="I499" s="8" t="s">
        <v>8945</v>
      </c>
      <c r="J499" s="8" t="s">
        <v>2993</v>
      </c>
      <c r="K499" t="s">
        <v>8946</v>
      </c>
      <c r="L499" t="s">
        <v>8947</v>
      </c>
      <c r="M499" s="3" t="str">
        <f>HYPERLINK(склад2въезд13192021222[[#This Row],[RelativePath]])</f>
        <v>9 Ангар пилорама\E33149364_1_20260113T090056Z.jpg</v>
      </c>
    </row>
    <row r="500" spans="1:13" x14ac:dyDescent="0.25">
      <c r="A500" s="2" t="s">
        <v>14</v>
      </c>
      <c r="B500" s="4">
        <v>46035</v>
      </c>
      <c r="C500" s="5">
        <v>0.42016203703703703</v>
      </c>
      <c r="D500" s="8" t="s">
        <v>2024</v>
      </c>
      <c r="E500" s="8" t="s">
        <v>1304</v>
      </c>
      <c r="F500" s="8"/>
      <c r="H500" s="8"/>
      <c r="I500" s="8" t="s">
        <v>8948</v>
      </c>
      <c r="J500" s="8" t="s">
        <v>2993</v>
      </c>
      <c r="K500" t="s">
        <v>8949</v>
      </c>
      <c r="L500" t="s">
        <v>8950</v>
      </c>
      <c r="M500" s="3" t="str">
        <f>HYPERLINK(склад2въезд13192021222[[#This Row],[RelativePath]])</f>
        <v>9 Ангар пилорама\E33149364_1_20260113T100502Z.jpg</v>
      </c>
    </row>
    <row r="501" spans="1:13" x14ac:dyDescent="0.25">
      <c r="A501" s="2" t="s">
        <v>14</v>
      </c>
      <c r="B501" s="4">
        <v>46035</v>
      </c>
      <c r="C501" s="5">
        <v>0.42708333333333331</v>
      </c>
      <c r="D501" s="8" t="s">
        <v>2024</v>
      </c>
      <c r="E501" s="8" t="s">
        <v>1304</v>
      </c>
      <c r="F501" s="8"/>
      <c r="H501" s="8"/>
      <c r="I501" s="8" t="s">
        <v>8951</v>
      </c>
      <c r="J501" s="8" t="s">
        <v>2993</v>
      </c>
      <c r="K501" t="s">
        <v>8952</v>
      </c>
      <c r="L501" t="s">
        <v>8953</v>
      </c>
      <c r="M501" s="3" t="str">
        <f>HYPERLINK(склад2въезд13192021222[[#This Row],[RelativePath]])</f>
        <v>9 Ангар пилорама\E33149364_1_20260113T101500Z.jpg</v>
      </c>
    </row>
    <row r="502" spans="1:13" x14ac:dyDescent="0.25">
      <c r="A502" s="2" t="s">
        <v>14</v>
      </c>
      <c r="B502" s="4">
        <v>46035</v>
      </c>
      <c r="C502" s="5">
        <v>0.42746527777777776</v>
      </c>
      <c r="D502" s="8" t="s">
        <v>4</v>
      </c>
      <c r="E502" s="8" t="s">
        <v>9</v>
      </c>
      <c r="F502" s="8"/>
      <c r="H502" s="8"/>
      <c r="I502" s="8" t="s">
        <v>8954</v>
      </c>
      <c r="J502" s="8" t="s">
        <v>2993</v>
      </c>
      <c r="K502" t="s">
        <v>8955</v>
      </c>
      <c r="L502" t="s">
        <v>8956</v>
      </c>
      <c r="M502" s="3" t="str">
        <f>HYPERLINK(склад2въезд13192021222[[#This Row],[RelativePath]])</f>
        <v>9 Ангар пилорама\E33149364_1_20260113T101533Z.jpg</v>
      </c>
    </row>
    <row r="503" spans="1:13" x14ac:dyDescent="0.25">
      <c r="A503" s="2" t="s">
        <v>14</v>
      </c>
      <c r="B503" s="4">
        <v>46035</v>
      </c>
      <c r="C503" s="5">
        <v>0.42787037037037035</v>
      </c>
      <c r="D503" s="8" t="s">
        <v>9200</v>
      </c>
      <c r="E503" s="8" t="s">
        <v>5137</v>
      </c>
      <c r="F503" s="8"/>
      <c r="H503" s="8"/>
      <c r="I503" s="8" t="s">
        <v>8957</v>
      </c>
      <c r="J503" s="8" t="s">
        <v>2993</v>
      </c>
      <c r="K503" t="s">
        <v>8958</v>
      </c>
      <c r="L503" t="s">
        <v>8959</v>
      </c>
      <c r="M503" s="3" t="str">
        <f>HYPERLINK(склад2въезд13192021222[[#This Row],[RelativePath]])</f>
        <v>9 Ангар пилорама\E33149364_1_20260113T101608Z.jpg</v>
      </c>
    </row>
    <row r="504" spans="1:13" x14ac:dyDescent="0.25">
      <c r="A504" s="2" t="s">
        <v>14</v>
      </c>
      <c r="B504" s="4">
        <v>46035</v>
      </c>
      <c r="C504" s="5">
        <v>0.4654861111111111</v>
      </c>
      <c r="D504" s="8" t="s">
        <v>5476</v>
      </c>
      <c r="E504" s="8" t="s">
        <v>5480</v>
      </c>
      <c r="F504" s="8" t="s">
        <v>528</v>
      </c>
      <c r="H504" s="8"/>
      <c r="I504" s="8" t="s">
        <v>8960</v>
      </c>
      <c r="J504" s="8" t="s">
        <v>2993</v>
      </c>
      <c r="K504" t="s">
        <v>8961</v>
      </c>
      <c r="L504" t="s">
        <v>8962</v>
      </c>
      <c r="M504" s="3" t="str">
        <f>HYPERLINK(склад2въезд13192021222[[#This Row],[RelativePath]])</f>
        <v>9 Ангар пилорама\E33149364_1_20260113T111018Z.jpg</v>
      </c>
    </row>
    <row r="505" spans="1:13" x14ac:dyDescent="0.25">
      <c r="A505" s="2" t="s">
        <v>14</v>
      </c>
      <c r="B505" s="4">
        <v>46035</v>
      </c>
      <c r="C505" s="5">
        <v>0.52651620370370367</v>
      </c>
      <c r="D505" s="8" t="s">
        <v>4</v>
      </c>
      <c r="E505" s="8" t="s">
        <v>7709</v>
      </c>
      <c r="F505" s="8"/>
      <c r="H505" s="8"/>
      <c r="I505" s="8" t="s">
        <v>8963</v>
      </c>
      <c r="J505" s="8" t="s">
        <v>2993</v>
      </c>
      <c r="K505" t="s">
        <v>8964</v>
      </c>
      <c r="L505" t="s">
        <v>8965</v>
      </c>
      <c r="M505" s="3" t="str">
        <f>HYPERLINK(склад2въезд13192021222[[#This Row],[RelativePath]])</f>
        <v>9 Ангар пилорама\E33149364_1_20260113T123811Z.jpg</v>
      </c>
    </row>
    <row r="506" spans="1:13" x14ac:dyDescent="0.25">
      <c r="A506" s="2" t="s">
        <v>14</v>
      </c>
      <c r="B506" s="4">
        <v>46035</v>
      </c>
      <c r="C506" s="5">
        <v>0.67047453703703708</v>
      </c>
      <c r="D506" s="8" t="s">
        <v>9206</v>
      </c>
      <c r="E506" s="8" t="s">
        <v>1304</v>
      </c>
      <c r="F506" s="8"/>
      <c r="H506" s="8"/>
      <c r="I506" s="8" t="s">
        <v>8966</v>
      </c>
      <c r="J506" s="8" t="s">
        <v>2993</v>
      </c>
      <c r="K506" t="s">
        <v>8967</v>
      </c>
      <c r="L506" t="s">
        <v>8968</v>
      </c>
      <c r="M506" s="3" t="str">
        <f>HYPERLINK(склад2въезд13192021222[[#This Row],[RelativePath]])</f>
        <v>9 Ангар пилорама\E33149364_1_20260113T160529Z.jpg</v>
      </c>
    </row>
    <row r="507" spans="1:13" x14ac:dyDescent="0.25">
      <c r="A507" s="2" t="s">
        <v>14</v>
      </c>
      <c r="B507" s="4">
        <v>46035</v>
      </c>
      <c r="C507" s="5">
        <v>0.67603009259259261</v>
      </c>
      <c r="D507" s="8" t="s">
        <v>9206</v>
      </c>
      <c r="E507" s="8" t="s">
        <v>1304</v>
      </c>
      <c r="F507" s="8"/>
      <c r="H507" s="8"/>
      <c r="I507" s="8" t="s">
        <v>8969</v>
      </c>
      <c r="J507" s="8" t="s">
        <v>2993</v>
      </c>
      <c r="K507" t="s">
        <v>8970</v>
      </c>
      <c r="L507" t="s">
        <v>8971</v>
      </c>
      <c r="M507" s="3" t="str">
        <f>HYPERLINK(склад2въезд13192021222[[#This Row],[RelativePath]])</f>
        <v>9 Ангар пилорама\E33149364_1_20260113T161329Z.jpg</v>
      </c>
    </row>
    <row r="508" spans="1:13" x14ac:dyDescent="0.25">
      <c r="A508" s="2" t="s">
        <v>14</v>
      </c>
      <c r="B508" s="4">
        <v>46035</v>
      </c>
      <c r="C508" s="5">
        <v>0.86349537037037039</v>
      </c>
      <c r="D508" s="8" t="s">
        <v>4</v>
      </c>
      <c r="E508" s="8" t="s">
        <v>86</v>
      </c>
      <c r="F508" s="8"/>
      <c r="H508" s="8" t="s">
        <v>5479</v>
      </c>
      <c r="I508" s="8" t="s">
        <v>8972</v>
      </c>
      <c r="J508" s="8" t="s">
        <v>2993</v>
      </c>
      <c r="K508" t="s">
        <v>8973</v>
      </c>
      <c r="L508" t="s">
        <v>8974</v>
      </c>
      <c r="M508" s="3" t="str">
        <f>HYPERLINK(склад2въезд13192021222[[#This Row],[RelativePath]])</f>
        <v>9 Ангар пилорама\E33149364_1_20260113T204326Z.jpg</v>
      </c>
    </row>
    <row r="509" spans="1:13" x14ac:dyDescent="0.25">
      <c r="A509" s="2" t="s">
        <v>15</v>
      </c>
      <c r="B509" s="4">
        <v>46036</v>
      </c>
      <c r="C509" s="5">
        <v>0.38776620370370368</v>
      </c>
      <c r="D509" s="8" t="s">
        <v>9456</v>
      </c>
      <c r="E509" s="8" t="s">
        <v>1304</v>
      </c>
      <c r="F509" s="8"/>
      <c r="H509" s="8"/>
      <c r="I509" s="8" t="s">
        <v>9288</v>
      </c>
      <c r="J509" s="8" t="s">
        <v>2993</v>
      </c>
      <c r="K509" t="s">
        <v>9289</v>
      </c>
      <c r="L509" t="s">
        <v>9290</v>
      </c>
      <c r="M509" s="3" t="str">
        <f>HYPERLINK(склад2въезд13192021222[[#This Row],[RelativePath]])</f>
        <v>9 Ангар пилорама\E33149364_1_20260114T091823Z.jpg</v>
      </c>
    </row>
    <row r="510" spans="1:13" x14ac:dyDescent="0.25">
      <c r="A510" s="2" t="s">
        <v>15</v>
      </c>
      <c r="B510" s="4">
        <v>46036</v>
      </c>
      <c r="C510" s="5">
        <v>0.43040509259259258</v>
      </c>
      <c r="D510" s="8" t="s">
        <v>9456</v>
      </c>
      <c r="E510" s="8" t="s">
        <v>1304</v>
      </c>
      <c r="F510" s="8"/>
      <c r="H510" s="8"/>
      <c r="I510" s="8" t="s">
        <v>9291</v>
      </c>
      <c r="J510" s="8" t="s">
        <v>2993</v>
      </c>
      <c r="K510" t="s">
        <v>9292</v>
      </c>
      <c r="L510" t="s">
        <v>9293</v>
      </c>
      <c r="M510" s="3" t="str">
        <f>HYPERLINK(склад2въезд13192021222[[#This Row],[RelativePath]])</f>
        <v>9 Ангар пилорама\E33149364_1_20260114T101947Z.jpg</v>
      </c>
    </row>
    <row r="511" spans="1:13" x14ac:dyDescent="0.25">
      <c r="A511" s="2" t="s">
        <v>15</v>
      </c>
      <c r="B511" s="4">
        <v>46036</v>
      </c>
      <c r="C511" s="5">
        <v>0.4992361111111111</v>
      </c>
      <c r="D511" s="8" t="s">
        <v>9456</v>
      </c>
      <c r="E511" s="8" t="s">
        <v>9457</v>
      </c>
      <c r="F511" s="8"/>
      <c r="H511" s="8"/>
      <c r="I511" s="8" t="s">
        <v>9294</v>
      </c>
      <c r="J511" s="8" t="s">
        <v>2993</v>
      </c>
      <c r="K511" t="s">
        <v>9295</v>
      </c>
      <c r="L511" t="s">
        <v>9296</v>
      </c>
      <c r="M511" s="3" t="str">
        <f>HYPERLINK(склад2въезд13192021222[[#This Row],[RelativePath]])</f>
        <v>9 Ангар пилорама\E33149364_1_20260114T115854Z.jpg</v>
      </c>
    </row>
    <row r="512" spans="1:13" x14ac:dyDescent="0.25">
      <c r="A512" s="2" t="s">
        <v>15</v>
      </c>
      <c r="B512" s="4">
        <v>46036</v>
      </c>
      <c r="C512" s="5">
        <v>0.8630902777777778</v>
      </c>
      <c r="D512" s="8" t="s">
        <v>4</v>
      </c>
      <c r="E512" s="8" t="s">
        <v>7709</v>
      </c>
      <c r="F512" s="8"/>
      <c r="H512" s="8"/>
      <c r="I512" s="8" t="s">
        <v>9297</v>
      </c>
      <c r="J512" s="8" t="s">
        <v>2993</v>
      </c>
      <c r="K512" t="s">
        <v>9298</v>
      </c>
      <c r="L512" t="s">
        <v>9299</v>
      </c>
      <c r="M512" s="3" t="str">
        <f>HYPERLINK(склад2въезд13192021222[[#This Row],[RelativePath]])</f>
        <v>9 Ангар пилорама\E33149364_1_20260114T204251Z.jpg</v>
      </c>
    </row>
    <row r="513" spans="1:13" x14ac:dyDescent="0.25">
      <c r="A513" s="2" t="s">
        <v>16</v>
      </c>
      <c r="B513" s="4">
        <v>46037</v>
      </c>
      <c r="C513" s="5">
        <v>0.39008101851851851</v>
      </c>
      <c r="D513" s="8" t="s">
        <v>9456</v>
      </c>
      <c r="E513" s="8" t="s">
        <v>1304</v>
      </c>
      <c r="F513" s="8"/>
      <c r="H513" s="8"/>
      <c r="I513" s="8" t="s">
        <v>9458</v>
      </c>
      <c r="J513" s="8" t="s">
        <v>2993</v>
      </c>
      <c r="K513" t="s">
        <v>9459</v>
      </c>
      <c r="L513" t="s">
        <v>9460</v>
      </c>
      <c r="M513" s="3" t="str">
        <f>HYPERLINK(склад2въезд13192021222[[#This Row],[RelativePath]])</f>
        <v>9 Ангар пилорама\E33149364_1_20260115T092143Z.jpg</v>
      </c>
    </row>
    <row r="514" spans="1:13" x14ac:dyDescent="0.25">
      <c r="A514" s="2" t="s">
        <v>16</v>
      </c>
      <c r="B514" s="4">
        <v>46037</v>
      </c>
      <c r="C514" s="5">
        <v>0.43109953703703702</v>
      </c>
      <c r="D514" s="8" t="s">
        <v>9456</v>
      </c>
      <c r="E514" s="8" t="s">
        <v>1304</v>
      </c>
      <c r="F514" s="8"/>
      <c r="H514" s="8"/>
      <c r="I514" s="8" t="s">
        <v>9461</v>
      </c>
      <c r="J514" s="8" t="s">
        <v>2993</v>
      </c>
      <c r="K514" t="s">
        <v>9462</v>
      </c>
      <c r="L514" t="s">
        <v>9463</v>
      </c>
      <c r="M514" s="3" t="str">
        <f>HYPERLINK(склад2въезд13192021222[[#This Row],[RelativePath]])</f>
        <v>9 Ангар пилорама\E33149364_1_20260115T102047Z.jpg</v>
      </c>
    </row>
    <row r="515" spans="1:13" x14ac:dyDescent="0.25">
      <c r="A515" s="2" t="s">
        <v>16</v>
      </c>
      <c r="B515" s="4">
        <v>46037</v>
      </c>
      <c r="C515" s="5">
        <v>0.59337962962962965</v>
      </c>
      <c r="D515" s="8" t="s">
        <v>9456</v>
      </c>
      <c r="E515" s="8" t="s">
        <v>1304</v>
      </c>
      <c r="F515" s="8"/>
      <c r="H515" s="8"/>
      <c r="I515" s="8" t="s">
        <v>9464</v>
      </c>
      <c r="J515" s="8" t="s">
        <v>2993</v>
      </c>
      <c r="K515" t="s">
        <v>9465</v>
      </c>
      <c r="L515" t="s">
        <v>9466</v>
      </c>
      <c r="M515" s="3" t="str">
        <f>HYPERLINK(склад2въезд13192021222[[#This Row],[RelativePath]])</f>
        <v>9 Ангар пилорама\E33149364_1_20260115T141428Z.jpg</v>
      </c>
    </row>
    <row r="516" spans="1:13" x14ac:dyDescent="0.25">
      <c r="A516" s="2" t="s">
        <v>16</v>
      </c>
      <c r="B516" s="4">
        <v>46037</v>
      </c>
      <c r="C516" s="5">
        <v>0.64023148148148146</v>
      </c>
      <c r="D516" s="8" t="s">
        <v>9456</v>
      </c>
      <c r="E516" s="8" t="s">
        <v>1304</v>
      </c>
      <c r="F516" s="8"/>
      <c r="H516" s="8"/>
      <c r="I516" s="8" t="s">
        <v>9467</v>
      </c>
      <c r="J516" s="8" t="s">
        <v>2993</v>
      </c>
      <c r="K516" t="s">
        <v>9468</v>
      </c>
      <c r="L516" t="s">
        <v>9469</v>
      </c>
      <c r="M516" s="3" t="str">
        <f>HYPERLINK(склад2въезд13192021222[[#This Row],[RelativePath]])</f>
        <v>9 Ангар пилорама\E33149364_1_20260115T152156Z.jpg</v>
      </c>
    </row>
    <row r="517" spans="1:13" x14ac:dyDescent="0.25">
      <c r="A517" s="2" t="s">
        <v>16</v>
      </c>
      <c r="B517" s="4">
        <v>46037</v>
      </c>
      <c r="C517" s="5">
        <v>0.67712962962962964</v>
      </c>
      <c r="D517" s="8" t="s">
        <v>9456</v>
      </c>
      <c r="E517" s="8" t="s">
        <v>1304</v>
      </c>
      <c r="F517" s="8"/>
      <c r="H517" s="8"/>
      <c r="I517" s="8" t="s">
        <v>9470</v>
      </c>
      <c r="J517" s="8" t="s">
        <v>2993</v>
      </c>
      <c r="K517" t="s">
        <v>9471</v>
      </c>
      <c r="L517" t="s">
        <v>9472</v>
      </c>
      <c r="M517" s="3" t="str">
        <f>HYPERLINK(склад2въезд13192021222[[#This Row],[RelativePath]])</f>
        <v>9 Ангар пилорама\E33149364_1_20260115T161504Z.jpg</v>
      </c>
    </row>
    <row r="518" spans="1:13" x14ac:dyDescent="0.25">
      <c r="A518" s="2" t="s">
        <v>17</v>
      </c>
      <c r="B518" s="4">
        <v>46038</v>
      </c>
      <c r="C518" s="5">
        <v>0.44732638888888887</v>
      </c>
      <c r="D518" s="8" t="s">
        <v>9456</v>
      </c>
      <c r="E518" s="8" t="s">
        <v>1304</v>
      </c>
      <c r="F518" s="8"/>
      <c r="H518" s="8"/>
      <c r="I518" s="8" t="s">
        <v>9473</v>
      </c>
      <c r="J518" s="8" t="s">
        <v>2993</v>
      </c>
      <c r="K518" t="s">
        <v>9474</v>
      </c>
      <c r="L518" t="s">
        <v>9475</v>
      </c>
      <c r="M518" s="3" t="str">
        <f>HYPERLINK(склад2въезд13192021222[[#This Row],[RelativePath]])</f>
        <v>9 Ангар пилорама\E33149364_1_20260116T104409Z.jpg</v>
      </c>
    </row>
    <row r="519" spans="1:13" x14ac:dyDescent="0.25">
      <c r="A519" s="2" t="s">
        <v>17</v>
      </c>
      <c r="B519" s="4">
        <v>46038</v>
      </c>
      <c r="C519" s="5">
        <v>0.4646527777777778</v>
      </c>
      <c r="D519" s="8" t="s">
        <v>9485</v>
      </c>
      <c r="E519" s="8" t="s">
        <v>1304</v>
      </c>
      <c r="F519" s="8"/>
      <c r="H519" s="8"/>
      <c r="I519" s="8" t="s">
        <v>9476</v>
      </c>
      <c r="J519" s="8" t="s">
        <v>2993</v>
      </c>
      <c r="K519" t="s">
        <v>9477</v>
      </c>
      <c r="L519" t="s">
        <v>9478</v>
      </c>
      <c r="M519" s="3" t="str">
        <f>HYPERLINK(склад2въезд13192021222[[#This Row],[RelativePath]])</f>
        <v>9 Ангар пилорама\E33149364_1_20260116T110906Z.jpg</v>
      </c>
    </row>
    <row r="520" spans="1:13" x14ac:dyDescent="0.25">
      <c r="A520" s="2" t="s">
        <v>17</v>
      </c>
      <c r="B520" s="4">
        <v>46038</v>
      </c>
      <c r="C520" s="5">
        <v>0.50703703703703706</v>
      </c>
      <c r="D520" s="8" t="s">
        <v>9455</v>
      </c>
      <c r="E520" s="8" t="s">
        <v>5137</v>
      </c>
      <c r="F520" s="8"/>
      <c r="H520" s="8"/>
      <c r="I520" s="8" t="s">
        <v>9479</v>
      </c>
      <c r="J520" s="8" t="s">
        <v>2993</v>
      </c>
      <c r="K520" t="s">
        <v>9480</v>
      </c>
      <c r="L520" t="s">
        <v>9481</v>
      </c>
      <c r="M520" s="3" t="str">
        <f>HYPERLINK(склад2въезд13192021222[[#This Row],[RelativePath]])</f>
        <v>9 Ангар пилорама\E33149364_1_20260116T121008Z.jpg</v>
      </c>
    </row>
    <row r="521" spans="1:13" x14ac:dyDescent="0.25">
      <c r="A521" s="2" t="s">
        <v>17</v>
      </c>
      <c r="B521" s="4">
        <v>46038</v>
      </c>
      <c r="C521" s="5">
        <v>0.63501157407407405</v>
      </c>
      <c r="D521" s="8" t="s">
        <v>4</v>
      </c>
      <c r="E521" s="8" t="s">
        <v>86</v>
      </c>
      <c r="F521" s="8"/>
      <c r="H521" s="8" t="s">
        <v>5479</v>
      </c>
      <c r="I521" s="8" t="s">
        <v>9482</v>
      </c>
      <c r="J521" s="8" t="s">
        <v>2993</v>
      </c>
      <c r="K521" t="s">
        <v>9483</v>
      </c>
      <c r="L521" t="s">
        <v>9484</v>
      </c>
      <c r="M521" s="3" t="str">
        <f>HYPERLINK(склад2въезд13192021222[[#This Row],[RelativePath]])</f>
        <v>9 Ангар пилорама\E33149364_1_20260116T151425Z.jpg</v>
      </c>
    </row>
    <row r="522" spans="1:13" x14ac:dyDescent="0.25">
      <c r="A522" s="2" t="s">
        <v>18</v>
      </c>
      <c r="B522" s="4">
        <v>46039</v>
      </c>
      <c r="C522" s="5">
        <v>0.51003472222222224</v>
      </c>
      <c r="D522" s="8" t="s">
        <v>4</v>
      </c>
      <c r="E522" s="8" t="s">
        <v>86</v>
      </c>
      <c r="F522" s="8"/>
      <c r="H522" s="8" t="s">
        <v>5479</v>
      </c>
      <c r="I522" s="8" t="s">
        <v>9648</v>
      </c>
      <c r="J522" s="8" t="s">
        <v>2993</v>
      </c>
      <c r="K522" t="s">
        <v>9649</v>
      </c>
      <c r="L522" t="s">
        <v>9650</v>
      </c>
      <c r="M522" s="3" t="str">
        <f>HYPERLINK(склад2въезд13192021222[[#This Row],[RelativePath]])</f>
        <v>9 Ангар пилорама\E33149364_1_20260117T121427Z.jpg</v>
      </c>
    </row>
    <row r="523" spans="1:13" x14ac:dyDescent="0.25">
      <c r="A523" s="2" t="s">
        <v>22</v>
      </c>
      <c r="B523" s="4">
        <v>46040</v>
      </c>
      <c r="C523" s="5">
        <v>0.62616898148148148</v>
      </c>
      <c r="D523" s="8" t="s">
        <v>4</v>
      </c>
      <c r="E523" s="8" t="s">
        <v>9691</v>
      </c>
      <c r="F523" s="8"/>
      <c r="H523" s="8"/>
      <c r="I523" s="8" t="s">
        <v>9651</v>
      </c>
      <c r="J523" s="8" t="s">
        <v>2993</v>
      </c>
      <c r="K523" t="s">
        <v>9652</v>
      </c>
      <c r="L523" t="s">
        <v>9653</v>
      </c>
      <c r="M523" s="3" t="str">
        <f>HYPERLINK(склад2въезд13192021222[[#This Row],[RelativePath]])</f>
        <v>9 Ангар пилорама\E33149364_1_20260118T150141Z.jpg</v>
      </c>
    </row>
    <row r="524" spans="1:13" x14ac:dyDescent="0.25">
      <c r="A524" s="2" t="s">
        <v>22</v>
      </c>
      <c r="B524" s="4">
        <v>46040</v>
      </c>
      <c r="C524" s="5">
        <v>0.63059027777777776</v>
      </c>
      <c r="D524" s="8" t="s">
        <v>9692</v>
      </c>
      <c r="E524" s="8" t="s">
        <v>9201</v>
      </c>
      <c r="F524" s="8"/>
      <c r="H524" s="8"/>
      <c r="I524" s="8" t="s">
        <v>9654</v>
      </c>
      <c r="J524" s="8" t="s">
        <v>2993</v>
      </c>
      <c r="K524" t="s">
        <v>9655</v>
      </c>
      <c r="L524" t="s">
        <v>9656</v>
      </c>
      <c r="M524" s="3" t="str">
        <f>HYPERLINK(склад2въезд13192021222[[#This Row],[RelativePath]])</f>
        <v>9 Ангар пилорама\E33149364_1_20260118T150803Z.jpg</v>
      </c>
    </row>
    <row r="525" spans="1:13" x14ac:dyDescent="0.25">
      <c r="A525" s="2" t="s">
        <v>13</v>
      </c>
      <c r="B525" s="4">
        <v>46041</v>
      </c>
      <c r="C525" s="5">
        <v>0.3956365740740741</v>
      </c>
      <c r="D525" s="8" t="s">
        <v>9456</v>
      </c>
      <c r="E525" s="8" t="s">
        <v>1304</v>
      </c>
      <c r="F525" s="8"/>
      <c r="H525" s="8"/>
      <c r="I525" s="8" t="s">
        <v>9795</v>
      </c>
      <c r="J525" s="8" t="s">
        <v>2993</v>
      </c>
      <c r="K525" t="s">
        <v>9796</v>
      </c>
      <c r="L525" t="s">
        <v>9797</v>
      </c>
      <c r="M525" s="3" t="str">
        <f>HYPERLINK(склад2въезд13192021222[[#This Row],[RelativePath]])</f>
        <v>9 Ангар пилорама\E33149364_1_20260119T092943Z.jpg</v>
      </c>
    </row>
    <row r="526" spans="1:13" x14ac:dyDescent="0.25">
      <c r="A526" s="2" t="s">
        <v>13</v>
      </c>
      <c r="B526" s="4">
        <v>46041</v>
      </c>
      <c r="C526" s="5">
        <v>0.64296296296296296</v>
      </c>
      <c r="D526" s="8" t="s">
        <v>9456</v>
      </c>
      <c r="E526" s="8" t="s">
        <v>1304</v>
      </c>
      <c r="F526" s="8"/>
      <c r="H526" s="8"/>
      <c r="I526" s="8" t="s">
        <v>9798</v>
      </c>
      <c r="J526" s="8" t="s">
        <v>2993</v>
      </c>
      <c r="K526" t="s">
        <v>9799</v>
      </c>
      <c r="L526" t="s">
        <v>9800</v>
      </c>
      <c r="M526" s="3" t="str">
        <f>HYPERLINK(склад2въезд13192021222[[#This Row],[RelativePath]])</f>
        <v>9 Ангар пилорама\E33149364_1_20260119T152552Z.jpg</v>
      </c>
    </row>
    <row r="527" spans="1:13" x14ac:dyDescent="0.25">
      <c r="A527" s="2" t="s">
        <v>14</v>
      </c>
      <c r="B527" s="4">
        <v>46042</v>
      </c>
      <c r="C527" s="5">
        <v>0.39396990740740739</v>
      </c>
      <c r="D527" s="8" t="s">
        <v>4</v>
      </c>
      <c r="E527" s="8" t="s">
        <v>9</v>
      </c>
      <c r="F527" s="8"/>
      <c r="H527" s="8"/>
      <c r="I527" s="8" t="s">
        <v>9801</v>
      </c>
      <c r="J527" s="8" t="s">
        <v>2993</v>
      </c>
      <c r="K527" t="s">
        <v>9802</v>
      </c>
      <c r="L527" t="s">
        <v>9803</v>
      </c>
      <c r="M527" s="3" t="str">
        <f>HYPERLINK(склад2въезд13192021222[[#This Row],[RelativePath]])</f>
        <v>9 Ангар пилорама\E33149364_1_20260120T092719Z.jpg</v>
      </c>
    </row>
    <row r="528" spans="1:13" x14ac:dyDescent="0.25">
      <c r="A528" s="2" t="s">
        <v>14</v>
      </c>
      <c r="B528" s="4">
        <v>46042</v>
      </c>
      <c r="C528" s="5">
        <v>0.42283564814814817</v>
      </c>
      <c r="D528" s="8" t="s">
        <v>4</v>
      </c>
      <c r="E528" s="8" t="s">
        <v>5477</v>
      </c>
      <c r="F528" s="8"/>
      <c r="H528" s="8"/>
      <c r="I528" s="8" t="s">
        <v>9804</v>
      </c>
      <c r="J528" s="8" t="s">
        <v>2993</v>
      </c>
      <c r="K528" t="s">
        <v>9805</v>
      </c>
      <c r="L528" t="s">
        <v>9806</v>
      </c>
      <c r="M528" s="3" t="str">
        <f>HYPERLINK(склад2въезд13192021222[[#This Row],[RelativePath]])</f>
        <v>9 Ангар пилорама\E33149364_1_20260120T100853Z.jpg</v>
      </c>
    </row>
    <row r="529" spans="1:13" x14ac:dyDescent="0.25">
      <c r="A529" s="2" t="s">
        <v>14</v>
      </c>
      <c r="B529" s="4">
        <v>46042</v>
      </c>
      <c r="C529" s="5">
        <v>0.42439814814814814</v>
      </c>
      <c r="D529" s="8" t="s">
        <v>5476</v>
      </c>
      <c r="E529" s="8" t="s">
        <v>5480</v>
      </c>
      <c r="F529" s="8" t="s">
        <v>9202</v>
      </c>
      <c r="G529">
        <v>1</v>
      </c>
      <c r="H529" s="8"/>
      <c r="I529" s="8" t="s">
        <v>9807</v>
      </c>
      <c r="J529" s="8" t="s">
        <v>2993</v>
      </c>
      <c r="K529" t="s">
        <v>9808</v>
      </c>
      <c r="L529" t="s">
        <v>9809</v>
      </c>
      <c r="M529" s="3" t="str">
        <f>HYPERLINK(склад2въезд13192021222[[#This Row],[RelativePath]])</f>
        <v>9 Ангар пилорама\E33149364_1_20260120T101108Z.jpg</v>
      </c>
    </row>
    <row r="530" spans="1:13" x14ac:dyDescent="0.25">
      <c r="A530" s="2" t="s">
        <v>14</v>
      </c>
      <c r="B530" s="4">
        <v>46042</v>
      </c>
      <c r="C530" s="5">
        <v>0.43718750000000001</v>
      </c>
      <c r="D530" s="8" t="s">
        <v>5476</v>
      </c>
      <c r="E530" s="8" t="s">
        <v>5480</v>
      </c>
      <c r="F530" s="8" t="s">
        <v>9202</v>
      </c>
      <c r="G530">
        <v>2</v>
      </c>
      <c r="H530" s="8"/>
      <c r="I530" s="8" t="s">
        <v>9810</v>
      </c>
      <c r="J530" s="8" t="s">
        <v>2993</v>
      </c>
      <c r="K530" t="s">
        <v>9811</v>
      </c>
      <c r="L530" t="s">
        <v>9812</v>
      </c>
      <c r="M530" s="3" t="str">
        <f>HYPERLINK(склад2въезд13192021222[[#This Row],[RelativePath]])</f>
        <v>9 Ангар пилорама\E33149364_1_20260120T102933Z.jpg</v>
      </c>
    </row>
    <row r="531" spans="1:13" x14ac:dyDescent="0.25">
      <c r="A531" s="2" t="s">
        <v>14</v>
      </c>
      <c r="B531" s="4">
        <v>46042</v>
      </c>
      <c r="C531" s="5">
        <v>0.44275462962962964</v>
      </c>
      <c r="D531" s="8" t="s">
        <v>5476</v>
      </c>
      <c r="E531" s="8" t="s">
        <v>5480</v>
      </c>
      <c r="F531" s="8" t="s">
        <v>9202</v>
      </c>
      <c r="G531">
        <v>1</v>
      </c>
      <c r="H531" s="8"/>
      <c r="I531" s="8" t="s">
        <v>9813</v>
      </c>
      <c r="J531" s="8" t="s">
        <v>2993</v>
      </c>
      <c r="K531" t="s">
        <v>9814</v>
      </c>
      <c r="L531" t="s">
        <v>9815</v>
      </c>
      <c r="M531" s="3" t="str">
        <f>HYPERLINK(склад2въезд13192021222[[#This Row],[RelativePath]])</f>
        <v>9 Ангар пилорама\E33149364_1_20260120T103734Z.jpg</v>
      </c>
    </row>
    <row r="532" spans="1:13" x14ac:dyDescent="0.25">
      <c r="A532" s="2" t="s">
        <v>14</v>
      </c>
      <c r="B532" s="4">
        <v>46042</v>
      </c>
      <c r="C532" s="5">
        <v>0.46475694444444443</v>
      </c>
      <c r="D532" s="8" t="s">
        <v>4</v>
      </c>
      <c r="E532" s="8" t="s">
        <v>5477</v>
      </c>
      <c r="F532" s="8"/>
      <c r="H532" s="8"/>
      <c r="I532" s="8" t="s">
        <v>9816</v>
      </c>
      <c r="J532" s="8" t="s">
        <v>2993</v>
      </c>
      <c r="K532" t="s">
        <v>9817</v>
      </c>
      <c r="L532" t="s">
        <v>9818</v>
      </c>
      <c r="M532" s="3" t="str">
        <f>HYPERLINK(склад2въезд13192021222[[#This Row],[RelativePath]])</f>
        <v>9 Ангар пилорама\E33149364_1_20260120T110915Z.jpg</v>
      </c>
    </row>
    <row r="533" spans="1:13" x14ac:dyDescent="0.25">
      <c r="A533" s="2" t="s">
        <v>14</v>
      </c>
      <c r="B533" s="4">
        <v>46042</v>
      </c>
      <c r="C533" s="5">
        <v>0.53749999999999998</v>
      </c>
      <c r="D533" s="8" t="s">
        <v>4</v>
      </c>
      <c r="E533" s="8" t="s">
        <v>5477</v>
      </c>
      <c r="F533" s="8"/>
      <c r="H533" s="8"/>
      <c r="I533" s="8" t="s">
        <v>9819</v>
      </c>
      <c r="J533" s="8" t="s">
        <v>2993</v>
      </c>
      <c r="K533" t="s">
        <v>9820</v>
      </c>
      <c r="L533" t="s">
        <v>9821</v>
      </c>
      <c r="M533" s="3" t="str">
        <f>HYPERLINK(склад2въезд13192021222[[#This Row],[RelativePath]])</f>
        <v>9 Ангар пилорама\E33149364_1_20260120T125400Z.jpg</v>
      </c>
    </row>
    <row r="534" spans="1:13" x14ac:dyDescent="0.25">
      <c r="A534" s="2" t="s">
        <v>14</v>
      </c>
      <c r="B534" s="4">
        <v>46042</v>
      </c>
      <c r="C534" s="5">
        <v>0.88525462962962964</v>
      </c>
      <c r="D534" s="8" t="s">
        <v>4</v>
      </c>
      <c r="E534" s="8" t="s">
        <v>86</v>
      </c>
      <c r="F534" s="8"/>
      <c r="H534" s="8" t="s">
        <v>5479</v>
      </c>
      <c r="I534" s="8" t="s">
        <v>9822</v>
      </c>
      <c r="J534" s="8" t="s">
        <v>2993</v>
      </c>
      <c r="K534" t="s">
        <v>9823</v>
      </c>
      <c r="L534" t="s">
        <v>9824</v>
      </c>
      <c r="M534" s="3" t="str">
        <f>HYPERLINK(склад2въезд13192021222[[#This Row],[RelativePath]])</f>
        <v>9 Ангар пилорама\E33149364_1_20260120T211446Z.jpg</v>
      </c>
    </row>
    <row r="535" spans="1:13" x14ac:dyDescent="0.25">
      <c r="A535" s="2" t="s">
        <v>15</v>
      </c>
      <c r="B535" s="4">
        <v>46043</v>
      </c>
      <c r="C535" s="5">
        <v>0.38946759259259262</v>
      </c>
      <c r="D535" s="8" t="s">
        <v>9200</v>
      </c>
      <c r="E535" s="8" t="s">
        <v>5137</v>
      </c>
      <c r="F535" s="8"/>
      <c r="H535" s="8"/>
      <c r="I535" s="8" t="s">
        <v>10017</v>
      </c>
      <c r="J535" s="8" t="s">
        <v>2993</v>
      </c>
      <c r="K535" t="s">
        <v>10018</v>
      </c>
      <c r="L535" t="s">
        <v>10019</v>
      </c>
      <c r="M535" s="3" t="str">
        <f>HYPERLINK(склад2въезд13192021222[[#This Row],[RelativePath]])</f>
        <v>9 Ангар пилорама\E33149364_1_20260121T092050Z.jpg</v>
      </c>
    </row>
    <row r="536" spans="1:13" x14ac:dyDescent="0.25">
      <c r="A536" s="2" t="s">
        <v>15</v>
      </c>
      <c r="B536" s="4">
        <v>46043</v>
      </c>
      <c r="C536" s="5">
        <v>0.88011574074074073</v>
      </c>
      <c r="D536" s="8" t="s">
        <v>4</v>
      </c>
      <c r="E536" s="8" t="s">
        <v>7709</v>
      </c>
      <c r="F536" s="8"/>
      <c r="H536" s="8"/>
      <c r="I536" s="8" t="s">
        <v>10020</v>
      </c>
      <c r="J536" s="8" t="s">
        <v>2993</v>
      </c>
      <c r="K536" t="s">
        <v>10021</v>
      </c>
      <c r="L536" t="s">
        <v>10022</v>
      </c>
      <c r="M536" s="3" t="str">
        <f>HYPERLINK(склад2въезд13192021222[[#This Row],[RelativePath]])</f>
        <v>9 Ангар пилорама\E33149364_1_20260121T210722Z.jpg</v>
      </c>
    </row>
    <row r="537" spans="1:13" x14ac:dyDescent="0.25">
      <c r="A537" s="2" t="s">
        <v>16</v>
      </c>
      <c r="B537" s="4">
        <v>46044</v>
      </c>
      <c r="C537" s="5">
        <v>0.48199074074074072</v>
      </c>
      <c r="D537" s="8" t="s">
        <v>5476</v>
      </c>
      <c r="E537" s="8" t="s">
        <v>5480</v>
      </c>
      <c r="F537" s="8" t="s">
        <v>9202</v>
      </c>
      <c r="G537">
        <v>1</v>
      </c>
      <c r="H537" s="8"/>
      <c r="I537" s="8" t="s">
        <v>10023</v>
      </c>
      <c r="J537" s="8" t="s">
        <v>2993</v>
      </c>
      <c r="K537" t="s">
        <v>10024</v>
      </c>
      <c r="L537" t="s">
        <v>10025</v>
      </c>
      <c r="M537" s="3" t="str">
        <f>HYPERLINK(склад2въезд13192021222[[#This Row],[RelativePath]])</f>
        <v>9 Ангар пилорама\E33149364_1_20260122T113404Z.jpg</v>
      </c>
    </row>
    <row r="538" spans="1:13" x14ac:dyDescent="0.25">
      <c r="A538" s="2" t="s">
        <v>16</v>
      </c>
      <c r="B538" s="4">
        <v>46044</v>
      </c>
      <c r="C538" s="5">
        <v>0.49608796296296298</v>
      </c>
      <c r="D538" s="8" t="s">
        <v>5476</v>
      </c>
      <c r="E538" s="8" t="s">
        <v>5480</v>
      </c>
      <c r="F538" s="8" t="s">
        <v>9202</v>
      </c>
      <c r="G538">
        <v>1</v>
      </c>
      <c r="H538" s="8"/>
      <c r="I538" s="8" t="s">
        <v>10026</v>
      </c>
      <c r="J538" s="8" t="s">
        <v>2993</v>
      </c>
      <c r="K538" t="s">
        <v>10027</v>
      </c>
      <c r="L538" t="s">
        <v>10028</v>
      </c>
      <c r="M538" s="3" t="str">
        <f>HYPERLINK(склад2въезд13192021222[[#This Row],[RelativePath]])</f>
        <v>9 Ангар пилорама\E33149364_1_20260122T115422Z.jpg</v>
      </c>
    </row>
    <row r="539" spans="1:13" x14ac:dyDescent="0.25">
      <c r="A539" s="2" t="s">
        <v>16</v>
      </c>
      <c r="B539" s="4">
        <v>46044</v>
      </c>
      <c r="C539" s="5">
        <v>0.49717592592592591</v>
      </c>
      <c r="D539" s="8" t="s">
        <v>9692</v>
      </c>
      <c r="E539" s="8" t="s">
        <v>5137</v>
      </c>
      <c r="F539" s="8"/>
      <c r="H539" s="8"/>
      <c r="I539" s="8" t="s">
        <v>10029</v>
      </c>
      <c r="J539" s="8" t="s">
        <v>2993</v>
      </c>
      <c r="K539" t="s">
        <v>10030</v>
      </c>
      <c r="L539" t="s">
        <v>10031</v>
      </c>
      <c r="M539" s="3" t="str">
        <f>HYPERLINK(склад2въезд13192021222[[#This Row],[RelativePath]])</f>
        <v>9 Ангар пилорама\E33149364_1_20260122T115556Z.jpg</v>
      </c>
    </row>
    <row r="540" spans="1:13" x14ac:dyDescent="0.25">
      <c r="A540" s="2" t="s">
        <v>16</v>
      </c>
      <c r="B540" s="4">
        <v>46044</v>
      </c>
      <c r="C540" s="5">
        <v>0.50127314814814816</v>
      </c>
      <c r="D540" s="8" t="s">
        <v>5476</v>
      </c>
      <c r="E540" s="8" t="s">
        <v>5480</v>
      </c>
      <c r="F540" s="8" t="s">
        <v>9202</v>
      </c>
      <c r="G540">
        <v>2</v>
      </c>
      <c r="H540" s="8"/>
      <c r="I540" s="8" t="s">
        <v>10032</v>
      </c>
      <c r="J540" s="8" t="s">
        <v>2993</v>
      </c>
      <c r="K540" t="s">
        <v>10033</v>
      </c>
      <c r="L540" t="s">
        <v>10034</v>
      </c>
      <c r="M540" s="3" t="str">
        <f>HYPERLINK(склад2въезд13192021222[[#This Row],[RelativePath]])</f>
        <v>9 Ангар пилорама\E33149364_1_20260122T120150Z.jpg</v>
      </c>
    </row>
    <row r="541" spans="1:13" x14ac:dyDescent="0.25">
      <c r="A541" s="2" t="s">
        <v>16</v>
      </c>
      <c r="B541" s="4">
        <v>46044</v>
      </c>
      <c r="C541" s="5">
        <v>0.614375</v>
      </c>
      <c r="D541" s="8" t="s">
        <v>158</v>
      </c>
      <c r="E541" s="8" t="s">
        <v>5480</v>
      </c>
      <c r="F541" s="8" t="s">
        <v>528</v>
      </c>
      <c r="G541">
        <v>1</v>
      </c>
      <c r="H541" s="8"/>
      <c r="I541" s="8" t="s">
        <v>10035</v>
      </c>
      <c r="J541" s="8" t="s">
        <v>2993</v>
      </c>
      <c r="K541" t="s">
        <v>10036</v>
      </c>
      <c r="L541" t="s">
        <v>10037</v>
      </c>
      <c r="M541" s="3" t="str">
        <f>HYPERLINK(склад2въезд13192021222[[#This Row],[RelativePath]])</f>
        <v>9 Ангар пилорама\E33149364_1_20260122T144442Z.jpg</v>
      </c>
    </row>
    <row r="542" spans="1:13" x14ac:dyDescent="0.25">
      <c r="A542" s="2" t="s">
        <v>16</v>
      </c>
      <c r="B542" s="4">
        <v>46044</v>
      </c>
      <c r="C542" s="5">
        <v>0.96657407407407403</v>
      </c>
      <c r="D542" s="8" t="s">
        <v>650</v>
      </c>
      <c r="E542" s="8" t="s">
        <v>5480</v>
      </c>
      <c r="F542" s="8"/>
      <c r="H542" s="8"/>
      <c r="I542" s="8" t="s">
        <v>10038</v>
      </c>
      <c r="J542" s="8" t="s">
        <v>2993</v>
      </c>
      <c r="K542" t="s">
        <v>10039</v>
      </c>
      <c r="L542" t="s">
        <v>10040</v>
      </c>
      <c r="M542" s="3" t="str">
        <f>HYPERLINK(склад2въезд13192021222[[#This Row],[RelativePath]])</f>
        <v>9 Ангар пилорама\E33149364_1_20260122T231152Z.jpg</v>
      </c>
    </row>
    <row r="543" spans="1:13" x14ac:dyDescent="0.25">
      <c r="A543" s="2" t="s">
        <v>16</v>
      </c>
      <c r="B543" s="4">
        <v>46044</v>
      </c>
      <c r="C543" s="5">
        <v>0.99260416666666662</v>
      </c>
      <c r="D543" s="8" t="s">
        <v>4</v>
      </c>
      <c r="E543" s="8" t="s">
        <v>8824</v>
      </c>
      <c r="F543" s="8"/>
      <c r="H543" s="8"/>
      <c r="I543" s="8" t="s">
        <v>10041</v>
      </c>
      <c r="J543" s="8" t="s">
        <v>2993</v>
      </c>
      <c r="K543" t="s">
        <v>10042</v>
      </c>
      <c r="L543" t="s">
        <v>10043</v>
      </c>
      <c r="M543" s="3" t="str">
        <f>HYPERLINK(склад2въезд13192021222[[#This Row],[RelativePath]])</f>
        <v>9 Ангар пилорама\E33149364_1_20260122T234921Z.jpg</v>
      </c>
    </row>
    <row r="544" spans="1:13" x14ac:dyDescent="0.25">
      <c r="A544" s="2" t="s">
        <v>17</v>
      </c>
      <c r="B544" s="4">
        <v>46045</v>
      </c>
      <c r="C544" s="5">
        <v>1.1261574074074075E-2</v>
      </c>
      <c r="D544" s="8" t="s">
        <v>4</v>
      </c>
      <c r="E544" s="8" t="s">
        <v>10393</v>
      </c>
      <c r="F544" s="8"/>
      <c r="H544" s="8" t="s">
        <v>5479</v>
      </c>
      <c r="I544" s="8" t="s">
        <v>10371</v>
      </c>
      <c r="J544" s="8" t="s">
        <v>2993</v>
      </c>
      <c r="K544" t="s">
        <v>10372</v>
      </c>
      <c r="L544" t="s">
        <v>10373</v>
      </c>
      <c r="M544" s="3" t="str">
        <f>HYPERLINK(склад2въезд13192021222[[#This Row],[RelativePath]])</f>
        <v>9 Ангар пилорама\E33149364_1_20260123T001613Z.jpg</v>
      </c>
    </row>
    <row r="545" spans="1:13" x14ac:dyDescent="0.25">
      <c r="A545" s="2" t="s">
        <v>17</v>
      </c>
      <c r="B545" s="4">
        <v>46045</v>
      </c>
      <c r="C545" s="5">
        <v>0.40991898148148148</v>
      </c>
      <c r="D545" s="8" t="s">
        <v>4</v>
      </c>
      <c r="E545" s="8" t="s">
        <v>7709</v>
      </c>
      <c r="F545" s="8"/>
      <c r="H545" s="8"/>
      <c r="I545" s="8" t="s">
        <v>10374</v>
      </c>
      <c r="J545" s="8" t="s">
        <v>2993</v>
      </c>
      <c r="K545" t="s">
        <v>10375</v>
      </c>
      <c r="L545" t="s">
        <v>10376</v>
      </c>
      <c r="M545" s="3" t="str">
        <f>HYPERLINK(склад2въезд13192021222[[#This Row],[RelativePath]])</f>
        <v>9 Ангар пилорама\E33149364_1_20260123T095017Z.jpg</v>
      </c>
    </row>
    <row r="546" spans="1:13" x14ac:dyDescent="0.25">
      <c r="A546" s="2" t="s">
        <v>17</v>
      </c>
      <c r="B546" s="4">
        <v>46045</v>
      </c>
      <c r="C546" s="5">
        <v>0.450625</v>
      </c>
      <c r="D546" s="8" t="s">
        <v>289</v>
      </c>
      <c r="E546" s="8" t="s">
        <v>9520</v>
      </c>
      <c r="F546" s="8" t="s">
        <v>58</v>
      </c>
      <c r="H546" s="8" t="s">
        <v>10445</v>
      </c>
      <c r="I546" s="8" t="s">
        <v>10377</v>
      </c>
      <c r="J546" s="8" t="s">
        <v>2993</v>
      </c>
      <c r="K546" t="s">
        <v>10378</v>
      </c>
      <c r="L546" t="s">
        <v>10379</v>
      </c>
      <c r="M546" s="3" t="str">
        <f>HYPERLINK(склад2въезд13192021222[[#This Row],[RelativePath]])</f>
        <v>9 Ангар пилорама\E33149364_1_20260123T104854Z.jpg</v>
      </c>
    </row>
    <row r="547" spans="1:13" x14ac:dyDescent="0.25">
      <c r="A547" s="2" t="s">
        <v>17</v>
      </c>
      <c r="B547" s="4">
        <v>46045</v>
      </c>
      <c r="C547" s="5">
        <v>0.45423611111111112</v>
      </c>
      <c r="D547" s="8" t="s">
        <v>289</v>
      </c>
      <c r="E547" s="8" t="s">
        <v>9520</v>
      </c>
      <c r="F547" s="8" t="s">
        <v>58</v>
      </c>
      <c r="H547" s="8" t="s">
        <v>2936</v>
      </c>
      <c r="I547" s="8" t="s">
        <v>10380</v>
      </c>
      <c r="J547" s="8" t="s">
        <v>2993</v>
      </c>
      <c r="K547" t="s">
        <v>10381</v>
      </c>
      <c r="L547" t="s">
        <v>10382</v>
      </c>
      <c r="M547" s="3" t="str">
        <f>HYPERLINK(склад2въезд13192021222[[#This Row],[RelativePath]])</f>
        <v>9 Ангар пилорама\E33149364_1_20260123T105406Z.jpg</v>
      </c>
    </row>
    <row r="548" spans="1:13" x14ac:dyDescent="0.25">
      <c r="A548" s="2" t="s">
        <v>17</v>
      </c>
      <c r="B548" s="4">
        <v>46045</v>
      </c>
      <c r="C548" s="5">
        <v>0.69060185185185186</v>
      </c>
      <c r="D548" s="8" t="s">
        <v>4</v>
      </c>
      <c r="E548" s="8" t="s">
        <v>5480</v>
      </c>
      <c r="F548" s="8"/>
      <c r="H548" s="8" t="s">
        <v>5479</v>
      </c>
      <c r="I548" s="8" t="s">
        <v>10383</v>
      </c>
      <c r="J548" s="8" t="s">
        <v>2993</v>
      </c>
      <c r="K548" t="s">
        <v>10384</v>
      </c>
      <c r="L548" t="s">
        <v>10385</v>
      </c>
      <c r="M548" s="3" t="str">
        <f>HYPERLINK(склад2въезд13192021222[[#This Row],[RelativePath]])</f>
        <v>9 Ангар пилорама\E33149364_1_20260123T163428Z.jpg</v>
      </c>
    </row>
    <row r="549" spans="1:13" x14ac:dyDescent="0.25">
      <c r="A549" s="2" t="s">
        <v>18</v>
      </c>
      <c r="B549" s="4">
        <v>46046</v>
      </c>
      <c r="C549" s="5">
        <v>0.4387847222222222</v>
      </c>
      <c r="D549" s="8" t="s">
        <v>4</v>
      </c>
      <c r="E549" s="8" t="s">
        <v>5480</v>
      </c>
      <c r="F549" s="8"/>
      <c r="H549" s="8" t="s">
        <v>5479</v>
      </c>
      <c r="I549" s="8" t="s">
        <v>10467</v>
      </c>
      <c r="J549" s="8" t="s">
        <v>2993</v>
      </c>
      <c r="K549" t="s">
        <v>10468</v>
      </c>
      <c r="L549" t="s">
        <v>10469</v>
      </c>
      <c r="M549" s="3" t="str">
        <f>HYPERLINK(склад2въезд13192021222[[#This Row],[RelativePath]])</f>
        <v>9 Ангар пилорама\E33149364_1_20260124T103151Z.jpg</v>
      </c>
    </row>
    <row r="550" spans="1:13" x14ac:dyDescent="0.25">
      <c r="A550" s="2" t="s">
        <v>22</v>
      </c>
      <c r="B550" s="4">
        <v>46047</v>
      </c>
      <c r="C550" s="5">
        <v>0.68355324074074075</v>
      </c>
      <c r="D550" s="8" t="s">
        <v>4</v>
      </c>
      <c r="E550" s="8" t="s">
        <v>5137</v>
      </c>
      <c r="F550" s="8"/>
      <c r="H550" s="8"/>
      <c r="I550" s="8" t="s">
        <v>10518</v>
      </c>
      <c r="J550" s="8" t="s">
        <v>2993</v>
      </c>
      <c r="K550" t="s">
        <v>10519</v>
      </c>
      <c r="L550" t="s">
        <v>10520</v>
      </c>
      <c r="M550" s="3" t="str">
        <f>HYPERLINK(склад2въезд13192021222[[#This Row],[RelativePath]])</f>
        <v>9 Ангар пилорама\E33149364_1_20260125T162419Z.jpg</v>
      </c>
    </row>
    <row r="551" spans="1:13" x14ac:dyDescent="0.25">
      <c r="A551" s="2" t="s">
        <v>13</v>
      </c>
      <c r="B551" s="4">
        <v>46048</v>
      </c>
      <c r="C551" s="5">
        <v>0.52254629629629634</v>
      </c>
      <c r="D551" s="8" t="s">
        <v>9455</v>
      </c>
      <c r="E551" s="8" t="s">
        <v>531</v>
      </c>
      <c r="F551" s="8"/>
      <c r="H551" s="8"/>
      <c r="I551" s="8" t="s">
        <v>10585</v>
      </c>
      <c r="J551" s="8" t="s">
        <v>2993</v>
      </c>
      <c r="K551" t="s">
        <v>10586</v>
      </c>
      <c r="L551" t="s">
        <v>10587</v>
      </c>
      <c r="M551" s="3" t="str">
        <f>HYPERLINK(склад2въезд13192021222[[#This Row],[RelativePath]])</f>
        <v>9 Ангар пилорама\E33149364_1_20260126T123228Z.jpg</v>
      </c>
    </row>
    <row r="552" spans="1:13" x14ac:dyDescent="0.25">
      <c r="A552" s="2" t="s">
        <v>13</v>
      </c>
      <c r="B552" s="4">
        <v>46048</v>
      </c>
      <c r="C552" s="5">
        <v>0.68349537037037034</v>
      </c>
      <c r="D552" s="8" t="s">
        <v>10637</v>
      </c>
      <c r="E552" s="8" t="s">
        <v>531</v>
      </c>
      <c r="F552" s="8"/>
      <c r="H552" s="8"/>
      <c r="I552" s="8" t="s">
        <v>10588</v>
      </c>
      <c r="J552" s="8" t="s">
        <v>2993</v>
      </c>
      <c r="K552" t="s">
        <v>10589</v>
      </c>
      <c r="L552" t="s">
        <v>10590</v>
      </c>
      <c r="M552" s="3" t="str">
        <f>HYPERLINK(склад2въезд13192021222[[#This Row],[RelativePath]])</f>
        <v>9 Ангар пилорама\E33149364_1_20260126T162414Z.jpg</v>
      </c>
    </row>
    <row r="553" spans="1:13" x14ac:dyDescent="0.25">
      <c r="A553" s="2" t="s">
        <v>14</v>
      </c>
      <c r="B553" s="4">
        <v>46049</v>
      </c>
      <c r="C553" s="5">
        <v>0.52869212962962964</v>
      </c>
      <c r="D553" s="8" t="s">
        <v>9455</v>
      </c>
      <c r="E553" s="8" t="s">
        <v>531</v>
      </c>
      <c r="F553" s="8"/>
      <c r="H553" s="8"/>
      <c r="I553" s="8" t="s">
        <v>10591</v>
      </c>
      <c r="J553" s="8" t="s">
        <v>2993</v>
      </c>
      <c r="K553" t="s">
        <v>10592</v>
      </c>
      <c r="L553" t="s">
        <v>10593</v>
      </c>
      <c r="M553" s="3" t="str">
        <f>HYPERLINK(склад2въезд13192021222[[#This Row],[RelativePath]])</f>
        <v>9 Ангар пилорама\E33149364_1_20260127T124119Z.jpg</v>
      </c>
    </row>
    <row r="554" spans="1:13" x14ac:dyDescent="0.25">
      <c r="A554" s="2" t="s">
        <v>14</v>
      </c>
      <c r="B554" s="4">
        <v>46049</v>
      </c>
      <c r="C554" s="5">
        <v>0.60849537037037038</v>
      </c>
      <c r="D554" s="8" t="s">
        <v>10637</v>
      </c>
      <c r="E554" s="8" t="s">
        <v>531</v>
      </c>
      <c r="F554" s="8"/>
      <c r="H554" s="8"/>
      <c r="I554" s="8" t="s">
        <v>10594</v>
      </c>
      <c r="J554" s="8" t="s">
        <v>2993</v>
      </c>
      <c r="K554" t="s">
        <v>10595</v>
      </c>
      <c r="L554" t="s">
        <v>10596</v>
      </c>
      <c r="M554" s="3" t="str">
        <f>HYPERLINK(склад2въезд13192021222[[#This Row],[RelativePath]])</f>
        <v>9 Ангар пилорама\E33149364_1_20260127T143614Z.jpg</v>
      </c>
    </row>
    <row r="555" spans="1:13" x14ac:dyDescent="0.25">
      <c r="A555" s="2" t="s">
        <v>14</v>
      </c>
      <c r="B555" s="4">
        <v>46049</v>
      </c>
      <c r="C555" s="5">
        <v>0.70747685185185183</v>
      </c>
      <c r="D555" s="8" t="s">
        <v>4</v>
      </c>
      <c r="E555" s="8" t="s">
        <v>7709</v>
      </c>
      <c r="F555" s="8"/>
      <c r="H555" s="8"/>
      <c r="I555" s="8" t="s">
        <v>10597</v>
      </c>
      <c r="J555" s="8" t="s">
        <v>2993</v>
      </c>
      <c r="K555" t="s">
        <v>10598</v>
      </c>
      <c r="L555" t="s">
        <v>10599</v>
      </c>
      <c r="M555" s="3" t="str">
        <f>HYPERLINK(склад2въезд13192021222[[#This Row],[RelativePath]])</f>
        <v>9 Ангар пилорама\E33149364_1_20260127T165846Z.jpg</v>
      </c>
    </row>
    <row r="556" spans="1:13" x14ac:dyDescent="0.25">
      <c r="A556" s="2" t="s">
        <v>15</v>
      </c>
      <c r="B556" s="4">
        <v>46050</v>
      </c>
      <c r="C556" s="5">
        <v>0.38651620370370371</v>
      </c>
      <c r="D556" s="8" t="s">
        <v>9455</v>
      </c>
      <c r="E556" s="8" t="s">
        <v>531</v>
      </c>
      <c r="F556" s="8"/>
      <c r="H556" s="8"/>
      <c r="I556" s="8" t="s">
        <v>10788</v>
      </c>
      <c r="J556" s="8" t="s">
        <v>2993</v>
      </c>
      <c r="K556" t="s">
        <v>10789</v>
      </c>
      <c r="L556" t="s">
        <v>10790</v>
      </c>
      <c r="M556" s="3" t="str">
        <f>HYPERLINK(склад2въезд13192021222[[#This Row],[RelativePath]])</f>
        <v>9 Ангар пилорама\E33149364_1_20260128T091635Z.jpg</v>
      </c>
    </row>
    <row r="557" spans="1:13" x14ac:dyDescent="0.25">
      <c r="A557" s="2" t="s">
        <v>15</v>
      </c>
      <c r="B557" s="4">
        <v>46050</v>
      </c>
      <c r="C557" s="5">
        <v>0.41680555555555554</v>
      </c>
      <c r="D557" s="8" t="s">
        <v>4</v>
      </c>
      <c r="E557" s="8" t="s">
        <v>7709</v>
      </c>
      <c r="F557" s="8"/>
      <c r="H557" s="8"/>
      <c r="I557" s="8" t="s">
        <v>10791</v>
      </c>
      <c r="J557" s="8" t="s">
        <v>2993</v>
      </c>
      <c r="K557" t="s">
        <v>10792</v>
      </c>
      <c r="L557" t="s">
        <v>10793</v>
      </c>
      <c r="M557" s="3" t="str">
        <f>HYPERLINK(склад2въезд13192021222[[#This Row],[RelativePath]])</f>
        <v>9 Ангар пилорама\E33149364_1_20260128T100012Z.jpg</v>
      </c>
    </row>
    <row r="558" spans="1:13" x14ac:dyDescent="0.25">
      <c r="A558" s="2" t="s">
        <v>15</v>
      </c>
      <c r="B558" s="4">
        <v>46050</v>
      </c>
      <c r="C558" s="5">
        <v>0.42199074074074072</v>
      </c>
      <c r="D558" s="8" t="s">
        <v>5476</v>
      </c>
      <c r="E558" s="8" t="s">
        <v>5480</v>
      </c>
      <c r="F558" s="8" t="s">
        <v>9202</v>
      </c>
      <c r="H558" s="8"/>
      <c r="I558" s="8" t="s">
        <v>10794</v>
      </c>
      <c r="J558" s="8" t="s">
        <v>2993</v>
      </c>
      <c r="K558" t="s">
        <v>10795</v>
      </c>
      <c r="L558" t="s">
        <v>10796</v>
      </c>
      <c r="M558" s="3" t="str">
        <f>HYPERLINK(склад2въезд13192021222[[#This Row],[RelativePath]])</f>
        <v>9 Ангар пилорама\E33149364_1_20260128T100740Z.jpg</v>
      </c>
    </row>
    <row r="559" spans="1:13" x14ac:dyDescent="0.25">
      <c r="A559" s="2" t="s">
        <v>15</v>
      </c>
      <c r="B559" s="4">
        <v>46050</v>
      </c>
      <c r="C559" s="5">
        <v>0.42229166666666668</v>
      </c>
      <c r="D559" s="8" t="s">
        <v>9692</v>
      </c>
      <c r="E559" s="8" t="s">
        <v>5137</v>
      </c>
      <c r="F559" s="8"/>
      <c r="H559" s="8"/>
      <c r="I559" s="8" t="s">
        <v>10797</v>
      </c>
      <c r="J559" s="8" t="s">
        <v>2993</v>
      </c>
      <c r="K559" t="s">
        <v>10798</v>
      </c>
      <c r="L559" t="s">
        <v>10799</v>
      </c>
      <c r="M559" s="3" t="str">
        <f>HYPERLINK(склад2въезд13192021222[[#This Row],[RelativePath]])</f>
        <v>9 Ангар пилорама\E33149364_1_20260128T100806Z.jpg</v>
      </c>
    </row>
    <row r="560" spans="1:13" x14ac:dyDescent="0.25">
      <c r="A560" s="2" t="s">
        <v>15</v>
      </c>
      <c r="B560" s="4">
        <v>46050</v>
      </c>
      <c r="C560" s="5">
        <v>0.65254629629629635</v>
      </c>
      <c r="D560" s="8" t="s">
        <v>5476</v>
      </c>
      <c r="E560" s="8" t="s">
        <v>5480</v>
      </c>
      <c r="F560" s="8" t="s">
        <v>9202</v>
      </c>
      <c r="H560" s="8"/>
      <c r="I560" s="8" t="s">
        <v>10800</v>
      </c>
      <c r="J560" s="8" t="s">
        <v>2993</v>
      </c>
      <c r="K560" t="s">
        <v>10801</v>
      </c>
      <c r="L560" t="s">
        <v>10802</v>
      </c>
      <c r="M560" s="3" t="str">
        <f>HYPERLINK(склад2въезд13192021222[[#This Row],[RelativePath]])</f>
        <v>9 Ангар пилорама\E33149364_1_20260128T153940Z.jpg</v>
      </c>
    </row>
    <row r="561" spans="1:13" x14ac:dyDescent="0.25">
      <c r="A561" s="2" t="s">
        <v>15</v>
      </c>
      <c r="B561" s="4">
        <v>46050</v>
      </c>
      <c r="C561" s="5">
        <v>0.6539814814814815</v>
      </c>
      <c r="D561" s="8" t="s">
        <v>158</v>
      </c>
      <c r="E561" s="8" t="s">
        <v>9201</v>
      </c>
      <c r="F561" s="8" t="s">
        <v>2929</v>
      </c>
      <c r="H561" s="8"/>
      <c r="I561" s="8" t="s">
        <v>10803</v>
      </c>
      <c r="J561" s="8" t="s">
        <v>2993</v>
      </c>
      <c r="K561" t="s">
        <v>10804</v>
      </c>
      <c r="L561" t="s">
        <v>10805</v>
      </c>
      <c r="M561" s="3" t="str">
        <f>HYPERLINK(склад2въезд13192021222[[#This Row],[RelativePath]])</f>
        <v>9 Ангар пилорама\E33149364_1_20260128T154144Z.jpg</v>
      </c>
    </row>
    <row r="562" spans="1:13" x14ac:dyDescent="0.25">
      <c r="A562" s="2" t="s">
        <v>15</v>
      </c>
      <c r="B562" s="4">
        <v>46050</v>
      </c>
      <c r="C562" s="5">
        <v>0.89396990740740745</v>
      </c>
      <c r="D562" s="8" t="s">
        <v>9200</v>
      </c>
      <c r="E562" s="8" t="s">
        <v>5137</v>
      </c>
      <c r="F562" s="8"/>
      <c r="H562" s="8"/>
      <c r="I562" s="8" t="s">
        <v>10806</v>
      </c>
      <c r="J562" s="8" t="s">
        <v>2993</v>
      </c>
      <c r="K562" t="s">
        <v>10807</v>
      </c>
      <c r="L562" t="s">
        <v>10808</v>
      </c>
      <c r="M562" s="3" t="str">
        <f>HYPERLINK(склад2въезд13192021222[[#This Row],[RelativePath]])</f>
        <v>9 Ангар пилорама\E33149364_1_20260128T212719Z.jpg</v>
      </c>
    </row>
    <row r="563" spans="1:13" x14ac:dyDescent="0.25">
      <c r="A563" s="2" t="s">
        <v>16</v>
      </c>
      <c r="B563" s="4">
        <v>46051</v>
      </c>
      <c r="C563" s="5">
        <v>0.44464120370370369</v>
      </c>
      <c r="D563" s="8" t="s">
        <v>9455</v>
      </c>
      <c r="E563" s="8" t="s">
        <v>531</v>
      </c>
      <c r="F563" s="8"/>
      <c r="H563" s="8"/>
      <c r="I563" s="8" t="s">
        <v>10809</v>
      </c>
      <c r="J563" s="8" t="s">
        <v>2993</v>
      </c>
      <c r="K563" t="s">
        <v>10810</v>
      </c>
      <c r="L563" t="s">
        <v>10811</v>
      </c>
      <c r="M563" s="3" t="str">
        <f>HYPERLINK(склад2въезд13192021222[[#This Row],[RelativePath]])</f>
        <v>9 Ангар пилорама\E33149364_1_20260129T104017Z.jpg</v>
      </c>
    </row>
    <row r="564" spans="1:13" x14ac:dyDescent="0.25">
      <c r="A564" s="2" t="s">
        <v>16</v>
      </c>
      <c r="B564" s="4">
        <v>46051</v>
      </c>
      <c r="C564" s="5">
        <v>0.49818287037037035</v>
      </c>
      <c r="D564" s="8" t="s">
        <v>9200</v>
      </c>
      <c r="E564" s="8" t="s">
        <v>5137</v>
      </c>
      <c r="F564" s="8"/>
      <c r="H564" s="8"/>
      <c r="I564" s="8" t="s">
        <v>10812</v>
      </c>
      <c r="J564" s="8" t="s">
        <v>2993</v>
      </c>
      <c r="K564" t="s">
        <v>10813</v>
      </c>
      <c r="L564" t="s">
        <v>10814</v>
      </c>
      <c r="M564" s="3" t="str">
        <f>HYPERLINK(склад2въезд13192021222[[#This Row],[RelativePath]])</f>
        <v>9 Ангар пилорама\E33149364_1_20260129T115723Z.jpg</v>
      </c>
    </row>
    <row r="565" spans="1:13" x14ac:dyDescent="0.25">
      <c r="A565" s="2" t="s">
        <v>16</v>
      </c>
      <c r="B565" s="4">
        <v>46051</v>
      </c>
      <c r="C565" s="5">
        <v>0.52173611111111107</v>
      </c>
      <c r="D565" s="8" t="s">
        <v>9200</v>
      </c>
      <c r="E565" s="8" t="s">
        <v>5137</v>
      </c>
      <c r="F565" s="8"/>
      <c r="H565" s="8"/>
      <c r="I565" s="8" t="s">
        <v>10815</v>
      </c>
      <c r="J565" s="8" t="s">
        <v>2993</v>
      </c>
      <c r="K565" t="s">
        <v>10816</v>
      </c>
      <c r="L565" t="s">
        <v>10817</v>
      </c>
      <c r="M565" s="3" t="str">
        <f>HYPERLINK(склад2въезд13192021222[[#This Row],[RelativePath]])</f>
        <v>9 Ангар пилорама\E33149364_1_20260129T123118Z.jpg</v>
      </c>
    </row>
    <row r="566" spans="1:13" x14ac:dyDescent="0.25">
      <c r="A566" s="2" t="s">
        <v>16</v>
      </c>
      <c r="B566" s="4">
        <v>46051</v>
      </c>
      <c r="C566" s="5">
        <v>0.5367939814814815</v>
      </c>
      <c r="D566" s="8" t="s">
        <v>2024</v>
      </c>
      <c r="E566" s="8" t="s">
        <v>1304</v>
      </c>
      <c r="F566" s="8"/>
      <c r="H566" s="8" t="s">
        <v>10889</v>
      </c>
      <c r="I566" s="8" t="s">
        <v>10818</v>
      </c>
      <c r="J566" s="8" t="s">
        <v>2993</v>
      </c>
      <c r="K566" t="s">
        <v>10819</v>
      </c>
      <c r="L566" t="s">
        <v>10820</v>
      </c>
      <c r="M566" s="3" t="str">
        <f>HYPERLINK(склад2въезд13192021222[[#This Row],[RelativePath]])</f>
        <v>9 Ангар пилорама\E33149364_1_20260129T125259Z.jpg</v>
      </c>
    </row>
    <row r="567" spans="1:13" x14ac:dyDescent="0.25">
      <c r="A567" s="2" t="s">
        <v>16</v>
      </c>
      <c r="B567" s="4">
        <v>46051</v>
      </c>
      <c r="C567" s="5">
        <v>0.66745370370370372</v>
      </c>
      <c r="D567" s="8" t="s">
        <v>9200</v>
      </c>
      <c r="E567" s="8" t="s">
        <v>5137</v>
      </c>
      <c r="F567" s="8"/>
      <c r="H567" s="8"/>
      <c r="I567" s="8" t="s">
        <v>10821</v>
      </c>
      <c r="J567" s="8" t="s">
        <v>2993</v>
      </c>
      <c r="K567" t="s">
        <v>10822</v>
      </c>
      <c r="L567" t="s">
        <v>10823</v>
      </c>
      <c r="M567" s="3" t="str">
        <f>HYPERLINK(склад2въезд13192021222[[#This Row],[RelativePath]])</f>
        <v>9 Ангар пилорама\E33149364_1_20260129T160108Z.jpg</v>
      </c>
    </row>
    <row r="568" spans="1:13" x14ac:dyDescent="0.25">
      <c r="A568" s="2" t="s">
        <v>17</v>
      </c>
      <c r="B568" s="4">
        <v>46052</v>
      </c>
      <c r="C568" s="5">
        <v>0.39917824074074076</v>
      </c>
      <c r="D568" s="8" t="s">
        <v>9455</v>
      </c>
      <c r="E568" s="8" t="s">
        <v>531</v>
      </c>
      <c r="F568" s="8"/>
      <c r="H568" s="8"/>
      <c r="I568" s="8" t="s">
        <v>10947</v>
      </c>
      <c r="J568" s="8" t="s">
        <v>2993</v>
      </c>
      <c r="K568" t="s">
        <v>10948</v>
      </c>
      <c r="L568" t="s">
        <v>10949</v>
      </c>
      <c r="M568" s="3" t="str">
        <f>HYPERLINK(склад2въезд13192021222[[#This Row],[RelativePath]])</f>
        <v>9 Ангар пилорама\E33149364_1_20260130T093449Z.jpg</v>
      </c>
    </row>
    <row r="569" spans="1:13" x14ac:dyDescent="0.25">
      <c r="A569" s="2" t="s">
        <v>17</v>
      </c>
      <c r="B569" s="4">
        <v>46052</v>
      </c>
      <c r="C569" s="5">
        <v>0.41440972222222222</v>
      </c>
      <c r="D569" s="8" t="s">
        <v>4</v>
      </c>
      <c r="E569" s="8" t="s">
        <v>7709</v>
      </c>
      <c r="F569" s="8"/>
      <c r="H569" s="8"/>
      <c r="I569" s="8" t="s">
        <v>10950</v>
      </c>
      <c r="J569" s="8" t="s">
        <v>2993</v>
      </c>
      <c r="K569" t="s">
        <v>10951</v>
      </c>
      <c r="L569" t="s">
        <v>10952</v>
      </c>
      <c r="M569" s="3" t="str">
        <f>HYPERLINK(склад2въезд13192021222[[#This Row],[RelativePath]])</f>
        <v>9 Ангар пилорама\E33149364_1_20260130T095645Z.jpg</v>
      </c>
    </row>
    <row r="570" spans="1:13" x14ac:dyDescent="0.25">
      <c r="A570" s="2" t="s">
        <v>17</v>
      </c>
      <c r="B570" s="4">
        <v>46052</v>
      </c>
      <c r="C570" s="5">
        <v>0.72223379629629625</v>
      </c>
      <c r="D570" s="8" t="s">
        <v>4</v>
      </c>
      <c r="E570" s="8" t="s">
        <v>5480</v>
      </c>
      <c r="F570" s="8"/>
      <c r="H570" s="8" t="s">
        <v>5479</v>
      </c>
      <c r="I570" s="8" t="s">
        <v>10953</v>
      </c>
      <c r="J570" s="8" t="s">
        <v>2993</v>
      </c>
      <c r="K570" t="s">
        <v>10954</v>
      </c>
      <c r="L570" t="s">
        <v>10955</v>
      </c>
      <c r="M570" s="3" t="str">
        <f>HYPERLINK(склад2въезд13192021222[[#This Row],[RelativePath]])</f>
        <v>9 Ангар пилорама\E33149364_1_20260130T172001Z.jpg</v>
      </c>
    </row>
    <row r="571" spans="1:13" x14ac:dyDescent="0.25">
      <c r="A571" s="2" t="s">
        <v>18</v>
      </c>
      <c r="B571" s="4">
        <v>46053</v>
      </c>
      <c r="C571" s="5">
        <v>0.50487268518518513</v>
      </c>
      <c r="D571" s="8" t="s">
        <v>11133</v>
      </c>
      <c r="E571" s="8" t="s">
        <v>11134</v>
      </c>
      <c r="F571" s="8"/>
      <c r="H571" s="8"/>
      <c r="I571" s="8" t="s">
        <v>11046</v>
      </c>
      <c r="J571" s="8" t="s">
        <v>2993</v>
      </c>
      <c r="K571" t="s">
        <v>11047</v>
      </c>
      <c r="L571" t="s">
        <v>11048</v>
      </c>
      <c r="M571" s="3" t="str">
        <f>HYPERLINK(склад2въезд13192021222[[#This Row],[RelativePath]])</f>
        <v>9 Ангар пилорама\E33149364_1_20260131T120701Z.jpg</v>
      </c>
    </row>
    <row r="572" spans="1:13" x14ac:dyDescent="0.25">
      <c r="A572" s="2" t="s">
        <v>22</v>
      </c>
      <c r="B572" s="4">
        <v>46054</v>
      </c>
      <c r="C572" s="5">
        <v>0.51655092592592589</v>
      </c>
      <c r="D572" s="8" t="s">
        <v>9692</v>
      </c>
      <c r="E572" s="8" t="s">
        <v>1607</v>
      </c>
      <c r="F572" s="8"/>
      <c r="H572" s="8"/>
      <c r="I572" s="8" t="s">
        <v>11049</v>
      </c>
      <c r="J572" s="8" t="s">
        <v>2993</v>
      </c>
      <c r="K572" t="s">
        <v>11050</v>
      </c>
      <c r="L572" t="s">
        <v>11051</v>
      </c>
      <c r="M572" s="3" t="str">
        <f>HYPERLINK(склад2въезд13192021222[[#This Row],[RelativePath]])</f>
        <v>9 Ангар пилорама\E33149364_1_20260201T122350Z.jpg</v>
      </c>
    </row>
    <row r="573" spans="1:13" x14ac:dyDescent="0.25">
      <c r="A573" s="2" t="s">
        <v>13</v>
      </c>
      <c r="B573" s="4">
        <v>46055</v>
      </c>
      <c r="C573" s="5">
        <v>0.39640046296296294</v>
      </c>
      <c r="D573" s="8" t="s">
        <v>4</v>
      </c>
      <c r="E573" s="8" t="s">
        <v>9</v>
      </c>
      <c r="F573" s="8"/>
      <c r="H573" s="8"/>
      <c r="I573" s="8" t="s">
        <v>11226</v>
      </c>
      <c r="J573" s="8" t="s">
        <v>2993</v>
      </c>
      <c r="K573" t="s">
        <v>11227</v>
      </c>
      <c r="L573" t="s">
        <v>11228</v>
      </c>
      <c r="M573" s="3" t="str">
        <f>HYPERLINK(склад2въезд13192021222[[#This Row],[RelativePath]])</f>
        <v>9 Ангар пилорама\E33149364_1_20260202T093049Z.jpg</v>
      </c>
    </row>
    <row r="574" spans="1:13" x14ac:dyDescent="0.25">
      <c r="A574" s="2" t="s">
        <v>13</v>
      </c>
      <c r="B574" s="4">
        <v>46055</v>
      </c>
      <c r="C574" s="5">
        <v>0.40559027777777779</v>
      </c>
      <c r="D574" s="8" t="s">
        <v>158</v>
      </c>
      <c r="E574" s="8" t="s">
        <v>5480</v>
      </c>
      <c r="F574" s="8" t="s">
        <v>528</v>
      </c>
      <c r="G574">
        <v>1</v>
      </c>
      <c r="H574" s="8"/>
      <c r="I574" s="8" t="s">
        <v>11229</v>
      </c>
      <c r="J574" s="8" t="s">
        <v>2993</v>
      </c>
      <c r="K574" t="s">
        <v>11230</v>
      </c>
      <c r="L574" t="s">
        <v>11231</v>
      </c>
      <c r="M574" s="3" t="str">
        <f>HYPERLINK(склад2въезд13192021222[[#This Row],[RelativePath]])</f>
        <v>9 Ангар пилорама\E33149364_1_20260202T094403Z.jpg</v>
      </c>
    </row>
    <row r="575" spans="1:13" x14ac:dyDescent="0.25">
      <c r="A575" s="2" t="s">
        <v>13</v>
      </c>
      <c r="B575" s="4">
        <v>46055</v>
      </c>
      <c r="C575" s="5">
        <v>0.41613425925925923</v>
      </c>
      <c r="D575" s="8" t="s">
        <v>5476</v>
      </c>
      <c r="E575" s="8" t="s">
        <v>5480</v>
      </c>
      <c r="F575" s="8" t="s">
        <v>9203</v>
      </c>
      <c r="G575">
        <v>1</v>
      </c>
      <c r="H575" s="8"/>
      <c r="I575" s="8" t="s">
        <v>11232</v>
      </c>
      <c r="J575" s="8" t="s">
        <v>2993</v>
      </c>
      <c r="K575" t="s">
        <v>11233</v>
      </c>
      <c r="L575" t="s">
        <v>11234</v>
      </c>
      <c r="M575" s="3" t="str">
        <f>HYPERLINK(склад2въезд13192021222[[#This Row],[RelativePath]])</f>
        <v>9 Ангар пилорама\E33149364_1_20260202T095914Z.jpg</v>
      </c>
    </row>
    <row r="576" spans="1:13" x14ac:dyDescent="0.25">
      <c r="A576" s="2" t="s">
        <v>13</v>
      </c>
      <c r="B576" s="4">
        <v>46055</v>
      </c>
      <c r="C576" s="5">
        <v>0.95606481481481487</v>
      </c>
      <c r="D576" s="8" t="s">
        <v>9200</v>
      </c>
      <c r="E576" s="8" t="s">
        <v>9201</v>
      </c>
      <c r="F576" s="8"/>
      <c r="H576" s="8"/>
      <c r="I576" s="8" t="s">
        <v>11235</v>
      </c>
      <c r="J576" s="8" t="s">
        <v>2993</v>
      </c>
      <c r="K576" t="s">
        <v>11236</v>
      </c>
      <c r="L576" t="s">
        <v>11237</v>
      </c>
      <c r="M576" s="3" t="str">
        <f>HYPERLINK(склад2въезд13192021222[[#This Row],[RelativePath]])</f>
        <v>9 Ангар пилорама\E33149364_1_20260202T225644Z.jpg</v>
      </c>
    </row>
    <row r="577" spans="1:13" x14ac:dyDescent="0.25">
      <c r="A577" s="2" t="s">
        <v>14</v>
      </c>
      <c r="B577" s="4">
        <v>46056</v>
      </c>
      <c r="C577" s="5">
        <v>0.51756944444444442</v>
      </c>
      <c r="D577" s="8" t="s">
        <v>2024</v>
      </c>
      <c r="E577" s="8" t="s">
        <v>1304</v>
      </c>
      <c r="F577" s="8"/>
      <c r="H577" s="8" t="s">
        <v>10889</v>
      </c>
      <c r="I577" s="8" t="s">
        <v>11238</v>
      </c>
      <c r="J577" s="8" t="s">
        <v>2993</v>
      </c>
      <c r="K577" t="s">
        <v>11239</v>
      </c>
      <c r="L577" t="s">
        <v>11240</v>
      </c>
      <c r="M577" s="3" t="str">
        <f>HYPERLINK(склад2въезд13192021222[[#This Row],[RelativePath]])</f>
        <v>9 Ангар пилорама\E33149364_1_20260203T122518Z.jpg</v>
      </c>
    </row>
    <row r="578" spans="1:13" x14ac:dyDescent="0.25">
      <c r="A578" s="2" t="s">
        <v>14</v>
      </c>
      <c r="B578" s="4">
        <v>46056</v>
      </c>
      <c r="C578" s="5">
        <v>0.52474537037037039</v>
      </c>
      <c r="D578" s="8" t="s">
        <v>9200</v>
      </c>
      <c r="E578" s="8" t="s">
        <v>9201</v>
      </c>
      <c r="F578" s="8"/>
      <c r="H578" s="8"/>
      <c r="I578" s="8" t="s">
        <v>11241</v>
      </c>
      <c r="J578" s="8" t="s">
        <v>2993</v>
      </c>
      <c r="K578" t="s">
        <v>11242</v>
      </c>
      <c r="L578" t="s">
        <v>11243</v>
      </c>
      <c r="M578" s="3" t="str">
        <f>HYPERLINK(склад2въезд13192021222[[#This Row],[RelativePath]])</f>
        <v>9 Ангар пилорама\E33149364_1_20260203T123538Z.jpg</v>
      </c>
    </row>
    <row r="579" spans="1:13" x14ac:dyDescent="0.25">
      <c r="A579" s="2" t="s">
        <v>14</v>
      </c>
      <c r="B579" s="4">
        <v>46056</v>
      </c>
      <c r="C579" s="5">
        <v>0.63618055555555553</v>
      </c>
      <c r="D579" s="8" t="s">
        <v>9200</v>
      </c>
      <c r="E579" s="8" t="s">
        <v>9201</v>
      </c>
      <c r="F579" s="8"/>
      <c r="H579" s="8"/>
      <c r="I579" s="8" t="s">
        <v>11244</v>
      </c>
      <c r="J579" s="8" t="s">
        <v>2993</v>
      </c>
      <c r="K579" t="s">
        <v>11245</v>
      </c>
      <c r="L579" t="s">
        <v>11246</v>
      </c>
      <c r="M579" s="3" t="str">
        <f>HYPERLINK(склад2въезд13192021222[[#This Row],[RelativePath]])</f>
        <v>9 Ангар пилорама\E33149364_1_20260203T151606Z.jpg</v>
      </c>
    </row>
    <row r="580" spans="1:13" x14ac:dyDescent="0.25">
      <c r="A580" s="2" t="s">
        <v>14</v>
      </c>
      <c r="B580" s="4">
        <v>46056</v>
      </c>
      <c r="C580" s="5">
        <v>0.68791666666666662</v>
      </c>
      <c r="D580" s="8" t="s">
        <v>9692</v>
      </c>
      <c r="E580" s="8" t="s">
        <v>1607</v>
      </c>
      <c r="F580" s="8"/>
      <c r="H580" s="8"/>
      <c r="I580" s="8" t="s">
        <v>11247</v>
      </c>
      <c r="J580" s="8" t="s">
        <v>2993</v>
      </c>
      <c r="K580" t="s">
        <v>11248</v>
      </c>
      <c r="L580" t="s">
        <v>11249</v>
      </c>
      <c r="M580" s="3" t="str">
        <f>HYPERLINK(склад2въезд13192021222[[#This Row],[RelativePath]])</f>
        <v>9 Ангар пилорама\E33149364_1_20260203T163036Z.jpg</v>
      </c>
    </row>
    <row r="581" spans="1:13" x14ac:dyDescent="0.25">
      <c r="A581" s="2" t="s">
        <v>14</v>
      </c>
      <c r="B581" s="4">
        <v>46056</v>
      </c>
      <c r="C581" s="5">
        <v>0.9021527777777778</v>
      </c>
      <c r="D581" s="8" t="s">
        <v>4</v>
      </c>
      <c r="E581" s="8" t="s">
        <v>7709</v>
      </c>
      <c r="F581" s="8"/>
      <c r="H581" s="8"/>
      <c r="I581" s="8" t="s">
        <v>11250</v>
      </c>
      <c r="J581" s="8" t="s">
        <v>2993</v>
      </c>
      <c r="K581" t="s">
        <v>11251</v>
      </c>
      <c r="L581" t="s">
        <v>11252</v>
      </c>
      <c r="M581" s="3" t="str">
        <f>HYPERLINK(склад2въезд13192021222[[#This Row],[RelativePath]])</f>
        <v>9 Ангар пилорама\E33149364_1_20260203T213906Z.jpg</v>
      </c>
    </row>
    <row r="582" spans="1:13" x14ac:dyDescent="0.25">
      <c r="A582" s="2" t="s">
        <v>15</v>
      </c>
      <c r="B582" s="4">
        <v>46057</v>
      </c>
      <c r="C582" s="5">
        <v>0.3732638888888889</v>
      </c>
      <c r="D582" s="8" t="s">
        <v>9200</v>
      </c>
      <c r="E582" s="8" t="s">
        <v>9201</v>
      </c>
      <c r="F582" s="8"/>
      <c r="H582" s="8"/>
      <c r="I582" s="8" t="s">
        <v>11481</v>
      </c>
      <c r="J582" s="8" t="s">
        <v>2993</v>
      </c>
      <c r="K582" t="s">
        <v>11482</v>
      </c>
      <c r="L582" t="s">
        <v>11483</v>
      </c>
      <c r="M582" s="3" t="str">
        <f>HYPERLINK(склад2въезд13192021222[[#This Row],[RelativePath]])</f>
        <v>9 Ангар пилорама\E33149364_1_20260204T085730Z.jpg</v>
      </c>
    </row>
    <row r="583" spans="1:13" x14ac:dyDescent="0.25">
      <c r="A583" s="2" t="s">
        <v>15</v>
      </c>
      <c r="B583" s="4">
        <v>46057</v>
      </c>
      <c r="C583" s="5">
        <v>0.37883101851851853</v>
      </c>
      <c r="D583" s="8" t="s">
        <v>9200</v>
      </c>
      <c r="E583" s="8" t="s">
        <v>9201</v>
      </c>
      <c r="F583" s="8"/>
      <c r="H583" s="8"/>
      <c r="I583" s="8" t="s">
        <v>11484</v>
      </c>
      <c r="J583" s="8" t="s">
        <v>2993</v>
      </c>
      <c r="K583" t="s">
        <v>11485</v>
      </c>
      <c r="L583" t="s">
        <v>11486</v>
      </c>
      <c r="M583" s="3" t="str">
        <f>HYPERLINK(склад2въезд13192021222[[#This Row],[RelativePath]])</f>
        <v>9 Ангар пилорама\E33149364_1_20260204T090531Z.jpg</v>
      </c>
    </row>
    <row r="584" spans="1:13" x14ac:dyDescent="0.25">
      <c r="A584" s="2" t="s">
        <v>15</v>
      </c>
      <c r="B584" s="4">
        <v>46057</v>
      </c>
      <c r="C584" s="5">
        <v>0.59903935185185186</v>
      </c>
      <c r="D584" s="8" t="s">
        <v>9692</v>
      </c>
      <c r="E584" s="8" t="s">
        <v>1607</v>
      </c>
      <c r="F584" s="8"/>
      <c r="H584" s="8"/>
      <c r="I584" s="8" t="s">
        <v>11487</v>
      </c>
      <c r="J584" s="8" t="s">
        <v>2993</v>
      </c>
      <c r="K584" t="s">
        <v>11488</v>
      </c>
      <c r="L584" t="s">
        <v>11489</v>
      </c>
      <c r="M584" s="3" t="str">
        <f>HYPERLINK(склад2въезд13192021222[[#This Row],[RelativePath]])</f>
        <v>9 Ангар пилорама\E33149364_1_20260204T142237Z.jpg</v>
      </c>
    </row>
    <row r="585" spans="1:13" x14ac:dyDescent="0.25">
      <c r="A585" s="2" t="s">
        <v>15</v>
      </c>
      <c r="B585" s="4">
        <v>46057</v>
      </c>
      <c r="C585" s="5">
        <v>0.64440972222222226</v>
      </c>
      <c r="D585" s="8" t="s">
        <v>11651</v>
      </c>
      <c r="E585" s="8" t="s">
        <v>1607</v>
      </c>
      <c r="F585" s="8"/>
      <c r="H585" s="8"/>
      <c r="I585" s="8" t="s">
        <v>11490</v>
      </c>
      <c r="J585" s="8" t="s">
        <v>2993</v>
      </c>
      <c r="K585" t="s">
        <v>11491</v>
      </c>
      <c r="L585" t="s">
        <v>11492</v>
      </c>
      <c r="M585" s="3" t="str">
        <f>HYPERLINK(склад2въезд13192021222[[#This Row],[RelativePath]])</f>
        <v>9 Ангар пилорама\E33149364_1_20260204T152757Z.jpg</v>
      </c>
    </row>
    <row r="586" spans="1:13" x14ac:dyDescent="0.25">
      <c r="A586" s="2" t="s">
        <v>15</v>
      </c>
      <c r="B586" s="4">
        <v>46057</v>
      </c>
      <c r="C586" s="5">
        <v>0.79494212962962962</v>
      </c>
      <c r="D586" s="8" t="s">
        <v>9200</v>
      </c>
      <c r="E586" s="8" t="s">
        <v>9201</v>
      </c>
      <c r="F586" s="8"/>
      <c r="H586" s="8"/>
      <c r="I586" s="8" t="s">
        <v>11493</v>
      </c>
      <c r="J586" s="8" t="s">
        <v>2993</v>
      </c>
      <c r="K586" t="s">
        <v>11494</v>
      </c>
      <c r="L586" t="s">
        <v>11495</v>
      </c>
      <c r="M586" s="3" t="str">
        <f>HYPERLINK(склад2въезд13192021222[[#This Row],[RelativePath]])</f>
        <v>9 Ангар пилорама\E33149364_1_20260204T190443Z.jpg</v>
      </c>
    </row>
    <row r="587" spans="1:13" x14ac:dyDescent="0.25">
      <c r="A587" s="2" t="s">
        <v>15</v>
      </c>
      <c r="B587" s="4">
        <v>46057</v>
      </c>
      <c r="C587" s="5">
        <v>0.90642361111111114</v>
      </c>
      <c r="D587" s="8" t="s">
        <v>2024</v>
      </c>
      <c r="E587" s="8" t="s">
        <v>1304</v>
      </c>
      <c r="F587" s="8"/>
      <c r="H587" s="8"/>
      <c r="I587" s="8" t="s">
        <v>11496</v>
      </c>
      <c r="J587" s="8" t="s">
        <v>2993</v>
      </c>
      <c r="K587" t="s">
        <v>11497</v>
      </c>
      <c r="L587" t="s">
        <v>11498</v>
      </c>
      <c r="M587" s="3" t="str">
        <f>HYPERLINK(склад2въезд13192021222[[#This Row],[RelativePath]])</f>
        <v>9 Ангар пилорама\E33149364_1_20260204T214515Z.jpg</v>
      </c>
    </row>
    <row r="588" spans="1:13" x14ac:dyDescent="0.25">
      <c r="A588" s="2" t="s">
        <v>16</v>
      </c>
      <c r="B588" s="4">
        <v>46058</v>
      </c>
      <c r="C588" s="5">
        <v>8.4247685185185189E-2</v>
      </c>
      <c r="D588" s="8" t="s">
        <v>4</v>
      </c>
      <c r="E588" s="8" t="s">
        <v>9</v>
      </c>
      <c r="F588" s="8"/>
      <c r="H588" s="8"/>
      <c r="I588" s="8" t="s">
        <v>11499</v>
      </c>
      <c r="J588" s="8" t="s">
        <v>2993</v>
      </c>
      <c r="K588" t="s">
        <v>11500</v>
      </c>
      <c r="L588" t="s">
        <v>11501</v>
      </c>
      <c r="M588" s="3" t="str">
        <f>HYPERLINK(склад2въезд13192021222[[#This Row],[RelativePath]])</f>
        <v>9 Ангар пилорама\E33149364_1_20260205T020119Z.jpg</v>
      </c>
    </row>
    <row r="589" spans="1:13" x14ac:dyDescent="0.25">
      <c r="A589" s="2" t="s">
        <v>16</v>
      </c>
      <c r="B589" s="4">
        <v>46058</v>
      </c>
      <c r="C589" s="5">
        <v>0.62304398148148143</v>
      </c>
      <c r="D589" s="8" t="s">
        <v>4</v>
      </c>
      <c r="E589" s="8" t="s">
        <v>9</v>
      </c>
      <c r="F589" s="8"/>
      <c r="H589" s="8"/>
      <c r="I589" s="8" t="s">
        <v>11502</v>
      </c>
      <c r="J589" s="8" t="s">
        <v>2993</v>
      </c>
      <c r="K589" t="s">
        <v>11503</v>
      </c>
      <c r="L589" t="s">
        <v>11504</v>
      </c>
      <c r="M589" s="3" t="str">
        <f>HYPERLINK(склад2въезд13192021222[[#This Row],[RelativePath]])</f>
        <v>9 Ангар пилорама\E33149364_1_20260205T145711Z.jpg</v>
      </c>
    </row>
    <row r="590" spans="1:13" x14ac:dyDescent="0.25">
      <c r="A590" s="2" t="s">
        <v>16</v>
      </c>
      <c r="B590" s="4">
        <v>46058</v>
      </c>
      <c r="C590" s="5">
        <v>0.85769675925925926</v>
      </c>
      <c r="D590" s="8" t="s">
        <v>9200</v>
      </c>
      <c r="E590" s="8" t="s">
        <v>9201</v>
      </c>
      <c r="F590" s="8"/>
      <c r="H590" s="8"/>
      <c r="I590" s="8" t="s">
        <v>11505</v>
      </c>
      <c r="J590" s="8" t="s">
        <v>2993</v>
      </c>
      <c r="K590" t="s">
        <v>11506</v>
      </c>
      <c r="L590" t="s">
        <v>11507</v>
      </c>
      <c r="M590" s="3" t="str">
        <f>HYPERLINK(склад2въезд13192021222[[#This Row],[RelativePath]])</f>
        <v>9 Ангар пилорама\E33149364_1_20260205T203505Z.jpg</v>
      </c>
    </row>
    <row r="591" spans="1:13" x14ac:dyDescent="0.25">
      <c r="A591" s="2" t="s">
        <v>17</v>
      </c>
      <c r="B591" s="4">
        <v>46059</v>
      </c>
      <c r="C591" s="5">
        <v>0.45833333333333331</v>
      </c>
      <c r="D591" s="8" t="s">
        <v>4</v>
      </c>
      <c r="E591" s="8" t="s">
        <v>11652</v>
      </c>
      <c r="F591" s="8"/>
      <c r="H591" s="8"/>
      <c r="I591" s="8" t="s">
        <v>11508</v>
      </c>
      <c r="J591" s="8" t="s">
        <v>2993</v>
      </c>
      <c r="K591" t="s">
        <v>11509</v>
      </c>
      <c r="L591" t="s">
        <v>11510</v>
      </c>
      <c r="M591" s="3" t="str">
        <f>HYPERLINK(склад2въезд13192021222[[#This Row],[RelativePath]])</f>
        <v>9 Ангар пилорама\E33149364_1_20260206T110000Z.jpg</v>
      </c>
    </row>
    <row r="592" spans="1:13" x14ac:dyDescent="0.25">
      <c r="A592" s="2" t="s">
        <v>17</v>
      </c>
      <c r="B592" s="4">
        <v>46059</v>
      </c>
      <c r="C592" s="5">
        <v>0.51790509259259254</v>
      </c>
      <c r="D592" s="8" t="s">
        <v>9692</v>
      </c>
      <c r="E592" s="8" t="s">
        <v>1607</v>
      </c>
      <c r="F592" s="8"/>
      <c r="H592" s="8" t="s">
        <v>11653</v>
      </c>
      <c r="I592" s="8" t="s">
        <v>11511</v>
      </c>
      <c r="J592" s="8" t="s">
        <v>2993</v>
      </c>
      <c r="K592" t="s">
        <v>11512</v>
      </c>
      <c r="L592" t="s">
        <v>11513</v>
      </c>
      <c r="M592" s="3" t="str">
        <f>HYPERLINK(склад2въезд13192021222[[#This Row],[RelativePath]])</f>
        <v>9 Ангар пилорама\E33149364_1_20260206T122547Z.jpg</v>
      </c>
    </row>
    <row r="593" spans="1:13" x14ac:dyDescent="0.25">
      <c r="A593" s="2" t="s">
        <v>17</v>
      </c>
      <c r="B593" s="4">
        <v>46059</v>
      </c>
      <c r="C593" s="5">
        <v>0.89486111111111111</v>
      </c>
      <c r="D593" s="8" t="s">
        <v>9200</v>
      </c>
      <c r="E593" s="8" t="s">
        <v>9201</v>
      </c>
      <c r="F593" s="8"/>
      <c r="H593" s="8"/>
      <c r="I593" s="8" t="s">
        <v>11514</v>
      </c>
      <c r="J593" s="8" t="s">
        <v>2993</v>
      </c>
      <c r="K593" t="s">
        <v>11515</v>
      </c>
      <c r="L593" t="s">
        <v>11516</v>
      </c>
      <c r="M593" s="3" t="str">
        <f>HYPERLINK(склад2въезд13192021222[[#This Row],[RelativePath]])</f>
        <v>9 Ангар пилорама\E33149364_1_20260206T212836Z.jpg</v>
      </c>
    </row>
    <row r="594" spans="1:13" x14ac:dyDescent="0.25">
      <c r="A594" s="2" t="s">
        <v>18</v>
      </c>
      <c r="B594" s="4">
        <v>46060</v>
      </c>
      <c r="C594" s="5">
        <v>0.7510648148148148</v>
      </c>
      <c r="D594" s="8" t="s">
        <v>4</v>
      </c>
      <c r="E594" s="8" t="s">
        <v>7709</v>
      </c>
      <c r="F594" s="8"/>
      <c r="H594" s="8"/>
      <c r="I594" s="8" t="s">
        <v>11709</v>
      </c>
      <c r="J594" s="8" t="s">
        <v>2993</v>
      </c>
      <c r="K594" t="s">
        <v>11710</v>
      </c>
      <c r="L594" t="s">
        <v>11711</v>
      </c>
      <c r="M594" s="3" t="str">
        <f>HYPERLINK(склад2въезд13192021222[[#This Row],[RelativePath]])</f>
        <v>9 Ангар пилорама\E33149364_1_20260207T180132Z.jpg</v>
      </c>
    </row>
    <row r="595" spans="1:13" x14ac:dyDescent="0.25">
      <c r="A595" s="2" t="s">
        <v>22</v>
      </c>
      <c r="B595" s="4">
        <v>46061</v>
      </c>
      <c r="C595" s="5">
        <v>0.46247685185185183</v>
      </c>
      <c r="D595" s="8" t="s">
        <v>2024</v>
      </c>
      <c r="E595" s="8" t="s">
        <v>1304</v>
      </c>
      <c r="F595" s="8"/>
      <c r="H595" s="8"/>
      <c r="I595" s="8" t="s">
        <v>11712</v>
      </c>
      <c r="J595" s="8" t="s">
        <v>2993</v>
      </c>
      <c r="K595" t="s">
        <v>11713</v>
      </c>
      <c r="L595" t="s">
        <v>11714</v>
      </c>
      <c r="M595" s="3" t="str">
        <f>HYPERLINK(склад2въезд13192021222[[#This Row],[RelativePath]])</f>
        <v>9 Ангар пилорама\E33149364_1_20260208T110558Z.jpg</v>
      </c>
    </row>
    <row r="596" spans="1:13" x14ac:dyDescent="0.25">
      <c r="A596" s="2" t="s">
        <v>22</v>
      </c>
      <c r="B596" s="4">
        <v>46061</v>
      </c>
      <c r="C596" s="5">
        <v>0.46512731481481484</v>
      </c>
      <c r="D596" s="8" t="s">
        <v>9200</v>
      </c>
      <c r="E596" s="8" t="s">
        <v>9201</v>
      </c>
      <c r="F596" s="8"/>
      <c r="H596" s="8"/>
      <c r="I596" s="8" t="s">
        <v>11715</v>
      </c>
      <c r="J596" s="8" t="s">
        <v>2993</v>
      </c>
      <c r="K596" t="s">
        <v>11716</v>
      </c>
      <c r="L596" t="s">
        <v>11717</v>
      </c>
      <c r="M596" s="3" t="str">
        <f>HYPERLINK(склад2въезд13192021222[[#This Row],[RelativePath]])</f>
        <v>9 Ангар пилорама\E33149364_1_20260208T110947Z.jpg</v>
      </c>
    </row>
    <row r="597" spans="1:13" x14ac:dyDescent="0.25">
      <c r="A597" s="2" t="s">
        <v>22</v>
      </c>
      <c r="B597" s="4">
        <v>46061</v>
      </c>
      <c r="C597" s="5">
        <v>0.48649305555555555</v>
      </c>
      <c r="D597" s="8" t="s">
        <v>9692</v>
      </c>
      <c r="E597" s="8" t="s">
        <v>1607</v>
      </c>
      <c r="F597" s="8"/>
      <c r="H597" s="8"/>
      <c r="I597" s="8" t="s">
        <v>11718</v>
      </c>
      <c r="J597" s="8" t="s">
        <v>2993</v>
      </c>
      <c r="K597" t="s">
        <v>11719</v>
      </c>
      <c r="L597" t="s">
        <v>11720</v>
      </c>
      <c r="M597" s="3" t="str">
        <f>HYPERLINK(склад2въезд13192021222[[#This Row],[RelativePath]])</f>
        <v>9 Ангар пилорама\E33149364_1_20260208T114033Z.jpg</v>
      </c>
    </row>
    <row r="598" spans="1:13" x14ac:dyDescent="0.25">
      <c r="A598" s="2" t="s">
        <v>22</v>
      </c>
      <c r="B598" s="4">
        <v>46061</v>
      </c>
      <c r="C598" s="5">
        <v>0.52831018518518513</v>
      </c>
      <c r="D598" s="8" t="s">
        <v>9692</v>
      </c>
      <c r="E598" s="8" t="s">
        <v>1607</v>
      </c>
      <c r="F598" s="8"/>
      <c r="H598" s="8"/>
      <c r="I598" s="8" t="s">
        <v>11721</v>
      </c>
      <c r="J598" s="8" t="s">
        <v>2993</v>
      </c>
      <c r="K598" t="s">
        <v>11722</v>
      </c>
      <c r="L598" t="s">
        <v>11723</v>
      </c>
      <c r="M598" s="3" t="str">
        <f>HYPERLINK(склад2въезд13192021222[[#This Row],[RelativePath]])</f>
        <v>9 Ангар пилорама\E33149364_1_20260208T124046Z.jpg</v>
      </c>
    </row>
    <row r="599" spans="1:13" x14ac:dyDescent="0.25">
      <c r="A599" s="2" t="s">
        <v>22</v>
      </c>
      <c r="B599" s="4">
        <v>46061</v>
      </c>
      <c r="C599" s="5">
        <v>0.76416666666666666</v>
      </c>
      <c r="D599" s="8" t="s">
        <v>9200</v>
      </c>
      <c r="E599" s="8" t="s">
        <v>9201</v>
      </c>
      <c r="F599" s="8"/>
      <c r="H599" s="8"/>
      <c r="I599" s="8" t="s">
        <v>11724</v>
      </c>
      <c r="J599" s="8" t="s">
        <v>2993</v>
      </c>
      <c r="K599" t="s">
        <v>11725</v>
      </c>
      <c r="L599" t="s">
        <v>11726</v>
      </c>
      <c r="M599" s="3" t="str">
        <f>HYPERLINK(склад2въезд13192021222[[#This Row],[RelativePath]])</f>
        <v>9 Ангар пилорама\E33149364_1_20260208T182024Z.jpg</v>
      </c>
    </row>
    <row r="600" spans="1:13" x14ac:dyDescent="0.25">
      <c r="A600" s="2" t="s">
        <v>22</v>
      </c>
      <c r="B600" s="4">
        <v>46061</v>
      </c>
      <c r="C600" s="5">
        <v>0.92877314814814815</v>
      </c>
      <c r="D600" s="8" t="s">
        <v>9200</v>
      </c>
      <c r="E600" s="8" t="s">
        <v>9201</v>
      </c>
      <c r="F600" s="8"/>
      <c r="H600" s="8"/>
      <c r="I600" s="8" t="s">
        <v>11727</v>
      </c>
      <c r="J600" s="8" t="s">
        <v>2993</v>
      </c>
      <c r="K600" t="s">
        <v>11728</v>
      </c>
      <c r="L600" t="s">
        <v>11729</v>
      </c>
      <c r="M600" s="3" t="str">
        <f>HYPERLINK(склад2въезд13192021222[[#This Row],[RelativePath]])</f>
        <v>9 Ангар пилорама\E33149364_1_20260208T221726Z.jpg</v>
      </c>
    </row>
    <row r="601" spans="1:13" x14ac:dyDescent="0.25">
      <c r="A601" s="2" t="s">
        <v>13</v>
      </c>
      <c r="B601" s="4">
        <v>46062</v>
      </c>
      <c r="C601" s="5">
        <v>0.37874999999999998</v>
      </c>
      <c r="D601" s="8" t="s">
        <v>4</v>
      </c>
      <c r="E601" s="8" t="s">
        <v>9</v>
      </c>
      <c r="F601" s="8"/>
      <c r="H601" s="8"/>
      <c r="I601" s="8" t="s">
        <v>11730</v>
      </c>
      <c r="J601" s="8" t="s">
        <v>2993</v>
      </c>
      <c r="K601" t="s">
        <v>11731</v>
      </c>
      <c r="L601" t="s">
        <v>11732</v>
      </c>
      <c r="M601" s="3" t="str">
        <f>HYPERLINK(склад2въезд13192021222[[#This Row],[RelativePath]])</f>
        <v>9 Ангар пилорама\E33149364_1_20260209T090524Z.jpg</v>
      </c>
    </row>
    <row r="602" spans="1:13" x14ac:dyDescent="0.25">
      <c r="A602" s="2" t="s">
        <v>13</v>
      </c>
      <c r="B602" s="4">
        <v>46062</v>
      </c>
      <c r="C602" s="5">
        <v>0.48042824074074075</v>
      </c>
      <c r="D602" s="8" t="s">
        <v>4</v>
      </c>
      <c r="E602" s="8" t="s">
        <v>9</v>
      </c>
      <c r="F602" s="8"/>
      <c r="H602" s="8" t="s">
        <v>2936</v>
      </c>
      <c r="I602" s="8" t="s">
        <v>11733</v>
      </c>
      <c r="J602" s="8" t="s">
        <v>2993</v>
      </c>
      <c r="K602" t="s">
        <v>11734</v>
      </c>
      <c r="L602" t="s">
        <v>11735</v>
      </c>
      <c r="M602" s="3" t="str">
        <f>HYPERLINK(склад2въезд13192021222[[#This Row],[RelativePath]])</f>
        <v>9 Ангар пилорама\E33149364_1_20260209T113149Z.jpg</v>
      </c>
    </row>
    <row r="603" spans="1:13" x14ac:dyDescent="0.25">
      <c r="A603" s="2" t="s">
        <v>13</v>
      </c>
      <c r="B603" s="4">
        <v>46062</v>
      </c>
      <c r="C603" s="5">
        <v>0.68579861111111107</v>
      </c>
      <c r="D603" s="8" t="s">
        <v>4</v>
      </c>
      <c r="E603" s="8" t="s">
        <v>11783</v>
      </c>
      <c r="F603" s="8"/>
      <c r="H603" s="8"/>
      <c r="I603" s="8" t="s">
        <v>11736</v>
      </c>
      <c r="J603" s="8" t="s">
        <v>2993</v>
      </c>
      <c r="K603" t="s">
        <v>11737</v>
      </c>
      <c r="L603" t="s">
        <v>11738</v>
      </c>
      <c r="M603" s="3" t="str">
        <f>HYPERLINK(склад2въезд13192021222[[#This Row],[RelativePath]])</f>
        <v>9 Ангар пилорама\E33149364_1_20260209T162733Z.jpg</v>
      </c>
    </row>
  </sheetData>
  <conditionalFormatting sqref="D604:D614 E604:E617 G2:H603 D2:E603">
    <cfRule type="containsText" dxfId="655" priority="14" operator="containsText" text="Выезд с территории">
      <formula>NOT(ISERROR(SEARCH("Выезд с территории",D2)))</formula>
    </cfRule>
  </conditionalFormatting>
  <conditionalFormatting sqref="F2:F603">
    <cfRule type="notContainsText" dxfId="654" priority="13" operator="notContains" text="порожний">
      <formula>ISERROR(SEARCH("порожний",F2))</formula>
    </cfRule>
  </conditionalFormatting>
  <conditionalFormatting sqref="E2:E617">
    <cfRule type="containsText" dxfId="653" priority="11" operator="containsText" text="Газель базы">
      <formula>NOT(ISERROR(SEARCH("Газель базы",E2)))</formula>
    </cfRule>
    <cfRule type="containsText" dxfId="652" priority="12" operator="containsText" text="Погрузчик базы">
      <formula>NOT(ISERROR(SEARCH("Погрузчик базы",E2)))</formula>
    </cfRule>
  </conditionalFormatting>
  <conditionalFormatting sqref="E2:E617">
    <cfRule type="containsText" dxfId="651" priority="10" operator="containsText" text="Трактор базы">
      <formula>NOT(ISERROR(SEARCH("Трактор базы",E2)))</formula>
    </cfRule>
  </conditionalFormatting>
  <conditionalFormatting sqref="A2:C603">
    <cfRule type="expression" dxfId="650" priority="9">
      <formula>$A2="пн"</formula>
    </cfRule>
  </conditionalFormatting>
  <conditionalFormatting sqref="A2:C605">
    <cfRule type="expression" dxfId="649" priority="3">
      <formula>$A2="вс"</formula>
    </cfRule>
    <cfRule type="expression" dxfId="648" priority="4">
      <formula>$A2="сб"</formula>
    </cfRule>
    <cfRule type="expression" dxfId="647" priority="5">
      <formula>$A2="пт"</formula>
    </cfRule>
    <cfRule type="expression" dxfId="646" priority="6">
      <formula>$A2="чт"</formula>
    </cfRule>
    <cfRule type="expression" dxfId="645" priority="7">
      <formula>$A2="ср"</formula>
    </cfRule>
    <cfRule type="expression" dxfId="644" priority="8">
      <formula>$A2="вт"</formula>
    </cfRule>
  </conditionalFormatting>
  <conditionalFormatting sqref="D2:D614">
    <cfRule type="containsText" dxfId="64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14">
    <cfRule type="containsText" dxfId="64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622"/>
  <sheetViews>
    <sheetView zoomScale="90" zoomScaleNormal="90" workbookViewId="0">
      <pane ySplit="1" topLeftCell="A590" activePane="bottomLeft" state="frozen"/>
      <selection pane="bottomLeft" activeCell="I620" sqref="I620:I62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1307</v>
      </c>
      <c r="J2" s="8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s="8" t="s">
        <v>4</v>
      </c>
      <c r="E3" s="8" t="s">
        <v>8</v>
      </c>
      <c r="F3" s="8"/>
      <c r="H3" s="8"/>
      <c r="I3" s="8" t="s">
        <v>1311</v>
      </c>
      <c r="J3" s="8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s="8" t="s">
        <v>4</v>
      </c>
      <c r="E4" s="8" t="s">
        <v>8</v>
      </c>
      <c r="F4" s="8"/>
      <c r="H4" s="8"/>
      <c r="I4" s="8" t="s">
        <v>1314</v>
      </c>
      <c r="J4" s="8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s="8" t="s">
        <v>1604</v>
      </c>
      <c r="E5" s="8" t="s">
        <v>1097</v>
      </c>
      <c r="F5" s="8"/>
      <c r="H5" s="8"/>
      <c r="I5" s="8" t="s">
        <v>1317</v>
      </c>
      <c r="J5" s="8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s="8" t="s">
        <v>1604</v>
      </c>
      <c r="E6" s="8" t="s">
        <v>1097</v>
      </c>
      <c r="F6" s="8"/>
      <c r="H6" s="8"/>
      <c r="I6" s="8" t="s">
        <v>1320</v>
      </c>
      <c r="J6" s="8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s="8" t="s">
        <v>1604</v>
      </c>
      <c r="E7" s="8" t="s">
        <v>1097</v>
      </c>
      <c r="F7" s="8"/>
      <c r="H7" s="8"/>
      <c r="I7" s="8" t="s">
        <v>1323</v>
      </c>
      <c r="J7" s="8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s="8" t="s">
        <v>1604</v>
      </c>
      <c r="E8" s="8" t="s">
        <v>1097</v>
      </c>
      <c r="F8" s="8"/>
      <c r="H8" s="8"/>
      <c r="I8" s="8" t="s">
        <v>1326</v>
      </c>
      <c r="J8" s="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s="8" t="s">
        <v>159</v>
      </c>
      <c r="E9" s="8" t="s">
        <v>86</v>
      </c>
      <c r="F9" s="8" t="s">
        <v>60</v>
      </c>
      <c r="H9" s="8" t="s">
        <v>1605</v>
      </c>
      <c r="I9" s="8" t="s">
        <v>1329</v>
      </c>
      <c r="J9" s="8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s="8" t="s">
        <v>1094</v>
      </c>
      <c r="E10" s="8" t="s">
        <v>1095</v>
      </c>
      <c r="F10" s="8"/>
      <c r="H10" s="8"/>
      <c r="I10" s="8" t="s">
        <v>1332</v>
      </c>
      <c r="J10" s="8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s="8" t="s">
        <v>1094</v>
      </c>
      <c r="E11" s="8" t="s">
        <v>1095</v>
      </c>
      <c r="F11" s="8"/>
      <c r="H11" s="8"/>
      <c r="I11" s="8" t="s">
        <v>1335</v>
      </c>
      <c r="J11" s="8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s="8" t="s">
        <v>159</v>
      </c>
      <c r="E12" s="8" t="s">
        <v>86</v>
      </c>
      <c r="F12" s="8" t="s">
        <v>51</v>
      </c>
      <c r="H12" s="8"/>
      <c r="I12" s="8" t="s">
        <v>1338</v>
      </c>
      <c r="J12" s="8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s="8" t="s">
        <v>1606</v>
      </c>
      <c r="E13" s="8" t="s">
        <v>86</v>
      </c>
      <c r="F13" s="8" t="s">
        <v>51</v>
      </c>
      <c r="H13" s="8"/>
      <c r="I13" s="8" t="s">
        <v>1341</v>
      </c>
      <c r="J13" s="8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s="8" t="s">
        <v>289</v>
      </c>
      <c r="E14" s="8" t="s">
        <v>86</v>
      </c>
      <c r="F14" s="8" t="s">
        <v>53</v>
      </c>
      <c r="G14">
        <v>1</v>
      </c>
      <c r="H14" s="8"/>
      <c r="I14" s="8" t="s">
        <v>1344</v>
      </c>
      <c r="J14" s="8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s="8" t="s">
        <v>650</v>
      </c>
      <c r="E15" s="8" t="s">
        <v>86</v>
      </c>
      <c r="F15" s="8" t="s">
        <v>1609</v>
      </c>
      <c r="H15" s="8"/>
      <c r="I15" s="8" t="s">
        <v>1347</v>
      </c>
      <c r="J15" s="8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s="8" t="s">
        <v>4</v>
      </c>
      <c r="E16" s="8" t="s">
        <v>8</v>
      </c>
      <c r="F16" s="8"/>
      <c r="H16" s="8"/>
      <c r="I16" s="8" t="s">
        <v>1350</v>
      </c>
      <c r="J16" s="8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s="8" t="s">
        <v>1606</v>
      </c>
      <c r="E17" s="8" t="s">
        <v>86</v>
      </c>
      <c r="F17" s="8" t="s">
        <v>51</v>
      </c>
      <c r="H17" s="8"/>
      <c r="I17" s="8" t="s">
        <v>1353</v>
      </c>
      <c r="J17" s="8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s="8" t="s">
        <v>289</v>
      </c>
      <c r="E18" s="8" t="s">
        <v>86</v>
      </c>
      <c r="F18" s="8" t="s">
        <v>53</v>
      </c>
      <c r="G18">
        <v>1</v>
      </c>
      <c r="H18" s="8"/>
      <c r="I18" s="8" t="s">
        <v>1356</v>
      </c>
      <c r="J18" s="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s="8" t="s">
        <v>650</v>
      </c>
      <c r="E19" s="8" t="s">
        <v>86</v>
      </c>
      <c r="F19" s="8" t="s">
        <v>1609</v>
      </c>
      <c r="H19" s="8"/>
      <c r="I19" s="8" t="s">
        <v>1359</v>
      </c>
      <c r="J19" s="8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s="8" t="s">
        <v>1606</v>
      </c>
      <c r="E20" s="8" t="s">
        <v>86</v>
      </c>
      <c r="F20" s="8" t="s">
        <v>51</v>
      </c>
      <c r="H20" s="8"/>
      <c r="I20" s="8" t="s">
        <v>1362</v>
      </c>
      <c r="J20" s="8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s="8" t="s">
        <v>289</v>
      </c>
      <c r="E21" s="8" t="s">
        <v>86</v>
      </c>
      <c r="F21" s="8" t="s">
        <v>53</v>
      </c>
      <c r="G21">
        <v>1</v>
      </c>
      <c r="H21" s="8"/>
      <c r="I21" s="8" t="s">
        <v>1365</v>
      </c>
      <c r="J21" s="8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s="8" t="s">
        <v>650</v>
      </c>
      <c r="E22" s="8" t="s">
        <v>86</v>
      </c>
      <c r="F22" s="8" t="s">
        <v>1609</v>
      </c>
      <c r="H22" s="8"/>
      <c r="I22" s="8" t="s">
        <v>1368</v>
      </c>
      <c r="J22" s="8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s="8" t="s">
        <v>4</v>
      </c>
      <c r="E23" s="8" t="s">
        <v>1607</v>
      </c>
      <c r="F23" s="8" t="s">
        <v>1608</v>
      </c>
      <c r="H23" s="8"/>
      <c r="I23" s="8" t="s">
        <v>1371</v>
      </c>
      <c r="J23" s="8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s="8" t="s">
        <v>4</v>
      </c>
      <c r="E24" s="8" t="s">
        <v>1607</v>
      </c>
      <c r="F24" s="8" t="s">
        <v>1608</v>
      </c>
      <c r="H24" s="8"/>
      <c r="I24" s="8" t="s">
        <v>1374</v>
      </c>
      <c r="J24" s="8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s="8" t="s">
        <v>159</v>
      </c>
      <c r="E25" s="8" t="s">
        <v>86</v>
      </c>
      <c r="F25" s="8" t="s">
        <v>60</v>
      </c>
      <c r="H25" s="8" t="s">
        <v>1605</v>
      </c>
      <c r="I25" s="8" t="s">
        <v>1377</v>
      </c>
      <c r="J25" s="8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s="8" t="s">
        <v>4</v>
      </c>
      <c r="E26" s="8" t="s">
        <v>8</v>
      </c>
      <c r="F26" s="8"/>
      <c r="H26" s="8"/>
      <c r="I26" s="8" t="s">
        <v>1380</v>
      </c>
      <c r="J26" s="8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s="8" t="s">
        <v>1606</v>
      </c>
      <c r="E27" s="8" t="s">
        <v>86</v>
      </c>
      <c r="F27" s="8" t="s">
        <v>51</v>
      </c>
      <c r="H27" s="8"/>
      <c r="I27" s="8" t="s">
        <v>1383</v>
      </c>
      <c r="J27" s="8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s="8" t="s">
        <v>4</v>
      </c>
      <c r="E28" s="8" t="s">
        <v>8</v>
      </c>
      <c r="F28" s="8"/>
      <c r="H28" s="8"/>
      <c r="I28" s="8" t="s">
        <v>1386</v>
      </c>
      <c r="J28" s="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s="8" t="s">
        <v>650</v>
      </c>
      <c r="E29" s="8" t="s">
        <v>86</v>
      </c>
      <c r="F29" s="8" t="s">
        <v>51</v>
      </c>
      <c r="H29" s="8"/>
      <c r="I29" s="8" t="s">
        <v>1389</v>
      </c>
      <c r="J29" s="8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s="8" t="s">
        <v>4</v>
      </c>
      <c r="E30" s="8" t="s">
        <v>8</v>
      </c>
      <c r="F30" s="8"/>
      <c r="H30" s="8"/>
      <c r="I30" s="8" t="s">
        <v>1392</v>
      </c>
      <c r="J30" s="8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s="8" t="s">
        <v>1606</v>
      </c>
      <c r="E31" s="8" t="s">
        <v>56</v>
      </c>
      <c r="F31" s="8" t="s">
        <v>51</v>
      </c>
      <c r="H31" s="8"/>
      <c r="I31" s="8" t="s">
        <v>1395</v>
      </c>
      <c r="J31" s="8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s="8" t="s">
        <v>289</v>
      </c>
      <c r="E32" s="8" t="s">
        <v>56</v>
      </c>
      <c r="F32" s="8" t="s">
        <v>53</v>
      </c>
      <c r="G32">
        <v>3</v>
      </c>
      <c r="H32" s="8"/>
      <c r="I32" s="8" t="s">
        <v>1398</v>
      </c>
      <c r="J32" s="8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s="8" t="s">
        <v>650</v>
      </c>
      <c r="E33" s="8" t="s">
        <v>56</v>
      </c>
      <c r="F33" s="8" t="s">
        <v>1609</v>
      </c>
      <c r="H33" s="8"/>
      <c r="I33" s="8" t="s">
        <v>1401</v>
      </c>
      <c r="J33" s="8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s="8" t="s">
        <v>533</v>
      </c>
      <c r="E34" s="8" t="s">
        <v>531</v>
      </c>
      <c r="F34" s="8" t="s">
        <v>58</v>
      </c>
      <c r="H34" s="8" t="s">
        <v>1612</v>
      </c>
      <c r="I34" s="8" t="s">
        <v>1404</v>
      </c>
      <c r="J34" s="8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s="8" t="s">
        <v>533</v>
      </c>
      <c r="E35" s="8" t="s">
        <v>531</v>
      </c>
      <c r="F35" s="8" t="s">
        <v>58</v>
      </c>
      <c r="H35" s="8" t="s">
        <v>1612</v>
      </c>
      <c r="I35" s="8" t="s">
        <v>1407</v>
      </c>
      <c r="J35" s="8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s="8" t="s">
        <v>533</v>
      </c>
      <c r="E36" s="8" t="s">
        <v>531</v>
      </c>
      <c r="F36" s="8" t="s">
        <v>58</v>
      </c>
      <c r="H36" s="8" t="s">
        <v>1612</v>
      </c>
      <c r="I36" s="8" t="s">
        <v>1410</v>
      </c>
      <c r="J36" s="8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s="8" t="s">
        <v>533</v>
      </c>
      <c r="E37" s="8" t="s">
        <v>531</v>
      </c>
      <c r="F37" s="8" t="s">
        <v>58</v>
      </c>
      <c r="H37" s="8" t="s">
        <v>1612</v>
      </c>
      <c r="I37" s="8" t="s">
        <v>1413</v>
      </c>
      <c r="J37" s="8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s="8" t="s">
        <v>4</v>
      </c>
      <c r="E38" s="8" t="s">
        <v>8</v>
      </c>
      <c r="F38" s="8"/>
      <c r="H38" s="8"/>
      <c r="I38" s="8" t="s">
        <v>1416</v>
      </c>
      <c r="J38" s="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s="8" t="s">
        <v>533</v>
      </c>
      <c r="E39" s="8" t="s">
        <v>1610</v>
      </c>
      <c r="F39" s="8" t="s">
        <v>58</v>
      </c>
      <c r="H39" s="8" t="s">
        <v>1611</v>
      </c>
      <c r="I39" s="8" t="s">
        <v>1419</v>
      </c>
      <c r="J39" s="8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s="8" t="s">
        <v>533</v>
      </c>
      <c r="E40" s="8" t="s">
        <v>1610</v>
      </c>
      <c r="F40" s="8" t="s">
        <v>58</v>
      </c>
      <c r="H40" s="8" t="s">
        <v>1611</v>
      </c>
      <c r="I40" s="8" t="s">
        <v>1422</v>
      </c>
      <c r="J40" s="8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s="8" t="s">
        <v>533</v>
      </c>
      <c r="E41" s="8" t="s">
        <v>1610</v>
      </c>
      <c r="F41" s="8" t="s">
        <v>58</v>
      </c>
      <c r="H41" s="8" t="s">
        <v>1611</v>
      </c>
      <c r="I41" s="8" t="s">
        <v>1425</v>
      </c>
      <c r="J41" s="8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s="8" t="s">
        <v>533</v>
      </c>
      <c r="E42" s="8" t="s">
        <v>531</v>
      </c>
      <c r="F42" s="8" t="s">
        <v>58</v>
      </c>
      <c r="H42" s="8" t="s">
        <v>1612</v>
      </c>
      <c r="I42" s="8" t="s">
        <v>1428</v>
      </c>
      <c r="J42" s="8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s="8" t="s">
        <v>533</v>
      </c>
      <c r="E43" s="8" t="s">
        <v>531</v>
      </c>
      <c r="F43" s="8" t="s">
        <v>58</v>
      </c>
      <c r="H43" s="8" t="s">
        <v>1612</v>
      </c>
      <c r="I43" s="8" t="s">
        <v>1432</v>
      </c>
      <c r="J43" s="8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1435</v>
      </c>
      <c r="J44" s="8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s="8" t="s">
        <v>4</v>
      </c>
      <c r="E45" s="8" t="s">
        <v>8</v>
      </c>
      <c r="F45" s="8"/>
      <c r="H45" s="8"/>
      <c r="I45" s="8" t="s">
        <v>1438</v>
      </c>
      <c r="J45" s="8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s="8" t="s">
        <v>289</v>
      </c>
      <c r="E46" s="8" t="s">
        <v>86</v>
      </c>
      <c r="F46" s="8" t="s">
        <v>1097</v>
      </c>
      <c r="H46" s="8"/>
      <c r="I46" s="8" t="s">
        <v>1441</v>
      </c>
      <c r="J46" s="8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s="8" t="s">
        <v>289</v>
      </c>
      <c r="E47" s="8" t="s">
        <v>86</v>
      </c>
      <c r="F47" s="8" t="s">
        <v>1095</v>
      </c>
      <c r="H47" s="8"/>
      <c r="I47" s="8" t="s">
        <v>1444</v>
      </c>
      <c r="J47" s="8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s="8" t="s">
        <v>533</v>
      </c>
      <c r="E48" s="8" t="s">
        <v>86</v>
      </c>
      <c r="F48" s="8" t="s">
        <v>1613</v>
      </c>
      <c r="H48" s="8" t="s">
        <v>1612</v>
      </c>
      <c r="I48" s="8" t="s">
        <v>1447</v>
      </c>
      <c r="J48" s="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s="8" t="s">
        <v>1615</v>
      </c>
      <c r="E49" s="8" t="s">
        <v>86</v>
      </c>
      <c r="F49" s="8" t="s">
        <v>1614</v>
      </c>
      <c r="H49" s="8"/>
      <c r="I49" s="8" t="s">
        <v>1450</v>
      </c>
      <c r="J49" s="8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s="8" t="s">
        <v>1606</v>
      </c>
      <c r="E50" s="8" t="s">
        <v>63</v>
      </c>
      <c r="F50" s="8" t="s">
        <v>51</v>
      </c>
      <c r="H50" s="8"/>
      <c r="I50" s="8" t="s">
        <v>1453</v>
      </c>
      <c r="J50" s="8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s="8" t="s">
        <v>289</v>
      </c>
      <c r="E51" s="8" t="s">
        <v>63</v>
      </c>
      <c r="F51" s="8" t="s">
        <v>58</v>
      </c>
      <c r="H51" s="8" t="s">
        <v>1620</v>
      </c>
      <c r="I51" s="8" t="s">
        <v>1456</v>
      </c>
      <c r="J51" s="8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s="8" t="s">
        <v>1999</v>
      </c>
      <c r="E52" s="8" t="s">
        <v>63</v>
      </c>
      <c r="F52" s="8" t="s">
        <v>58</v>
      </c>
      <c r="H52" s="8" t="s">
        <v>1620</v>
      </c>
      <c r="I52" s="8" t="s">
        <v>1459</v>
      </c>
      <c r="J52" s="8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s="8" t="s">
        <v>1999</v>
      </c>
      <c r="E53" s="8" t="s">
        <v>63</v>
      </c>
      <c r="F53" s="8" t="s">
        <v>58</v>
      </c>
      <c r="H53" s="8" t="s">
        <v>1620</v>
      </c>
      <c r="I53" s="8" t="s">
        <v>1462</v>
      </c>
      <c r="J53" s="8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s="8" t="s">
        <v>650</v>
      </c>
      <c r="E54" s="8" t="s">
        <v>63</v>
      </c>
      <c r="F54" s="8" t="s">
        <v>58</v>
      </c>
      <c r="H54" s="8"/>
      <c r="I54" s="8" t="s">
        <v>1465</v>
      </c>
      <c r="J54" s="8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s="8" t="s">
        <v>1606</v>
      </c>
      <c r="E55" s="8" t="s">
        <v>55</v>
      </c>
      <c r="F55" s="8" t="s">
        <v>51</v>
      </c>
      <c r="H55" s="8"/>
      <c r="I55" s="8" t="s">
        <v>1468</v>
      </c>
      <c r="J55" s="8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s="8" t="s">
        <v>289</v>
      </c>
      <c r="E56" s="8" t="s">
        <v>55</v>
      </c>
      <c r="F56" s="8" t="s">
        <v>1617</v>
      </c>
      <c r="H56" s="8" t="s">
        <v>1618</v>
      </c>
      <c r="I56" s="8" t="s">
        <v>1471</v>
      </c>
      <c r="J56" s="8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s="8" t="s">
        <v>1616</v>
      </c>
      <c r="E57" s="8" t="s">
        <v>55</v>
      </c>
      <c r="F57" s="8" t="s">
        <v>1617</v>
      </c>
      <c r="H57" s="8" t="s">
        <v>1618</v>
      </c>
      <c r="I57" s="8" t="s">
        <v>1474</v>
      </c>
      <c r="J57" s="8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s="8" t="s">
        <v>1616</v>
      </c>
      <c r="E58" s="8" t="s">
        <v>55</v>
      </c>
      <c r="F58" s="8" t="s">
        <v>1617</v>
      </c>
      <c r="H58" s="8" t="s">
        <v>1618</v>
      </c>
      <c r="I58" s="8" t="s">
        <v>1477</v>
      </c>
      <c r="J58" s="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s="8" t="s">
        <v>1616</v>
      </c>
      <c r="E59" s="8" t="s">
        <v>55</v>
      </c>
      <c r="F59" s="8" t="s">
        <v>1619</v>
      </c>
      <c r="H59" s="8" t="s">
        <v>1620</v>
      </c>
      <c r="I59" s="8" t="s">
        <v>1480</v>
      </c>
      <c r="J59" s="8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s="8" t="s">
        <v>1616</v>
      </c>
      <c r="E60" s="8" t="s">
        <v>55</v>
      </c>
      <c r="F60" s="8" t="s">
        <v>1621</v>
      </c>
      <c r="H60" s="8"/>
      <c r="I60" s="8" t="s">
        <v>1483</v>
      </c>
      <c r="J60" s="8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s="8" t="s">
        <v>1616</v>
      </c>
      <c r="E61" s="8" t="s">
        <v>55</v>
      </c>
      <c r="F61" s="8" t="s">
        <v>1622</v>
      </c>
      <c r="H61" s="8"/>
      <c r="I61" s="8" t="s">
        <v>1486</v>
      </c>
      <c r="J61" s="8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s="8" t="s">
        <v>650</v>
      </c>
      <c r="E62" s="8" t="s">
        <v>55</v>
      </c>
      <c r="F62" s="8" t="s">
        <v>1622</v>
      </c>
      <c r="G62">
        <v>6</v>
      </c>
      <c r="H62" s="8" t="s">
        <v>1620</v>
      </c>
      <c r="I62" s="8" t="s">
        <v>1489</v>
      </c>
      <c r="J62" s="8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s="8" t="s">
        <v>4</v>
      </c>
      <c r="E63" s="8" t="s">
        <v>8</v>
      </c>
      <c r="F63" s="8"/>
      <c r="H63" s="8"/>
      <c r="I63" s="8" t="s">
        <v>1492</v>
      </c>
      <c r="J63" s="8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s="8" t="s">
        <v>159</v>
      </c>
      <c r="E64" s="8" t="s">
        <v>86</v>
      </c>
      <c r="F64" s="8" t="s">
        <v>60</v>
      </c>
      <c r="H64" s="8" t="s">
        <v>1605</v>
      </c>
      <c r="I64" s="8" t="s">
        <v>1495</v>
      </c>
      <c r="J64" s="8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s="8" t="s">
        <v>159</v>
      </c>
      <c r="E65" s="8" t="s">
        <v>86</v>
      </c>
      <c r="F65" s="8" t="s">
        <v>60</v>
      </c>
      <c r="H65" s="8" t="s">
        <v>1605</v>
      </c>
      <c r="I65" s="8" t="s">
        <v>1498</v>
      </c>
      <c r="J65" s="8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s="8" t="s">
        <v>159</v>
      </c>
      <c r="E66" s="8" t="s">
        <v>86</v>
      </c>
      <c r="F66" s="8" t="s">
        <v>60</v>
      </c>
      <c r="H66" s="8" t="s">
        <v>1605</v>
      </c>
      <c r="I66" s="8" t="s">
        <v>1501</v>
      </c>
      <c r="J66" s="8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s="8" t="s">
        <v>159</v>
      </c>
      <c r="E67" s="8" t="s">
        <v>86</v>
      </c>
      <c r="F67" s="8" t="s">
        <v>60</v>
      </c>
      <c r="H67" s="8" t="s">
        <v>1605</v>
      </c>
      <c r="I67" s="8" t="s">
        <v>1504</v>
      </c>
      <c r="J67" s="8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s="8" t="s">
        <v>159</v>
      </c>
      <c r="E68" s="8" t="s">
        <v>86</v>
      </c>
      <c r="F68" s="8" t="s">
        <v>1621</v>
      </c>
      <c r="H68" s="8" t="s">
        <v>1605</v>
      </c>
      <c r="I68" s="8" t="s">
        <v>1507</v>
      </c>
      <c r="J68" s="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s="8" t="s">
        <v>4</v>
      </c>
      <c r="E69" s="8" t="s">
        <v>8</v>
      </c>
      <c r="F69" s="8"/>
      <c r="H69" s="8"/>
      <c r="I69" s="8" t="s">
        <v>1510</v>
      </c>
      <c r="J69" s="8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s="8" t="s">
        <v>1623</v>
      </c>
      <c r="E70" s="8"/>
      <c r="F70" s="8"/>
      <c r="H70" s="8"/>
      <c r="I70" s="8" t="s">
        <v>1513</v>
      </c>
      <c r="J70" s="8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s="8" t="s">
        <v>533</v>
      </c>
      <c r="E71" s="8" t="s">
        <v>531</v>
      </c>
      <c r="F71" s="8" t="s">
        <v>1624</v>
      </c>
      <c r="H71" s="8"/>
      <c r="I71" s="8" t="s">
        <v>1516</v>
      </c>
      <c r="J71" s="8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s="8" t="s">
        <v>1606</v>
      </c>
      <c r="E72" s="8" t="s">
        <v>70</v>
      </c>
      <c r="F72" s="8" t="s">
        <v>51</v>
      </c>
      <c r="H72" s="8"/>
      <c r="I72" s="8" t="s">
        <v>1519</v>
      </c>
      <c r="J72" s="8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s="8" t="s">
        <v>466</v>
      </c>
      <c r="E73" s="8" t="s">
        <v>70</v>
      </c>
      <c r="F73" s="8" t="s">
        <v>58</v>
      </c>
      <c r="H73" s="8" t="s">
        <v>1620</v>
      </c>
      <c r="I73" s="8" t="s">
        <v>1522</v>
      </c>
      <c r="J73" s="8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s="8" t="s">
        <v>466</v>
      </c>
      <c r="E74" s="8" t="s">
        <v>70</v>
      </c>
      <c r="F74" s="8" t="s">
        <v>58</v>
      </c>
      <c r="H74" s="8" t="s">
        <v>1620</v>
      </c>
      <c r="I74" s="8" t="s">
        <v>1525</v>
      </c>
      <c r="J74" s="8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s="8" t="s">
        <v>4</v>
      </c>
      <c r="E75" s="8" t="s">
        <v>8</v>
      </c>
      <c r="F75" s="8"/>
      <c r="H75" s="8"/>
      <c r="I75" s="8" t="s">
        <v>1528</v>
      </c>
      <c r="J75" s="8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s="8" t="s">
        <v>159</v>
      </c>
      <c r="E76" s="8" t="s">
        <v>86</v>
      </c>
      <c r="F76" s="8" t="s">
        <v>60</v>
      </c>
      <c r="H76" s="8" t="s">
        <v>1605</v>
      </c>
      <c r="I76" s="8" t="s">
        <v>1531</v>
      </c>
      <c r="J76" s="8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s="8" t="s">
        <v>4</v>
      </c>
      <c r="E77" s="8" t="s">
        <v>8</v>
      </c>
      <c r="F77" s="8"/>
      <c r="H77" s="8" t="s">
        <v>1625</v>
      </c>
      <c r="I77" s="8" t="s">
        <v>1534</v>
      </c>
      <c r="J77" s="8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1537</v>
      </c>
      <c r="J78" s="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s="8" t="s">
        <v>1623</v>
      </c>
      <c r="E79" s="8"/>
      <c r="F79" s="8"/>
      <c r="H79" s="8"/>
      <c r="I79" s="8" t="s">
        <v>1540</v>
      </c>
      <c r="J79" s="8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s="8" t="s">
        <v>159</v>
      </c>
      <c r="E80" s="8" t="s">
        <v>86</v>
      </c>
      <c r="F80" s="8" t="s">
        <v>200</v>
      </c>
      <c r="H80" s="8"/>
      <c r="I80" s="8" t="s">
        <v>1543</v>
      </c>
      <c r="J80" s="8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s="8" t="s">
        <v>159</v>
      </c>
      <c r="E81" s="8" t="s">
        <v>86</v>
      </c>
      <c r="F81" s="8" t="s">
        <v>200</v>
      </c>
      <c r="H81" s="8"/>
      <c r="I81" s="8" t="s">
        <v>1546</v>
      </c>
      <c r="J81" s="8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s="8" t="s">
        <v>159</v>
      </c>
      <c r="E82" s="8" t="s">
        <v>86</v>
      </c>
      <c r="F82" s="8" t="s">
        <v>200</v>
      </c>
      <c r="H82" s="8"/>
      <c r="I82" s="8" t="s">
        <v>1549</v>
      </c>
      <c r="J82" s="8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s="8" t="s">
        <v>4</v>
      </c>
      <c r="E83" s="8" t="s">
        <v>8</v>
      </c>
      <c r="F83" s="8"/>
      <c r="H83" s="8"/>
      <c r="I83" s="8" t="s">
        <v>1552</v>
      </c>
      <c r="J83" s="8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s="8" t="s">
        <v>159</v>
      </c>
      <c r="E84" s="8" t="s">
        <v>86</v>
      </c>
      <c r="F84" s="8" t="s">
        <v>60</v>
      </c>
      <c r="H84" s="8"/>
      <c r="I84" s="8" t="s">
        <v>1555</v>
      </c>
      <c r="J84" s="8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s="8" t="s">
        <v>159</v>
      </c>
      <c r="E85" s="8" t="s">
        <v>86</v>
      </c>
      <c r="F85" s="8" t="s">
        <v>200</v>
      </c>
      <c r="H85" s="8"/>
      <c r="I85" s="8" t="s">
        <v>1558</v>
      </c>
      <c r="J85" s="8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s="8" t="s">
        <v>159</v>
      </c>
      <c r="E86" s="8" t="s">
        <v>86</v>
      </c>
      <c r="F86" s="8" t="s">
        <v>200</v>
      </c>
      <c r="H86" s="8"/>
      <c r="I86" s="8" t="s">
        <v>1561</v>
      </c>
      <c r="J86" s="8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s="8" t="s">
        <v>159</v>
      </c>
      <c r="E87" s="8" t="s">
        <v>86</v>
      </c>
      <c r="F87" s="8" t="s">
        <v>200</v>
      </c>
      <c r="H87" s="8"/>
      <c r="I87" s="8" t="s">
        <v>1564</v>
      </c>
      <c r="J87" s="8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s="8" t="s">
        <v>159</v>
      </c>
      <c r="E88" s="8" t="s">
        <v>86</v>
      </c>
      <c r="F88" s="8" t="s">
        <v>87</v>
      </c>
      <c r="H88" s="8" t="s">
        <v>1626</v>
      </c>
      <c r="I88" s="8" t="s">
        <v>1567</v>
      </c>
      <c r="J88" s="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s="8" t="s">
        <v>1623</v>
      </c>
      <c r="E89" s="8"/>
      <c r="F89" s="8"/>
      <c r="H89" s="8"/>
      <c r="I89" s="8" t="s">
        <v>1570</v>
      </c>
      <c r="J89" s="8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s="8" t="s">
        <v>4</v>
      </c>
      <c r="E90" s="8" t="s">
        <v>8</v>
      </c>
      <c r="F90" s="8"/>
      <c r="H90" s="8" t="s">
        <v>1625</v>
      </c>
      <c r="I90" s="8" t="s">
        <v>1573</v>
      </c>
      <c r="J90" s="8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1576</v>
      </c>
      <c r="J91" s="8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s="8" t="s">
        <v>1623</v>
      </c>
      <c r="E92" s="8"/>
      <c r="F92" s="8"/>
      <c r="H92" s="8"/>
      <c r="I92" s="8" t="s">
        <v>1579</v>
      </c>
      <c r="J92" s="8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s="8" t="s">
        <v>4</v>
      </c>
      <c r="E93" s="8" t="s">
        <v>8</v>
      </c>
      <c r="F93" s="8"/>
      <c r="H93" s="8"/>
      <c r="I93" s="8" t="s">
        <v>1582</v>
      </c>
      <c r="J93" s="8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s="8" t="s">
        <v>4</v>
      </c>
      <c r="E94" s="8" t="s">
        <v>8</v>
      </c>
      <c r="F94" s="8"/>
      <c r="H94" s="8" t="s">
        <v>1625</v>
      </c>
      <c r="I94" s="8" t="s">
        <v>1585</v>
      </c>
      <c r="J94" s="8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1588</v>
      </c>
      <c r="J95" s="8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s="8" t="s">
        <v>1623</v>
      </c>
      <c r="E96" s="8"/>
      <c r="F96" s="8"/>
      <c r="H96" s="8"/>
      <c r="I96" s="8" t="s">
        <v>1591</v>
      </c>
      <c r="J96" s="8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s="8" t="s">
        <v>4</v>
      </c>
      <c r="E97" s="8" t="s">
        <v>8</v>
      </c>
      <c r="F97" s="8"/>
      <c r="H97" s="8"/>
      <c r="I97" s="8" t="s">
        <v>1594</v>
      </c>
      <c r="J97" s="8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s="8" t="s">
        <v>4</v>
      </c>
      <c r="E98" s="8" t="s">
        <v>8</v>
      </c>
      <c r="F98" s="8"/>
      <c r="H98" s="8" t="s">
        <v>1625</v>
      </c>
      <c r="I98" s="8" t="s">
        <v>1597</v>
      </c>
      <c r="J98" s="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s="8" t="s">
        <v>1623</v>
      </c>
      <c r="E99" s="8"/>
      <c r="F99" s="8"/>
      <c r="H99" s="8"/>
      <c r="I99" s="8" t="s">
        <v>1600</v>
      </c>
      <c r="J99" s="8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s="8" t="s">
        <v>533</v>
      </c>
      <c r="E100" s="8" t="s">
        <v>531</v>
      </c>
      <c r="F100" s="8" t="s">
        <v>58</v>
      </c>
      <c r="H100" s="8" t="s">
        <v>2948</v>
      </c>
      <c r="I100" s="8" t="s">
        <v>2631</v>
      </c>
      <c r="J100" s="8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s="8" t="s">
        <v>533</v>
      </c>
      <c r="E101" s="8" t="s">
        <v>531</v>
      </c>
      <c r="F101" s="8" t="s">
        <v>58</v>
      </c>
      <c r="H101" s="8" t="s">
        <v>2948</v>
      </c>
      <c r="I101" s="8" t="s">
        <v>2634</v>
      </c>
      <c r="J101" s="8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s="8" t="s">
        <v>533</v>
      </c>
      <c r="E102" s="8" t="s">
        <v>531</v>
      </c>
      <c r="F102" s="8" t="s">
        <v>58</v>
      </c>
      <c r="H102" s="8" t="s">
        <v>1620</v>
      </c>
      <c r="I102" s="8" t="s">
        <v>2637</v>
      </c>
      <c r="J102" s="8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s="8" t="s">
        <v>533</v>
      </c>
      <c r="E103" s="8" t="s">
        <v>531</v>
      </c>
      <c r="F103" s="8" t="s">
        <v>58</v>
      </c>
      <c r="H103" s="8" t="s">
        <v>1620</v>
      </c>
      <c r="I103" s="8" t="s">
        <v>2640</v>
      </c>
      <c r="J103" s="8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s="8" t="s">
        <v>533</v>
      </c>
      <c r="E104" s="8" t="s">
        <v>531</v>
      </c>
      <c r="F104" s="8" t="s">
        <v>58</v>
      </c>
      <c r="H104" s="8" t="s">
        <v>1611</v>
      </c>
      <c r="I104" s="8" t="s">
        <v>2643</v>
      </c>
      <c r="J104" s="8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s="8" t="s">
        <v>533</v>
      </c>
      <c r="E105" s="8" t="s">
        <v>531</v>
      </c>
      <c r="F105" s="8" t="s">
        <v>58</v>
      </c>
      <c r="H105" s="8" t="s">
        <v>1611</v>
      </c>
      <c r="I105" s="8" t="s">
        <v>2646</v>
      </c>
      <c r="J105" s="8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s="8" t="s">
        <v>533</v>
      </c>
      <c r="E106" s="8" t="s">
        <v>531</v>
      </c>
      <c r="F106" s="8" t="s">
        <v>58</v>
      </c>
      <c r="H106" s="8" t="s">
        <v>2949</v>
      </c>
      <c r="I106" s="8" t="s">
        <v>2649</v>
      </c>
      <c r="J106" s="8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s="8" t="s">
        <v>4</v>
      </c>
      <c r="E107" s="8" t="s">
        <v>8</v>
      </c>
      <c r="F107" s="8"/>
      <c r="H107" s="8"/>
      <c r="I107" s="8" t="s">
        <v>2652</v>
      </c>
      <c r="J107" s="8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s="8" t="s">
        <v>1606</v>
      </c>
      <c r="E108" s="8" t="s">
        <v>70</v>
      </c>
      <c r="F108" s="8" t="s">
        <v>51</v>
      </c>
      <c r="H108" s="8"/>
      <c r="I108" s="8" t="s">
        <v>2655</v>
      </c>
      <c r="J108" s="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s="8" t="s">
        <v>289</v>
      </c>
      <c r="E109" s="8" t="s">
        <v>70</v>
      </c>
      <c r="F109" s="8" t="s">
        <v>58</v>
      </c>
      <c r="H109" s="8" t="s">
        <v>2956</v>
      </c>
      <c r="I109" s="8" t="s">
        <v>2658</v>
      </c>
      <c r="J109" s="8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s="8" t="s">
        <v>1999</v>
      </c>
      <c r="E110" s="8" t="s">
        <v>70</v>
      </c>
      <c r="F110" s="8" t="s">
        <v>58</v>
      </c>
      <c r="H110" s="8" t="s">
        <v>2956</v>
      </c>
      <c r="I110" s="8" t="s">
        <v>2661</v>
      </c>
      <c r="J110" s="8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s="8" t="s">
        <v>1999</v>
      </c>
      <c r="E111" s="8" t="s">
        <v>70</v>
      </c>
      <c r="F111" s="8" t="s">
        <v>58</v>
      </c>
      <c r="H111" s="8" t="s">
        <v>2956</v>
      </c>
      <c r="I111" s="8" t="s">
        <v>2664</v>
      </c>
      <c r="J111" s="8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s="8" t="s">
        <v>1999</v>
      </c>
      <c r="E112" s="8" t="s">
        <v>70</v>
      </c>
      <c r="F112" s="8" t="s">
        <v>58</v>
      </c>
      <c r="H112" s="8" t="s">
        <v>2956</v>
      </c>
      <c r="I112" s="8" t="s">
        <v>2667</v>
      </c>
      <c r="J112" s="8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s="8" t="s">
        <v>1999</v>
      </c>
      <c r="E113" s="8" t="s">
        <v>70</v>
      </c>
      <c r="F113" s="8" t="s">
        <v>58</v>
      </c>
      <c r="H113" s="8" t="s">
        <v>2956</v>
      </c>
      <c r="I113" s="8" t="s">
        <v>2670</v>
      </c>
      <c r="J113" s="8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s="8" t="s">
        <v>1999</v>
      </c>
      <c r="E114" s="8" t="s">
        <v>70</v>
      </c>
      <c r="F114" s="8" t="s">
        <v>2950</v>
      </c>
      <c r="H114" s="8" t="s">
        <v>2956</v>
      </c>
      <c r="I114" s="8" t="s">
        <v>2673</v>
      </c>
      <c r="J114" s="8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s="8" t="s">
        <v>1999</v>
      </c>
      <c r="E115" s="8" t="s">
        <v>70</v>
      </c>
      <c r="F115" s="8" t="s">
        <v>2951</v>
      </c>
      <c r="H115" s="8" t="s">
        <v>2956</v>
      </c>
      <c r="I115" s="8" t="s">
        <v>2676</v>
      </c>
      <c r="J115" s="8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s="8" t="s">
        <v>1999</v>
      </c>
      <c r="E116" s="8" t="s">
        <v>70</v>
      </c>
      <c r="F116" s="8" t="s">
        <v>2952</v>
      </c>
      <c r="H116" s="8" t="s">
        <v>2956</v>
      </c>
      <c r="I116" s="8" t="s">
        <v>2679</v>
      </c>
      <c r="J116" s="8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s="8" t="s">
        <v>2953</v>
      </c>
      <c r="E117" s="8" t="s">
        <v>70</v>
      </c>
      <c r="F117" s="8"/>
      <c r="H117" s="8"/>
      <c r="I117" s="8" t="s">
        <v>2682</v>
      </c>
      <c r="J117" s="8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s="8" t="s">
        <v>533</v>
      </c>
      <c r="E118" s="8" t="s">
        <v>1607</v>
      </c>
      <c r="F118" s="8" t="s">
        <v>58</v>
      </c>
      <c r="H118" s="8" t="s">
        <v>2954</v>
      </c>
      <c r="I118" s="8" t="s">
        <v>2685</v>
      </c>
      <c r="J118" s="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s="8" t="s">
        <v>533</v>
      </c>
      <c r="E119" s="8" t="s">
        <v>1607</v>
      </c>
      <c r="F119" s="8" t="s">
        <v>58</v>
      </c>
      <c r="H119" s="8" t="s">
        <v>2954</v>
      </c>
      <c r="I119" s="8" t="s">
        <v>2688</v>
      </c>
      <c r="J119" s="8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s="8" t="s">
        <v>159</v>
      </c>
      <c r="E120" s="8" t="s">
        <v>2920</v>
      </c>
      <c r="F120" s="8"/>
      <c r="H120" s="8"/>
      <c r="I120" s="8" t="s">
        <v>2691</v>
      </c>
      <c r="J120" s="8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s="8" t="s">
        <v>1606</v>
      </c>
      <c r="E121" s="8" t="s">
        <v>2920</v>
      </c>
      <c r="F121" s="8"/>
      <c r="H121" s="8" t="s">
        <v>2955</v>
      </c>
      <c r="I121" s="8" t="s">
        <v>2694</v>
      </c>
      <c r="J121" s="8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s="8" t="s">
        <v>289</v>
      </c>
      <c r="E122" s="8" t="s">
        <v>2920</v>
      </c>
      <c r="F122" s="8" t="s">
        <v>58</v>
      </c>
      <c r="H122" s="8" t="s">
        <v>2957</v>
      </c>
      <c r="I122" s="8" t="s">
        <v>2697</v>
      </c>
      <c r="J122" s="8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s="8" t="s">
        <v>1999</v>
      </c>
      <c r="E123" s="8" t="s">
        <v>2920</v>
      </c>
      <c r="F123" s="8" t="s">
        <v>58</v>
      </c>
      <c r="H123" s="8" t="s">
        <v>2957</v>
      </c>
      <c r="I123" s="8" t="s">
        <v>2699</v>
      </c>
      <c r="J123" s="8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s="8" t="s">
        <v>1999</v>
      </c>
      <c r="E124" s="8" t="s">
        <v>2920</v>
      </c>
      <c r="F124" s="8" t="s">
        <v>58</v>
      </c>
      <c r="H124" s="8" t="s">
        <v>2957</v>
      </c>
      <c r="I124" s="8" t="s">
        <v>2701</v>
      </c>
      <c r="J124" s="8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s="8" t="s">
        <v>533</v>
      </c>
      <c r="E125" s="8" t="s">
        <v>1607</v>
      </c>
      <c r="F125" s="8" t="s">
        <v>58</v>
      </c>
      <c r="H125" s="8" t="s">
        <v>2958</v>
      </c>
      <c r="I125" s="8" t="s">
        <v>2704</v>
      </c>
      <c r="J125" s="8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s="8" t="s">
        <v>533</v>
      </c>
      <c r="E126" s="8" t="s">
        <v>1607</v>
      </c>
      <c r="F126" s="8" t="s">
        <v>58</v>
      </c>
      <c r="H126" s="8" t="s">
        <v>2958</v>
      </c>
      <c r="I126" s="8" t="s">
        <v>2707</v>
      </c>
      <c r="J126" s="8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s="8" t="s">
        <v>533</v>
      </c>
      <c r="E127" s="8" t="s">
        <v>1607</v>
      </c>
      <c r="F127" s="8" t="s">
        <v>58</v>
      </c>
      <c r="H127" s="8" t="s">
        <v>2958</v>
      </c>
      <c r="I127" s="8" t="s">
        <v>2710</v>
      </c>
      <c r="J127" s="8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s="8" t="s">
        <v>533</v>
      </c>
      <c r="E128" s="8" t="s">
        <v>1607</v>
      </c>
      <c r="F128" s="8" t="s">
        <v>58</v>
      </c>
      <c r="H128" s="8" t="s">
        <v>2954</v>
      </c>
      <c r="I128" s="8" t="s">
        <v>2713</v>
      </c>
      <c r="J128" s="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s="8" t="s">
        <v>533</v>
      </c>
      <c r="E129" s="8" t="s">
        <v>1607</v>
      </c>
      <c r="F129" s="8" t="s">
        <v>58</v>
      </c>
      <c r="H129" s="8" t="s">
        <v>2954</v>
      </c>
      <c r="I129" s="8" t="s">
        <v>2959</v>
      </c>
      <c r="J129" s="8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s="8" t="s">
        <v>4</v>
      </c>
      <c r="E130" s="8" t="s">
        <v>8</v>
      </c>
      <c r="F130" s="8"/>
      <c r="H130" s="8"/>
      <c r="I130" s="8" t="s">
        <v>2716</v>
      </c>
      <c r="J130" s="8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s="8" t="s">
        <v>533</v>
      </c>
      <c r="E131" s="8" t="s">
        <v>1607</v>
      </c>
      <c r="F131" s="8" t="s">
        <v>2962</v>
      </c>
      <c r="H131" s="8" t="s">
        <v>2954</v>
      </c>
      <c r="I131" s="8" t="s">
        <v>2719</v>
      </c>
      <c r="J131" s="8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s="8" t="s">
        <v>533</v>
      </c>
      <c r="E132" s="8" t="s">
        <v>1607</v>
      </c>
      <c r="F132" s="8" t="s">
        <v>2962</v>
      </c>
      <c r="H132" s="8" t="s">
        <v>2954</v>
      </c>
      <c r="I132" s="8" t="s">
        <v>2722</v>
      </c>
      <c r="J132" s="8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s="8" t="s">
        <v>533</v>
      </c>
      <c r="E133" s="8" t="s">
        <v>1607</v>
      </c>
      <c r="F133" s="8" t="s">
        <v>2962</v>
      </c>
      <c r="H133" s="8" t="s">
        <v>2954</v>
      </c>
      <c r="I133" s="8" t="s">
        <v>2725</v>
      </c>
      <c r="J133" s="8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s="8" t="s">
        <v>1606</v>
      </c>
      <c r="E134" s="8" t="s">
        <v>70</v>
      </c>
      <c r="F134" s="8" t="s">
        <v>51</v>
      </c>
      <c r="H134" s="8"/>
      <c r="I134" s="8" t="s">
        <v>2728</v>
      </c>
      <c r="J134" s="8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s="8" t="s">
        <v>289</v>
      </c>
      <c r="E135" s="8" t="s">
        <v>70</v>
      </c>
      <c r="F135" s="8" t="s">
        <v>58</v>
      </c>
      <c r="H135" s="8" t="s">
        <v>2956</v>
      </c>
      <c r="I135" s="8" t="s">
        <v>2731</v>
      </c>
      <c r="J135" s="8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s="8" t="s">
        <v>1999</v>
      </c>
      <c r="E136" s="8" t="s">
        <v>70</v>
      </c>
      <c r="F136" s="8" t="s">
        <v>58</v>
      </c>
      <c r="H136" s="8" t="s">
        <v>2956</v>
      </c>
      <c r="I136" s="8" t="s">
        <v>2734</v>
      </c>
      <c r="J136" s="8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s="8" t="s">
        <v>1999</v>
      </c>
      <c r="E137" s="8" t="s">
        <v>70</v>
      </c>
      <c r="F137" s="8" t="s">
        <v>58</v>
      </c>
      <c r="H137" s="8" t="s">
        <v>2956</v>
      </c>
      <c r="I137" s="8" t="s">
        <v>2737</v>
      </c>
      <c r="J137" s="8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s="8" t="s">
        <v>1999</v>
      </c>
      <c r="E138" s="8" t="s">
        <v>70</v>
      </c>
      <c r="F138" s="8" t="s">
        <v>58</v>
      </c>
      <c r="H138" s="8" t="s">
        <v>2956</v>
      </c>
      <c r="I138" s="8" t="s">
        <v>2740</v>
      </c>
      <c r="J138" s="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s="8" t="s">
        <v>1999</v>
      </c>
      <c r="E139" s="8" t="s">
        <v>70</v>
      </c>
      <c r="F139" s="8" t="s">
        <v>58</v>
      </c>
      <c r="H139" s="8" t="s">
        <v>2956</v>
      </c>
      <c r="I139" s="8" t="s">
        <v>2743</v>
      </c>
      <c r="J139" s="8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s="8" t="s">
        <v>1999</v>
      </c>
      <c r="E140" s="8" t="s">
        <v>70</v>
      </c>
      <c r="F140" s="8" t="s">
        <v>58</v>
      </c>
      <c r="H140" s="8" t="s">
        <v>2956</v>
      </c>
      <c r="I140" s="8" t="s">
        <v>2746</v>
      </c>
      <c r="J140" s="8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s="8" t="s">
        <v>1999</v>
      </c>
      <c r="E141" s="8" t="s">
        <v>70</v>
      </c>
      <c r="F141" s="8" t="s">
        <v>58</v>
      </c>
      <c r="H141" s="8" t="s">
        <v>2956</v>
      </c>
      <c r="I141" s="8" t="s">
        <v>2749</v>
      </c>
      <c r="J141" s="8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s="8" t="s">
        <v>1999</v>
      </c>
      <c r="E142" s="8" t="s">
        <v>70</v>
      </c>
      <c r="F142" s="8" t="s">
        <v>58</v>
      </c>
      <c r="H142" s="8" t="s">
        <v>2956</v>
      </c>
      <c r="I142" s="8" t="s">
        <v>2752</v>
      </c>
      <c r="J142" s="8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s="8" t="s">
        <v>1999</v>
      </c>
      <c r="E143" s="8" t="s">
        <v>70</v>
      </c>
      <c r="F143" s="8" t="s">
        <v>58</v>
      </c>
      <c r="H143" s="8" t="s">
        <v>2956</v>
      </c>
      <c r="I143" s="8" t="s">
        <v>2755</v>
      </c>
      <c r="J143" s="8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s="8" t="s">
        <v>1999</v>
      </c>
      <c r="E144" s="8" t="s">
        <v>70</v>
      </c>
      <c r="F144" s="8" t="s">
        <v>58</v>
      </c>
      <c r="H144" s="8" t="s">
        <v>2956</v>
      </c>
      <c r="I144" s="8" t="s">
        <v>2758</v>
      </c>
      <c r="J144" s="8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s="8" t="s">
        <v>1999</v>
      </c>
      <c r="E145" s="8" t="s">
        <v>70</v>
      </c>
      <c r="F145" s="8" t="s">
        <v>58</v>
      </c>
      <c r="H145" s="8" t="s">
        <v>2963</v>
      </c>
      <c r="I145" s="8" t="s">
        <v>2761</v>
      </c>
      <c r="J145" s="8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s="8" t="s">
        <v>1999</v>
      </c>
      <c r="E146" s="8" t="s">
        <v>70</v>
      </c>
      <c r="F146" s="8" t="s">
        <v>2962</v>
      </c>
      <c r="H146" s="8" t="s">
        <v>2956</v>
      </c>
      <c r="I146" s="8" t="s">
        <v>2764</v>
      </c>
      <c r="J146" s="8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s="8" t="s">
        <v>1999</v>
      </c>
      <c r="E147" s="8" t="s">
        <v>70</v>
      </c>
      <c r="F147" s="8" t="s">
        <v>58</v>
      </c>
      <c r="H147" s="8" t="s">
        <v>2963</v>
      </c>
      <c r="I147" s="8" t="s">
        <v>2767</v>
      </c>
      <c r="J147" s="8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s="8" t="s">
        <v>1999</v>
      </c>
      <c r="E148" s="8" t="s">
        <v>70</v>
      </c>
      <c r="F148" s="8" t="s">
        <v>58</v>
      </c>
      <c r="H148" s="8" t="s">
        <v>2963</v>
      </c>
      <c r="I148" s="8" t="s">
        <v>2770</v>
      </c>
      <c r="J148" s="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s="8" t="s">
        <v>1999</v>
      </c>
      <c r="E149" s="8" t="s">
        <v>70</v>
      </c>
      <c r="F149" s="8" t="s">
        <v>58</v>
      </c>
      <c r="H149" s="8" t="s">
        <v>2963</v>
      </c>
      <c r="I149" s="8" t="s">
        <v>2773</v>
      </c>
      <c r="J149" s="8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s="8" t="s">
        <v>1999</v>
      </c>
      <c r="E150" s="8" t="s">
        <v>70</v>
      </c>
      <c r="F150" s="8" t="s">
        <v>58</v>
      </c>
      <c r="H150" s="8" t="s">
        <v>2957</v>
      </c>
      <c r="I150" s="8" t="s">
        <v>2776</v>
      </c>
      <c r="J150" s="8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s="8" t="s">
        <v>1999</v>
      </c>
      <c r="E151" s="8" t="s">
        <v>70</v>
      </c>
      <c r="F151" s="8" t="s">
        <v>2962</v>
      </c>
      <c r="H151" s="8" t="s">
        <v>2957</v>
      </c>
      <c r="I151" s="8" t="s">
        <v>2779</v>
      </c>
      <c r="J151" s="8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s="8" t="s">
        <v>1999</v>
      </c>
      <c r="E152" s="8" t="s">
        <v>70</v>
      </c>
      <c r="F152" s="8" t="s">
        <v>2962</v>
      </c>
      <c r="H152" s="8" t="s">
        <v>2957</v>
      </c>
      <c r="I152" s="8" t="s">
        <v>2782</v>
      </c>
      <c r="J152" s="8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s="8" t="s">
        <v>1999</v>
      </c>
      <c r="E153" s="8" t="s">
        <v>70</v>
      </c>
      <c r="F153" s="8" t="s">
        <v>2962</v>
      </c>
      <c r="H153" s="8" t="s">
        <v>2957</v>
      </c>
      <c r="I153" s="8" t="s">
        <v>2785</v>
      </c>
      <c r="J153" s="8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s="8" t="s">
        <v>1999</v>
      </c>
      <c r="E154" s="8" t="s">
        <v>70</v>
      </c>
      <c r="F154" s="8" t="s">
        <v>2962</v>
      </c>
      <c r="H154" s="8" t="s">
        <v>2957</v>
      </c>
      <c r="I154" s="8" t="s">
        <v>2788</v>
      </c>
      <c r="J154" s="8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s="8" t="s">
        <v>1999</v>
      </c>
      <c r="E155" s="8" t="s">
        <v>70</v>
      </c>
      <c r="F155" s="8" t="s">
        <v>2962</v>
      </c>
      <c r="H155" s="8" t="s">
        <v>2957</v>
      </c>
      <c r="I155" s="8" t="s">
        <v>2791</v>
      </c>
      <c r="J155" s="8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s="8" t="s">
        <v>2953</v>
      </c>
      <c r="E156" s="8" t="s">
        <v>70</v>
      </c>
      <c r="F156" s="8"/>
      <c r="H156" s="8"/>
      <c r="I156" s="8" t="s">
        <v>2794</v>
      </c>
      <c r="J156" s="8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s="8" t="s">
        <v>533</v>
      </c>
      <c r="E157" s="8" t="s">
        <v>1607</v>
      </c>
      <c r="F157" s="8" t="s">
        <v>58</v>
      </c>
      <c r="H157" s="8" t="s">
        <v>1611</v>
      </c>
      <c r="I157" s="8" t="s">
        <v>2797</v>
      </c>
      <c r="J157" s="8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s="8" t="s">
        <v>533</v>
      </c>
      <c r="E158" s="8" t="s">
        <v>1607</v>
      </c>
      <c r="F158" s="8" t="s">
        <v>58</v>
      </c>
      <c r="H158" s="8" t="s">
        <v>1611</v>
      </c>
      <c r="I158" s="8" t="s">
        <v>2800</v>
      </c>
      <c r="J158" s="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s="8" t="s">
        <v>533</v>
      </c>
      <c r="E159" s="8" t="s">
        <v>1607</v>
      </c>
      <c r="F159" s="8" t="s">
        <v>58</v>
      </c>
      <c r="H159" s="8" t="s">
        <v>1611</v>
      </c>
      <c r="I159" s="8" t="s">
        <v>2803</v>
      </c>
      <c r="J159" s="8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s="8" t="s">
        <v>4</v>
      </c>
      <c r="E160" s="8" t="s">
        <v>8</v>
      </c>
      <c r="F160" s="8"/>
      <c r="H160" s="8"/>
      <c r="I160" s="8" t="s">
        <v>2806</v>
      </c>
      <c r="J160" s="8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s="8" t="s">
        <v>533</v>
      </c>
      <c r="E161" s="8" t="s">
        <v>1607</v>
      </c>
      <c r="F161" s="8" t="s">
        <v>2944</v>
      </c>
      <c r="H161" s="8" t="s">
        <v>2949</v>
      </c>
      <c r="I161" s="8" t="s">
        <v>2809</v>
      </c>
      <c r="J161" s="8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s="8" t="s">
        <v>533</v>
      </c>
      <c r="E162" s="8" t="s">
        <v>1607</v>
      </c>
      <c r="F162" s="8" t="s">
        <v>2944</v>
      </c>
      <c r="H162" s="8" t="s">
        <v>2949</v>
      </c>
      <c r="I162" s="8" t="s">
        <v>2812</v>
      </c>
      <c r="J162" s="8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s="8" t="s">
        <v>533</v>
      </c>
      <c r="E163" s="8" t="s">
        <v>531</v>
      </c>
      <c r="F163" s="8" t="s">
        <v>58</v>
      </c>
      <c r="H163" s="8" t="s">
        <v>2958</v>
      </c>
      <c r="I163" s="8" t="s">
        <v>2815</v>
      </c>
      <c r="J163" s="8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s="8" t="s">
        <v>533</v>
      </c>
      <c r="E164" s="8" t="s">
        <v>531</v>
      </c>
      <c r="F164" s="8" t="s">
        <v>58</v>
      </c>
      <c r="H164" s="8" t="s">
        <v>2958</v>
      </c>
      <c r="I164" s="8" t="s">
        <v>2818</v>
      </c>
      <c r="J164" s="8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s="8" t="s">
        <v>533</v>
      </c>
      <c r="E165" s="8" t="s">
        <v>531</v>
      </c>
      <c r="F165" s="8" t="s">
        <v>58</v>
      </c>
      <c r="H165" s="8" t="s">
        <v>2958</v>
      </c>
      <c r="I165" s="8" t="s">
        <v>2821</v>
      </c>
      <c r="J165" s="8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s="8" t="s">
        <v>533</v>
      </c>
      <c r="E166" s="8" t="s">
        <v>531</v>
      </c>
      <c r="F166" s="8" t="s">
        <v>2964</v>
      </c>
      <c r="H166" s="8" t="s">
        <v>2958</v>
      </c>
      <c r="I166" s="8" t="s">
        <v>2824</v>
      </c>
      <c r="J166" s="8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s="8" t="s">
        <v>533</v>
      </c>
      <c r="E167" s="8" t="s">
        <v>1607</v>
      </c>
      <c r="F167" s="8" t="s">
        <v>58</v>
      </c>
      <c r="H167" s="8" t="s">
        <v>2949</v>
      </c>
      <c r="I167" s="8" t="s">
        <v>2827</v>
      </c>
      <c r="J167" s="8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s="8" t="s">
        <v>533</v>
      </c>
      <c r="E168" s="8" t="s">
        <v>1607</v>
      </c>
      <c r="F168" s="8" t="s">
        <v>58</v>
      </c>
      <c r="H168" s="8" t="s">
        <v>2949</v>
      </c>
      <c r="I168" s="8" t="s">
        <v>2830</v>
      </c>
      <c r="J168" s="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s="8" t="s">
        <v>2965</v>
      </c>
      <c r="E169" s="8"/>
      <c r="F169" s="8"/>
      <c r="H169" s="8"/>
      <c r="I169" s="8" t="s">
        <v>2833</v>
      </c>
      <c r="J169" s="8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s="8" t="s">
        <v>2965</v>
      </c>
      <c r="E170" s="8"/>
      <c r="F170" s="8"/>
      <c r="H170" s="8"/>
      <c r="I170" s="8" t="s">
        <v>2836</v>
      </c>
      <c r="J170" s="8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s="8" t="s">
        <v>4</v>
      </c>
      <c r="E171" s="8" t="s">
        <v>8</v>
      </c>
      <c r="F171" s="8"/>
      <c r="H171" s="10" t="s">
        <v>2967</v>
      </c>
      <c r="I171" s="8" t="s">
        <v>2839</v>
      </c>
      <c r="J171" s="8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s="8" t="s">
        <v>533</v>
      </c>
      <c r="E172" s="8" t="s">
        <v>531</v>
      </c>
      <c r="F172" s="8" t="s">
        <v>58</v>
      </c>
      <c r="H172" s="8" t="s">
        <v>2954</v>
      </c>
      <c r="I172" s="8" t="s">
        <v>2842</v>
      </c>
      <c r="J172" s="8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s="8" t="s">
        <v>533</v>
      </c>
      <c r="E173" s="8" t="s">
        <v>531</v>
      </c>
      <c r="F173" s="8" t="s">
        <v>58</v>
      </c>
      <c r="H173" s="8" t="s">
        <v>2954</v>
      </c>
      <c r="I173" s="8" t="s">
        <v>2845</v>
      </c>
      <c r="J173" s="8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s="8" t="s">
        <v>533</v>
      </c>
      <c r="E174" s="8" t="s">
        <v>531</v>
      </c>
      <c r="F174" s="8" t="s">
        <v>58</v>
      </c>
      <c r="H174" s="8" t="s">
        <v>2954</v>
      </c>
      <c r="I174" s="8" t="s">
        <v>2848</v>
      </c>
      <c r="J174" s="8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s="8" t="s">
        <v>4</v>
      </c>
      <c r="E175" s="8" t="s">
        <v>8</v>
      </c>
      <c r="F175" s="8"/>
      <c r="H175" s="8" t="s">
        <v>2936</v>
      </c>
      <c r="I175" s="8" t="s">
        <v>2851</v>
      </c>
      <c r="J175" s="8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s="8" t="s">
        <v>4</v>
      </c>
      <c r="E176" s="8" t="s">
        <v>8</v>
      </c>
      <c r="F176" s="8"/>
      <c r="H176" s="10" t="s">
        <v>2967</v>
      </c>
      <c r="I176" s="8" t="s">
        <v>2854</v>
      </c>
      <c r="J176" s="8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s="8" t="s">
        <v>533</v>
      </c>
      <c r="E177" s="8" t="s">
        <v>1607</v>
      </c>
      <c r="F177" s="8" t="s">
        <v>58</v>
      </c>
      <c r="H177" s="8" t="s">
        <v>2958</v>
      </c>
      <c r="I177" s="8" t="s">
        <v>2857</v>
      </c>
      <c r="J177" s="8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s="8" t="s">
        <v>2966</v>
      </c>
      <c r="E178" s="8" t="s">
        <v>1607</v>
      </c>
      <c r="F178" s="8" t="s">
        <v>58</v>
      </c>
      <c r="H178" s="8" t="s">
        <v>2958</v>
      </c>
      <c r="I178" s="8" t="s">
        <v>2860</v>
      </c>
      <c r="J178" s="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s="8" t="s">
        <v>533</v>
      </c>
      <c r="E179" s="8" t="s">
        <v>1607</v>
      </c>
      <c r="F179" s="8" t="s">
        <v>58</v>
      </c>
      <c r="H179" s="8" t="s">
        <v>2954</v>
      </c>
      <c r="I179" s="8" t="s">
        <v>2863</v>
      </c>
      <c r="J179" s="8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s="8" t="s">
        <v>2966</v>
      </c>
      <c r="E180" s="8" t="s">
        <v>1607</v>
      </c>
      <c r="F180" s="8" t="s">
        <v>58</v>
      </c>
      <c r="H180" s="8" t="s">
        <v>2954</v>
      </c>
      <c r="I180" s="8" t="s">
        <v>2866</v>
      </c>
      <c r="J180" s="8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s="8" t="s">
        <v>2966</v>
      </c>
      <c r="E181" s="8" t="s">
        <v>1607</v>
      </c>
      <c r="F181" s="8" t="s">
        <v>58</v>
      </c>
      <c r="H181" s="8" t="s">
        <v>2954</v>
      </c>
      <c r="I181" s="8" t="s">
        <v>2869</v>
      </c>
      <c r="J181" s="8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s="8" t="s">
        <v>2966</v>
      </c>
      <c r="E182" s="8" t="s">
        <v>1607</v>
      </c>
      <c r="F182" s="8" t="s">
        <v>58</v>
      </c>
      <c r="H182" s="8" t="s">
        <v>2954</v>
      </c>
      <c r="I182" s="8" t="s">
        <v>2872</v>
      </c>
      <c r="J182" s="8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s="8" t="s">
        <v>533</v>
      </c>
      <c r="E183" s="8" t="s">
        <v>1607</v>
      </c>
      <c r="F183" s="8" t="s">
        <v>58</v>
      </c>
      <c r="H183" s="8" t="s">
        <v>1611</v>
      </c>
      <c r="I183" s="8" t="s">
        <v>2875</v>
      </c>
      <c r="J183" s="8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s="8" t="s">
        <v>533</v>
      </c>
      <c r="E184" s="8" t="s">
        <v>1607</v>
      </c>
      <c r="F184" s="8" t="s">
        <v>58</v>
      </c>
      <c r="H184" s="8" t="s">
        <v>1611</v>
      </c>
      <c r="I184" s="8" t="s">
        <v>2878</v>
      </c>
      <c r="J184" s="8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s="8" t="s">
        <v>4</v>
      </c>
      <c r="E185" s="8" t="s">
        <v>8</v>
      </c>
      <c r="F185" s="8"/>
      <c r="H185" s="8"/>
      <c r="I185" s="8" t="s">
        <v>2881</v>
      </c>
      <c r="J185" s="8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s="8" t="s">
        <v>4</v>
      </c>
      <c r="E186" s="8" t="s">
        <v>8</v>
      </c>
      <c r="F186" s="8"/>
      <c r="H186" s="8"/>
      <c r="I186" s="8" t="s">
        <v>2884</v>
      </c>
      <c r="J186" s="8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s="8" t="s">
        <v>2004</v>
      </c>
      <c r="E187" s="8"/>
      <c r="F187" s="8"/>
      <c r="H187" s="8"/>
      <c r="I187" s="8" t="s">
        <v>2887</v>
      </c>
      <c r="J187" s="8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s="8" t="s">
        <v>4</v>
      </c>
      <c r="E188" s="8" t="s">
        <v>8</v>
      </c>
      <c r="F188" s="8"/>
      <c r="H188" s="8"/>
      <c r="I188" s="8" t="s">
        <v>2890</v>
      </c>
      <c r="J188" s="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s="8" t="s">
        <v>2004</v>
      </c>
      <c r="E189" s="8"/>
      <c r="F189" s="8"/>
      <c r="H189" s="8"/>
      <c r="I189" s="8" t="s">
        <v>2893</v>
      </c>
      <c r="J189" s="8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s="8" t="s">
        <v>4223</v>
      </c>
      <c r="E190" s="8" t="s">
        <v>86</v>
      </c>
      <c r="F190" s="8" t="s">
        <v>200</v>
      </c>
      <c r="H190" s="8" t="s">
        <v>4224</v>
      </c>
      <c r="I190" s="8" t="s">
        <v>3868</v>
      </c>
      <c r="J190" s="8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s="8" t="s">
        <v>4225</v>
      </c>
      <c r="E191" s="8" t="s">
        <v>86</v>
      </c>
      <c r="F191" s="8"/>
      <c r="H191" s="8"/>
      <c r="I191" s="8" t="s">
        <v>3871</v>
      </c>
      <c r="J191" s="8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s="8" t="s">
        <v>4223</v>
      </c>
      <c r="E192" s="8" t="s">
        <v>86</v>
      </c>
      <c r="F192" s="8" t="s">
        <v>200</v>
      </c>
      <c r="H192" s="8" t="s">
        <v>1605</v>
      </c>
      <c r="I192" s="8" t="s">
        <v>3874</v>
      </c>
      <c r="J192" s="8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s="8" t="s">
        <v>1606</v>
      </c>
      <c r="E193" s="8" t="s">
        <v>70</v>
      </c>
      <c r="F193" s="8" t="s">
        <v>1609</v>
      </c>
      <c r="H193" s="8"/>
      <c r="I193" s="8" t="s">
        <v>3877</v>
      </c>
      <c r="J193" s="8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s="8" t="s">
        <v>4226</v>
      </c>
      <c r="E194" s="8" t="s">
        <v>70</v>
      </c>
      <c r="F194" s="8" t="s">
        <v>58</v>
      </c>
      <c r="H194" s="8"/>
      <c r="I194" s="8" t="s">
        <v>3880</v>
      </c>
      <c r="J194" s="8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s="8" t="s">
        <v>650</v>
      </c>
      <c r="E195" s="8" t="s">
        <v>70</v>
      </c>
      <c r="F195" s="8"/>
      <c r="H195" s="8"/>
      <c r="I195" s="8" t="s">
        <v>3883</v>
      </c>
      <c r="J195" s="8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s="8" t="s">
        <v>4</v>
      </c>
      <c r="E196" s="8" t="s">
        <v>8</v>
      </c>
      <c r="F196" s="8"/>
      <c r="H196" s="8"/>
      <c r="I196" s="8" t="s">
        <v>3886</v>
      </c>
      <c r="J196" s="8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s="8" t="s">
        <v>4227</v>
      </c>
      <c r="E197" s="8" t="s">
        <v>4228</v>
      </c>
      <c r="F197" s="8" t="s">
        <v>58</v>
      </c>
      <c r="H197" s="8" t="s">
        <v>4229</v>
      </c>
      <c r="I197" s="8" t="s">
        <v>3889</v>
      </c>
      <c r="J197" s="8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s="8" t="s">
        <v>4</v>
      </c>
      <c r="E198" s="8" t="s">
        <v>8</v>
      </c>
      <c r="F198" s="8"/>
      <c r="H198" s="8"/>
      <c r="I198" s="8" t="s">
        <v>3892</v>
      </c>
      <c r="J198" s="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s="8" t="s">
        <v>4</v>
      </c>
      <c r="E199" s="8" t="s">
        <v>8</v>
      </c>
      <c r="F199" s="8"/>
      <c r="H199" s="8" t="s">
        <v>2936</v>
      </c>
      <c r="I199" s="8" t="s">
        <v>3895</v>
      </c>
      <c r="J199" s="8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s="8" t="s">
        <v>4</v>
      </c>
      <c r="E200" s="8" t="s">
        <v>8</v>
      </c>
      <c r="F200" s="8"/>
      <c r="H200" s="8" t="s">
        <v>2936</v>
      </c>
      <c r="I200" s="8" t="s">
        <v>3898</v>
      </c>
      <c r="J200" s="8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s="8" t="s">
        <v>4223</v>
      </c>
      <c r="E201" s="8" t="s">
        <v>86</v>
      </c>
      <c r="F201" s="8" t="s">
        <v>528</v>
      </c>
      <c r="H201" s="8" t="s">
        <v>1605</v>
      </c>
      <c r="I201" s="8" t="s">
        <v>3901</v>
      </c>
      <c r="J201" s="8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s="8" t="s">
        <v>1606</v>
      </c>
      <c r="E202" s="8" t="s">
        <v>70</v>
      </c>
      <c r="F202" s="8" t="s">
        <v>1609</v>
      </c>
      <c r="H202" s="8"/>
      <c r="I202" s="8" t="s">
        <v>3904</v>
      </c>
      <c r="J202" s="8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s="8" t="s">
        <v>4</v>
      </c>
      <c r="E203" s="8" t="s">
        <v>70</v>
      </c>
      <c r="F203" s="8"/>
      <c r="H203" s="8" t="s">
        <v>4230</v>
      </c>
      <c r="I203" s="8" t="s">
        <v>3907</v>
      </c>
      <c r="J203" s="8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s="8" t="s">
        <v>533</v>
      </c>
      <c r="E204" s="8" t="s">
        <v>1607</v>
      </c>
      <c r="F204" s="8" t="s">
        <v>58</v>
      </c>
      <c r="H204" s="8" t="s">
        <v>1605</v>
      </c>
      <c r="I204" s="8" t="s">
        <v>3910</v>
      </c>
      <c r="J204" s="8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s="8" t="s">
        <v>533</v>
      </c>
      <c r="E205" s="8" t="s">
        <v>1607</v>
      </c>
      <c r="F205" s="8" t="s">
        <v>58</v>
      </c>
      <c r="H205" s="8" t="s">
        <v>1605</v>
      </c>
      <c r="I205" s="8" t="s">
        <v>3913</v>
      </c>
      <c r="J205" s="8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s="8" t="s">
        <v>290</v>
      </c>
      <c r="E206" s="8" t="s">
        <v>70</v>
      </c>
      <c r="F206" s="8" t="s">
        <v>4231</v>
      </c>
      <c r="H206" s="8" t="s">
        <v>1611</v>
      </c>
      <c r="I206" s="8" t="s">
        <v>3916</v>
      </c>
      <c r="J206" s="8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s="8" t="s">
        <v>290</v>
      </c>
      <c r="E207" s="8" t="s">
        <v>70</v>
      </c>
      <c r="F207" s="8" t="s">
        <v>4231</v>
      </c>
      <c r="H207" s="8" t="s">
        <v>2936</v>
      </c>
      <c r="I207" s="8" t="s">
        <v>3919</v>
      </c>
      <c r="J207" s="8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s="8" t="s">
        <v>290</v>
      </c>
      <c r="E208" s="8" t="s">
        <v>70</v>
      </c>
      <c r="F208" s="8" t="s">
        <v>4231</v>
      </c>
      <c r="H208" s="8" t="s">
        <v>1611</v>
      </c>
      <c r="I208" s="8" t="s">
        <v>3922</v>
      </c>
      <c r="J208" s="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s="8" t="s">
        <v>290</v>
      </c>
      <c r="E209" s="8" t="s">
        <v>70</v>
      </c>
      <c r="F209" s="8" t="s">
        <v>4231</v>
      </c>
      <c r="H209" s="8" t="s">
        <v>2954</v>
      </c>
      <c r="I209" s="8" t="s">
        <v>3925</v>
      </c>
      <c r="J209" s="8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s="8" t="s">
        <v>289</v>
      </c>
      <c r="E210" s="8" t="s">
        <v>70</v>
      </c>
      <c r="F210" s="8" t="s">
        <v>58</v>
      </c>
      <c r="H210" s="8" t="s">
        <v>1620</v>
      </c>
      <c r="I210" s="8" t="s">
        <v>3928</v>
      </c>
      <c r="J210" s="8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s="8" t="s">
        <v>289</v>
      </c>
      <c r="E211" s="8" t="s">
        <v>70</v>
      </c>
      <c r="F211" s="8" t="s">
        <v>58</v>
      </c>
      <c r="H211" s="8" t="s">
        <v>2936</v>
      </c>
      <c r="I211" s="8" t="s">
        <v>3931</v>
      </c>
      <c r="J211" s="8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s="8" t="s">
        <v>289</v>
      </c>
      <c r="E212" s="8" t="s">
        <v>70</v>
      </c>
      <c r="F212" s="8" t="s">
        <v>58</v>
      </c>
      <c r="H212" s="8" t="s">
        <v>2936</v>
      </c>
      <c r="I212" s="8" t="s">
        <v>3934</v>
      </c>
      <c r="J212" s="8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s="8" t="s">
        <v>289</v>
      </c>
      <c r="E213" s="8" t="s">
        <v>70</v>
      </c>
      <c r="F213" s="8" t="s">
        <v>58</v>
      </c>
      <c r="H213" s="8" t="s">
        <v>2936</v>
      </c>
      <c r="I213" s="8" t="s">
        <v>3937</v>
      </c>
      <c r="J213" s="8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s="8" t="s">
        <v>289</v>
      </c>
      <c r="E214" s="8" t="s">
        <v>70</v>
      </c>
      <c r="F214" s="8" t="s">
        <v>58</v>
      </c>
      <c r="H214" s="8" t="s">
        <v>2936</v>
      </c>
      <c r="I214" s="8" t="s">
        <v>3940</v>
      </c>
      <c r="J214" s="8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s="8" t="s">
        <v>289</v>
      </c>
      <c r="E215" s="8" t="s">
        <v>70</v>
      </c>
      <c r="F215" s="8" t="s">
        <v>58</v>
      </c>
      <c r="H215" s="8" t="s">
        <v>2936</v>
      </c>
      <c r="I215" s="8" t="s">
        <v>3943</v>
      </c>
      <c r="J215" s="8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s="8" t="s">
        <v>289</v>
      </c>
      <c r="E216" s="8" t="s">
        <v>70</v>
      </c>
      <c r="F216" s="8" t="s">
        <v>58</v>
      </c>
      <c r="H216" s="8" t="s">
        <v>2936</v>
      </c>
      <c r="I216" s="8" t="s">
        <v>3946</v>
      </c>
      <c r="J216" s="8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s="8" t="s">
        <v>289</v>
      </c>
      <c r="E217" s="8" t="s">
        <v>70</v>
      </c>
      <c r="F217" s="8" t="s">
        <v>58</v>
      </c>
      <c r="H217" s="8" t="s">
        <v>2936</v>
      </c>
      <c r="I217" s="8" t="s">
        <v>3949</v>
      </c>
      <c r="J217" s="8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s="8" t="s">
        <v>4232</v>
      </c>
      <c r="E218" s="8" t="s">
        <v>70</v>
      </c>
      <c r="F218" s="8" t="s">
        <v>58</v>
      </c>
      <c r="H218" s="8"/>
      <c r="I218" s="8" t="s">
        <v>3952</v>
      </c>
      <c r="J218" s="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s="8" t="s">
        <v>289</v>
      </c>
      <c r="E219" s="8" t="s">
        <v>70</v>
      </c>
      <c r="F219" s="8" t="s">
        <v>4233</v>
      </c>
      <c r="H219" s="8" t="s">
        <v>1618</v>
      </c>
      <c r="I219" s="8" t="s">
        <v>3955</v>
      </c>
      <c r="J219" s="8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s="8" t="s">
        <v>4235</v>
      </c>
      <c r="E220" s="8" t="s">
        <v>70</v>
      </c>
      <c r="F220" s="8" t="s">
        <v>4233</v>
      </c>
      <c r="H220" s="8"/>
      <c r="I220" s="8" t="s">
        <v>3958</v>
      </c>
      <c r="J220" s="8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s="8" t="s">
        <v>1606</v>
      </c>
      <c r="E221" s="8" t="s">
        <v>4192</v>
      </c>
      <c r="F221" s="8"/>
      <c r="H221" s="8"/>
      <c r="I221" s="8" t="s">
        <v>3962</v>
      </c>
      <c r="J221" s="8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s="8" t="s">
        <v>289</v>
      </c>
      <c r="E222" s="8" t="s">
        <v>4192</v>
      </c>
      <c r="F222" s="8" t="s">
        <v>58</v>
      </c>
      <c r="H222" s="8" t="s">
        <v>1620</v>
      </c>
      <c r="I222" s="8" t="s">
        <v>3965</v>
      </c>
      <c r="J222" s="8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s="8" t="s">
        <v>289</v>
      </c>
      <c r="E223" s="8" t="s">
        <v>4192</v>
      </c>
      <c r="F223" s="8" t="s">
        <v>58</v>
      </c>
      <c r="H223" s="8" t="s">
        <v>2936</v>
      </c>
      <c r="I223" s="8" t="s">
        <v>3968</v>
      </c>
      <c r="J223" s="8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s="8" t="s">
        <v>289</v>
      </c>
      <c r="E224" s="8" t="s">
        <v>4192</v>
      </c>
      <c r="F224" s="8" t="s">
        <v>58</v>
      </c>
      <c r="H224" s="8" t="s">
        <v>2936</v>
      </c>
      <c r="I224" s="8" t="s">
        <v>3971</v>
      </c>
      <c r="J224" s="8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s="8" t="s">
        <v>289</v>
      </c>
      <c r="E225" s="8" t="s">
        <v>4192</v>
      </c>
      <c r="F225" s="8" t="s">
        <v>58</v>
      </c>
      <c r="H225" s="8" t="s">
        <v>2936</v>
      </c>
      <c r="I225" s="8" t="s">
        <v>3974</v>
      </c>
      <c r="J225" s="8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s="8" t="s">
        <v>289</v>
      </c>
      <c r="E226" s="8" t="s">
        <v>4192</v>
      </c>
      <c r="F226" s="8" t="s">
        <v>58</v>
      </c>
      <c r="H226" s="8" t="s">
        <v>2936</v>
      </c>
      <c r="I226" s="8" t="s">
        <v>3977</v>
      </c>
      <c r="J226" s="8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s="8" t="s">
        <v>289</v>
      </c>
      <c r="E227" s="8" t="s">
        <v>4192</v>
      </c>
      <c r="F227" s="8" t="s">
        <v>58</v>
      </c>
      <c r="H227" s="8" t="s">
        <v>2936</v>
      </c>
      <c r="I227" s="8" t="s">
        <v>3980</v>
      </c>
      <c r="J227" s="8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s="8" t="s">
        <v>289</v>
      </c>
      <c r="E228" s="8" t="s">
        <v>4192</v>
      </c>
      <c r="F228" s="8" t="s">
        <v>58</v>
      </c>
      <c r="H228" s="8" t="s">
        <v>2936</v>
      </c>
      <c r="I228" s="8" t="s">
        <v>3983</v>
      </c>
      <c r="J228" s="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s="8" t="s">
        <v>2013</v>
      </c>
      <c r="E229" s="8" t="s">
        <v>4192</v>
      </c>
      <c r="F229" s="8"/>
      <c r="H229" s="8" t="s">
        <v>4236</v>
      </c>
      <c r="I229" s="8" t="s">
        <v>3986</v>
      </c>
      <c r="J229" s="8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s="8" t="s">
        <v>289</v>
      </c>
      <c r="E230" s="8" t="s">
        <v>4192</v>
      </c>
      <c r="F230" s="8" t="s">
        <v>58</v>
      </c>
      <c r="H230" s="8"/>
      <c r="I230" s="8" t="s">
        <v>3989</v>
      </c>
      <c r="J230" s="8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s="8" t="s">
        <v>289</v>
      </c>
      <c r="E231" s="8" t="s">
        <v>4192</v>
      </c>
      <c r="F231" s="8" t="s">
        <v>58</v>
      </c>
      <c r="H231" s="8" t="s">
        <v>2936</v>
      </c>
      <c r="I231" s="8" t="s">
        <v>3992</v>
      </c>
      <c r="J231" s="8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s="8" t="s">
        <v>289</v>
      </c>
      <c r="E232" s="8" t="s">
        <v>4192</v>
      </c>
      <c r="F232" s="8" t="s">
        <v>58</v>
      </c>
      <c r="H232" s="8" t="s">
        <v>2936</v>
      </c>
      <c r="I232" s="8" t="s">
        <v>3995</v>
      </c>
      <c r="J232" s="8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s="8" t="s">
        <v>4232</v>
      </c>
      <c r="E233" s="8" t="s">
        <v>4192</v>
      </c>
      <c r="F233" s="8" t="s">
        <v>58</v>
      </c>
      <c r="H233" s="8"/>
      <c r="I233" s="8" t="s">
        <v>3998</v>
      </c>
      <c r="J233" s="8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s="8" t="s">
        <v>2013</v>
      </c>
      <c r="E234" s="8" t="s">
        <v>4192</v>
      </c>
      <c r="F234" s="8"/>
      <c r="H234" s="8" t="s">
        <v>4237</v>
      </c>
      <c r="I234" s="8" t="s">
        <v>4001</v>
      </c>
      <c r="J234" s="8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s="8" t="s">
        <v>289</v>
      </c>
      <c r="E235" s="8" t="s">
        <v>4192</v>
      </c>
      <c r="F235" s="8" t="s">
        <v>58</v>
      </c>
      <c r="H235" s="8"/>
      <c r="I235" s="8" t="s">
        <v>4004</v>
      </c>
      <c r="J235" s="8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s="8" t="s">
        <v>289</v>
      </c>
      <c r="E236" s="8" t="s">
        <v>4192</v>
      </c>
      <c r="F236" s="8" t="s">
        <v>58</v>
      </c>
      <c r="H236" s="8" t="s">
        <v>2936</v>
      </c>
      <c r="I236" s="8" t="s">
        <v>4007</v>
      </c>
      <c r="J236" s="8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s="8" t="s">
        <v>289</v>
      </c>
      <c r="E237" s="8" t="s">
        <v>4192</v>
      </c>
      <c r="F237" s="8" t="s">
        <v>58</v>
      </c>
      <c r="H237" s="8" t="s">
        <v>2936</v>
      </c>
      <c r="I237" s="8" t="s">
        <v>4010</v>
      </c>
      <c r="J237" s="8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s="8" t="s">
        <v>289</v>
      </c>
      <c r="E238" s="8" t="s">
        <v>4192</v>
      </c>
      <c r="F238" s="8" t="s">
        <v>58</v>
      </c>
      <c r="H238" s="8" t="s">
        <v>2936</v>
      </c>
      <c r="I238" s="8" t="s">
        <v>4013</v>
      </c>
      <c r="J238" s="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s="8" t="s">
        <v>4235</v>
      </c>
      <c r="E239" s="8" t="s">
        <v>4192</v>
      </c>
      <c r="F239" s="8" t="s">
        <v>58</v>
      </c>
      <c r="H239" s="8"/>
      <c r="I239" s="8" t="s">
        <v>4016</v>
      </c>
      <c r="J239" s="8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s="8" t="s">
        <v>4</v>
      </c>
      <c r="E240" s="8" t="s">
        <v>86</v>
      </c>
      <c r="F240" s="8" t="s">
        <v>4238</v>
      </c>
      <c r="H240" s="8" t="s">
        <v>4239</v>
      </c>
      <c r="I240" s="8" t="s">
        <v>4019</v>
      </c>
      <c r="J240" s="8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s="8" t="s">
        <v>289</v>
      </c>
      <c r="E241" s="8" t="s">
        <v>86</v>
      </c>
      <c r="F241" s="8" t="s">
        <v>4240</v>
      </c>
      <c r="H241" s="8"/>
      <c r="I241" s="8" t="s">
        <v>4022</v>
      </c>
      <c r="J241" s="8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s="8" t="s">
        <v>4241</v>
      </c>
      <c r="E242" s="8" t="s">
        <v>86</v>
      </c>
      <c r="F242" s="8" t="s">
        <v>4240</v>
      </c>
      <c r="H242" s="8" t="s">
        <v>4236</v>
      </c>
      <c r="I242" s="8" t="s">
        <v>4025</v>
      </c>
      <c r="J242" s="8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s="8" t="s">
        <v>3073</v>
      </c>
      <c r="E243" s="8" t="s">
        <v>86</v>
      </c>
      <c r="F243" s="8" t="s">
        <v>58</v>
      </c>
      <c r="H243" s="8" t="s">
        <v>1620</v>
      </c>
      <c r="I243" s="8" t="s">
        <v>4028</v>
      </c>
      <c r="J243" s="8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s="8" t="s">
        <v>1094</v>
      </c>
      <c r="E244" s="8" t="s">
        <v>86</v>
      </c>
      <c r="F244" s="8" t="s">
        <v>58</v>
      </c>
      <c r="H244" s="8" t="s">
        <v>2954</v>
      </c>
      <c r="I244" s="8" t="s">
        <v>4031</v>
      </c>
      <c r="J244" s="8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s="8" t="s">
        <v>533</v>
      </c>
      <c r="E245" s="8" t="s">
        <v>1607</v>
      </c>
      <c r="F245" s="8" t="s">
        <v>58</v>
      </c>
      <c r="H245" s="8" t="s">
        <v>2958</v>
      </c>
      <c r="I245" s="8" t="s">
        <v>4034</v>
      </c>
      <c r="J245" s="8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s="8" t="s">
        <v>533</v>
      </c>
      <c r="E246" s="8" t="s">
        <v>1607</v>
      </c>
      <c r="F246" s="8" t="s">
        <v>58</v>
      </c>
      <c r="H246" s="8" t="s">
        <v>2958</v>
      </c>
      <c r="I246" s="8" t="s">
        <v>4037</v>
      </c>
      <c r="J246" s="8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s="8" t="s">
        <v>533</v>
      </c>
      <c r="E247" s="8" t="s">
        <v>1607</v>
      </c>
      <c r="F247" s="8" t="s">
        <v>58</v>
      </c>
      <c r="H247" s="8" t="s">
        <v>2958</v>
      </c>
      <c r="I247" s="8" t="s">
        <v>4040</v>
      </c>
      <c r="J247" s="8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s="8" t="s">
        <v>533</v>
      </c>
      <c r="E248" s="8" t="s">
        <v>1607</v>
      </c>
      <c r="F248" s="8" t="s">
        <v>58</v>
      </c>
      <c r="H248" s="8" t="s">
        <v>2958</v>
      </c>
      <c r="I248" s="8" t="s">
        <v>4043</v>
      </c>
      <c r="J248" s="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s="8" t="s">
        <v>533</v>
      </c>
      <c r="E249" s="8" t="s">
        <v>1607</v>
      </c>
      <c r="F249" s="8" t="s">
        <v>58</v>
      </c>
      <c r="H249" s="8" t="s">
        <v>2958</v>
      </c>
      <c r="I249" s="8" t="s">
        <v>4046</v>
      </c>
      <c r="J249" s="8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s="8" t="s">
        <v>533</v>
      </c>
      <c r="E250" s="8" t="s">
        <v>1607</v>
      </c>
      <c r="F250" s="8" t="s">
        <v>58</v>
      </c>
      <c r="H250" s="8" t="s">
        <v>2958</v>
      </c>
      <c r="I250" s="8" t="s">
        <v>4049</v>
      </c>
      <c r="J250" s="8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s="8" t="s">
        <v>533</v>
      </c>
      <c r="E251" s="8" t="s">
        <v>1607</v>
      </c>
      <c r="F251" s="8" t="s">
        <v>58</v>
      </c>
      <c r="H251" s="8" t="s">
        <v>2958</v>
      </c>
      <c r="I251" s="8" t="s">
        <v>4052</v>
      </c>
      <c r="J251" s="8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s="8" t="s">
        <v>533</v>
      </c>
      <c r="E252" s="8" t="s">
        <v>1607</v>
      </c>
      <c r="F252" s="8" t="s">
        <v>58</v>
      </c>
      <c r="H252" s="8" t="s">
        <v>2958</v>
      </c>
      <c r="I252" s="8" t="s">
        <v>4055</v>
      </c>
      <c r="J252" s="8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s="8" t="s">
        <v>533</v>
      </c>
      <c r="E253" s="8" t="s">
        <v>1607</v>
      </c>
      <c r="F253" s="8" t="s">
        <v>58</v>
      </c>
      <c r="H253" s="8" t="s">
        <v>2958</v>
      </c>
      <c r="I253" s="8" t="s">
        <v>4058</v>
      </c>
      <c r="J253" s="8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s="8" t="s">
        <v>533</v>
      </c>
      <c r="E254" s="8" t="s">
        <v>1607</v>
      </c>
      <c r="F254" s="8" t="s">
        <v>58</v>
      </c>
      <c r="H254" s="8" t="s">
        <v>2958</v>
      </c>
      <c r="I254" s="8" t="s">
        <v>4061</v>
      </c>
      <c r="J254" s="8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s="8" t="s">
        <v>533</v>
      </c>
      <c r="E255" s="8" t="s">
        <v>1607</v>
      </c>
      <c r="F255" s="8" t="s">
        <v>58</v>
      </c>
      <c r="H255" s="8" t="s">
        <v>2958</v>
      </c>
      <c r="I255" s="8" t="s">
        <v>4064</v>
      </c>
      <c r="J255" s="8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s="8" t="s">
        <v>533</v>
      </c>
      <c r="E256" s="8" t="s">
        <v>1607</v>
      </c>
      <c r="F256" s="8" t="s">
        <v>1099</v>
      </c>
      <c r="H256" s="8" t="s">
        <v>1620</v>
      </c>
      <c r="I256" s="8" t="s">
        <v>4067</v>
      </c>
      <c r="J256" s="8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s="8" t="s">
        <v>2004</v>
      </c>
      <c r="E257" s="8"/>
      <c r="F257" s="8"/>
      <c r="H257" s="8"/>
      <c r="I257" s="8" t="s">
        <v>4285</v>
      </c>
      <c r="J257" s="8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s="8" t="s">
        <v>533</v>
      </c>
      <c r="E258" s="8" t="s">
        <v>1607</v>
      </c>
      <c r="F258" s="8" t="s">
        <v>1099</v>
      </c>
      <c r="H258" s="8" t="s">
        <v>1620</v>
      </c>
      <c r="I258" s="8" t="s">
        <v>4831</v>
      </c>
      <c r="J258" s="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s="8" t="s">
        <v>4</v>
      </c>
      <c r="E259" s="8" t="s">
        <v>8</v>
      </c>
      <c r="F259" s="8"/>
      <c r="H259" s="8"/>
      <c r="I259" s="8" t="s">
        <v>4834</v>
      </c>
      <c r="J259" s="8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s="8" t="s">
        <v>533</v>
      </c>
      <c r="E260" s="8" t="s">
        <v>531</v>
      </c>
      <c r="F260" s="8" t="s">
        <v>58</v>
      </c>
      <c r="H260" s="8" t="s">
        <v>4236</v>
      </c>
      <c r="I260" s="8" t="s">
        <v>4837</v>
      </c>
      <c r="J260" s="8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s="8" t="s">
        <v>4</v>
      </c>
      <c r="E261" s="8" t="s">
        <v>8</v>
      </c>
      <c r="F261" s="8"/>
      <c r="H261" s="8"/>
      <c r="I261" s="8" t="s">
        <v>4840</v>
      </c>
      <c r="J261" s="8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s="8" t="s">
        <v>533</v>
      </c>
      <c r="E262" s="8" t="s">
        <v>531</v>
      </c>
      <c r="F262" s="8" t="s">
        <v>58</v>
      </c>
      <c r="H262" s="8" t="s">
        <v>4236</v>
      </c>
      <c r="I262" s="8" t="s">
        <v>4843</v>
      </c>
      <c r="J262" s="8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s="8" t="s">
        <v>289</v>
      </c>
      <c r="E263" s="8" t="s">
        <v>86</v>
      </c>
      <c r="F263" s="8" t="s">
        <v>4240</v>
      </c>
      <c r="H263" s="8"/>
      <c r="I263" s="8" t="s">
        <v>4846</v>
      </c>
      <c r="J263" s="8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s="8" t="s">
        <v>289</v>
      </c>
      <c r="E264" s="8" t="s">
        <v>86</v>
      </c>
      <c r="F264" s="8" t="s">
        <v>4240</v>
      </c>
      <c r="H264" s="8" t="s">
        <v>2936</v>
      </c>
      <c r="I264" s="8" t="s">
        <v>4849</v>
      </c>
      <c r="J264" s="8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s="8" t="s">
        <v>289</v>
      </c>
      <c r="E265" s="8" t="s">
        <v>86</v>
      </c>
      <c r="F265" s="8" t="s">
        <v>4240</v>
      </c>
      <c r="H265" s="8"/>
      <c r="I265" s="8" t="s">
        <v>4852</v>
      </c>
      <c r="J265" s="8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s="8" t="s">
        <v>4241</v>
      </c>
      <c r="E266" s="8" t="s">
        <v>86</v>
      </c>
      <c r="F266" s="8" t="s">
        <v>4240</v>
      </c>
      <c r="H266" s="8" t="s">
        <v>4236</v>
      </c>
      <c r="I266" s="8" t="s">
        <v>4855</v>
      </c>
      <c r="J266" s="8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s="8" t="s">
        <v>533</v>
      </c>
      <c r="E267" s="8" t="s">
        <v>531</v>
      </c>
      <c r="F267" s="8" t="s">
        <v>58</v>
      </c>
      <c r="H267" s="8" t="s">
        <v>4236</v>
      </c>
      <c r="I267" s="8" t="s">
        <v>4858</v>
      </c>
      <c r="J267" s="8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s="8" t="s">
        <v>533</v>
      </c>
      <c r="E268" s="8" t="s">
        <v>531</v>
      </c>
      <c r="F268" s="8" t="s">
        <v>58</v>
      </c>
      <c r="H268" s="8" t="s">
        <v>4236</v>
      </c>
      <c r="I268" s="8" t="s">
        <v>4861</v>
      </c>
      <c r="J268" s="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s="8" t="s">
        <v>533</v>
      </c>
      <c r="E269" s="8" t="s">
        <v>531</v>
      </c>
      <c r="F269" s="8" t="s">
        <v>58</v>
      </c>
      <c r="H269" s="8" t="s">
        <v>4236</v>
      </c>
      <c r="I269" s="8" t="s">
        <v>4864</v>
      </c>
      <c r="J269" s="8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s="8" t="s">
        <v>289</v>
      </c>
      <c r="E270" s="8" t="s">
        <v>86</v>
      </c>
      <c r="F270" s="8" t="s">
        <v>4240</v>
      </c>
      <c r="H270" s="8"/>
      <c r="I270" s="8" t="s">
        <v>4867</v>
      </c>
      <c r="J270" s="8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s="8" t="s">
        <v>4241</v>
      </c>
      <c r="E271" s="8" t="s">
        <v>86</v>
      </c>
      <c r="F271" s="8" t="s">
        <v>4240</v>
      </c>
      <c r="H271" s="8" t="s">
        <v>4236</v>
      </c>
      <c r="I271" s="8" t="s">
        <v>4870</v>
      </c>
      <c r="J271" s="8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s="8" t="s">
        <v>533</v>
      </c>
      <c r="E272" s="8" t="s">
        <v>531</v>
      </c>
      <c r="F272" s="8" t="s">
        <v>58</v>
      </c>
      <c r="H272" s="8" t="s">
        <v>4236</v>
      </c>
      <c r="I272" s="8" t="s">
        <v>4873</v>
      </c>
      <c r="J272" s="8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s="8" t="s">
        <v>533</v>
      </c>
      <c r="E273" s="8" t="s">
        <v>531</v>
      </c>
      <c r="F273" s="8" t="s">
        <v>58</v>
      </c>
      <c r="H273" s="8" t="s">
        <v>4236</v>
      </c>
      <c r="I273" s="8" t="s">
        <v>4876</v>
      </c>
      <c r="J273" s="8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s="8" t="s">
        <v>289</v>
      </c>
      <c r="E274" s="8" t="s">
        <v>86</v>
      </c>
      <c r="F274" s="8" t="s">
        <v>4240</v>
      </c>
      <c r="H274" s="8"/>
      <c r="I274" s="8" t="s">
        <v>4879</v>
      </c>
      <c r="J274" s="8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s="8" t="s">
        <v>4241</v>
      </c>
      <c r="E275" s="8" t="s">
        <v>86</v>
      </c>
      <c r="F275" s="8" t="s">
        <v>4240</v>
      </c>
      <c r="H275" s="8" t="s">
        <v>4236</v>
      </c>
      <c r="I275" s="8" t="s">
        <v>4882</v>
      </c>
      <c r="J275" s="8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s="8" t="s">
        <v>533</v>
      </c>
      <c r="E276" s="8" t="s">
        <v>531</v>
      </c>
      <c r="F276" s="8" t="s">
        <v>1099</v>
      </c>
      <c r="H276" s="8" t="s">
        <v>4236</v>
      </c>
      <c r="I276" s="8" t="s">
        <v>4885</v>
      </c>
      <c r="J276" s="8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s="8" t="s">
        <v>533</v>
      </c>
      <c r="E277" s="8" t="s">
        <v>531</v>
      </c>
      <c r="F277" s="8" t="s">
        <v>58</v>
      </c>
      <c r="H277" s="8" t="s">
        <v>4236</v>
      </c>
      <c r="I277" s="8" t="s">
        <v>4888</v>
      </c>
      <c r="J277" s="8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s="8" t="s">
        <v>4227</v>
      </c>
      <c r="E278" s="8" t="s">
        <v>531</v>
      </c>
      <c r="F278" s="8" t="s">
        <v>4233</v>
      </c>
      <c r="H278" s="8" t="s">
        <v>2957</v>
      </c>
      <c r="I278" s="8" t="s">
        <v>4891</v>
      </c>
      <c r="J278" s="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s="8" t="s">
        <v>4</v>
      </c>
      <c r="E279" s="8" t="s">
        <v>8</v>
      </c>
      <c r="F279" s="8"/>
      <c r="H279" s="8"/>
      <c r="I279" s="8" t="s">
        <v>4894</v>
      </c>
      <c r="J279" s="8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s="8" t="s">
        <v>2004</v>
      </c>
      <c r="E280" s="8" t="s">
        <v>8</v>
      </c>
      <c r="F280" s="8"/>
      <c r="H280" s="8"/>
      <c r="I280" s="8" t="s">
        <v>4897</v>
      </c>
      <c r="J280" s="8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s="8" t="s">
        <v>4</v>
      </c>
      <c r="E281" s="8" t="s">
        <v>8</v>
      </c>
      <c r="F281" s="8"/>
      <c r="H281" s="8"/>
      <c r="I281" s="8" t="s">
        <v>5181</v>
      </c>
      <c r="J281" s="8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s="8" t="s">
        <v>1606</v>
      </c>
      <c r="E282" s="8" t="s">
        <v>5263</v>
      </c>
      <c r="F282" s="8" t="s">
        <v>51</v>
      </c>
      <c r="H282" s="8"/>
      <c r="I282" s="8" t="s">
        <v>5184</v>
      </c>
      <c r="J282" s="8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s="8" t="s">
        <v>289</v>
      </c>
      <c r="E283" s="8" t="s">
        <v>5263</v>
      </c>
      <c r="F283" s="8" t="s">
        <v>4233</v>
      </c>
      <c r="H283" s="8"/>
      <c r="I283" s="8" t="s">
        <v>5187</v>
      </c>
      <c r="J283" s="8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s="8" t="s">
        <v>289</v>
      </c>
      <c r="E284" s="8" t="s">
        <v>5263</v>
      </c>
      <c r="F284" s="8" t="s">
        <v>4233</v>
      </c>
      <c r="H284" s="8" t="s">
        <v>2936</v>
      </c>
      <c r="I284" s="8" t="s">
        <v>5190</v>
      </c>
      <c r="J284" s="8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s="8" t="s">
        <v>4232</v>
      </c>
      <c r="E285" s="8" t="s">
        <v>5263</v>
      </c>
      <c r="F285" s="8" t="s">
        <v>4233</v>
      </c>
      <c r="H285" s="8"/>
      <c r="I285" s="8" t="s">
        <v>5193</v>
      </c>
      <c r="J285" s="8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s="8" t="s">
        <v>289</v>
      </c>
      <c r="E286" s="8" t="s">
        <v>86</v>
      </c>
      <c r="F286" s="8" t="s">
        <v>4240</v>
      </c>
      <c r="H286" s="8"/>
      <c r="I286" s="8" t="s">
        <v>5385</v>
      </c>
      <c r="J286" s="8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s="8" t="s">
        <v>4241</v>
      </c>
      <c r="E287" s="8" t="s">
        <v>86</v>
      </c>
      <c r="F287" s="8" t="s">
        <v>4240</v>
      </c>
      <c r="H287" s="8"/>
      <c r="I287" s="8" t="s">
        <v>5388</v>
      </c>
      <c r="J287" s="8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s="8" t="s">
        <v>533</v>
      </c>
      <c r="E288" s="8" t="s">
        <v>531</v>
      </c>
      <c r="F288" s="8" t="s">
        <v>1099</v>
      </c>
      <c r="H288" s="8" t="s">
        <v>1620</v>
      </c>
      <c r="I288" s="8" t="s">
        <v>5391</v>
      </c>
      <c r="J288" s="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s="8" t="s">
        <v>4</v>
      </c>
      <c r="E289" s="8" t="s">
        <v>8</v>
      </c>
      <c r="F289" s="8"/>
      <c r="H289" s="8"/>
      <c r="I289" s="8" t="s">
        <v>5394</v>
      </c>
      <c r="J289" s="8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s="8" t="s">
        <v>533</v>
      </c>
      <c r="E290" s="8" t="s">
        <v>531</v>
      </c>
      <c r="F290" s="8" t="s">
        <v>58</v>
      </c>
      <c r="H290" s="8" t="s">
        <v>4236</v>
      </c>
      <c r="I290" s="8" t="s">
        <v>5396</v>
      </c>
      <c r="J290" s="8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s="8" t="s">
        <v>533</v>
      </c>
      <c r="E291" s="8" t="s">
        <v>531</v>
      </c>
      <c r="F291" s="8" t="s">
        <v>58</v>
      </c>
      <c r="H291" s="8" t="s">
        <v>4236</v>
      </c>
      <c r="I291" s="8" t="s">
        <v>5399</v>
      </c>
      <c r="J291" s="8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s="8" t="s">
        <v>533</v>
      </c>
      <c r="E292" s="8" t="s">
        <v>531</v>
      </c>
      <c r="F292" s="8" t="s">
        <v>58</v>
      </c>
      <c r="H292" s="8" t="s">
        <v>4236</v>
      </c>
      <c r="I292" s="8" t="s">
        <v>5402</v>
      </c>
      <c r="J292" s="8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s="8" t="s">
        <v>533</v>
      </c>
      <c r="E293" s="8" t="s">
        <v>531</v>
      </c>
      <c r="F293" s="8" t="s">
        <v>58</v>
      </c>
      <c r="H293" s="8" t="s">
        <v>4236</v>
      </c>
      <c r="I293" s="8" t="s">
        <v>5405</v>
      </c>
      <c r="J293" s="8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s="8" t="s">
        <v>533</v>
      </c>
      <c r="E294" s="8" t="s">
        <v>531</v>
      </c>
      <c r="F294" s="8" t="s">
        <v>58</v>
      </c>
      <c r="H294" s="8" t="s">
        <v>4236</v>
      </c>
      <c r="I294" s="8" t="s">
        <v>5408</v>
      </c>
      <c r="J294" s="8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s="8" t="s">
        <v>4223</v>
      </c>
      <c r="E295" s="8" t="s">
        <v>86</v>
      </c>
      <c r="F295" s="8" t="s">
        <v>58</v>
      </c>
      <c r="H295" s="8"/>
      <c r="I295" s="8" t="s">
        <v>5411</v>
      </c>
      <c r="J295" s="8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s="8" t="s">
        <v>4223</v>
      </c>
      <c r="E296" s="8" t="s">
        <v>86</v>
      </c>
      <c r="F296" s="8" t="s">
        <v>58</v>
      </c>
      <c r="H296" s="8" t="s">
        <v>2954</v>
      </c>
      <c r="I296" s="8" t="s">
        <v>5414</v>
      </c>
      <c r="J296" s="8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s="8" t="s">
        <v>4223</v>
      </c>
      <c r="E297" s="8" t="s">
        <v>86</v>
      </c>
      <c r="F297" s="8" t="s">
        <v>58</v>
      </c>
      <c r="H297" s="8"/>
      <c r="I297" s="8" t="s">
        <v>5417</v>
      </c>
      <c r="J297" s="8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s="8" t="s">
        <v>4223</v>
      </c>
      <c r="E298" s="8" t="s">
        <v>86</v>
      </c>
      <c r="F298" s="8" t="s">
        <v>58</v>
      </c>
      <c r="H298" s="8" t="s">
        <v>2954</v>
      </c>
      <c r="I298" s="8" t="s">
        <v>5420</v>
      </c>
      <c r="J298" s="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s="8" t="s">
        <v>4223</v>
      </c>
      <c r="E299" s="8" t="s">
        <v>86</v>
      </c>
      <c r="F299" s="8" t="s">
        <v>58</v>
      </c>
      <c r="H299" s="8"/>
      <c r="I299" s="8" t="s">
        <v>5423</v>
      </c>
      <c r="J299" s="8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s="8" t="s">
        <v>4223</v>
      </c>
      <c r="E300" s="8" t="s">
        <v>86</v>
      </c>
      <c r="F300" s="8" t="s">
        <v>58</v>
      </c>
      <c r="H300" s="8" t="s">
        <v>2936</v>
      </c>
      <c r="I300" s="8" t="s">
        <v>5426</v>
      </c>
      <c r="J300" s="8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s="8" t="s">
        <v>4223</v>
      </c>
      <c r="E301" s="8" t="s">
        <v>86</v>
      </c>
      <c r="F301" s="8" t="s">
        <v>58</v>
      </c>
      <c r="H301" s="8" t="s">
        <v>4236</v>
      </c>
      <c r="I301" s="8" t="s">
        <v>5429</v>
      </c>
      <c r="J301" s="8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s="8" t="s">
        <v>4223</v>
      </c>
      <c r="E302" s="8" t="s">
        <v>86</v>
      </c>
      <c r="F302" s="8" t="s">
        <v>58</v>
      </c>
      <c r="H302" s="8"/>
      <c r="I302" s="8" t="s">
        <v>5432</v>
      </c>
      <c r="J302" s="8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s="8" t="s">
        <v>4223</v>
      </c>
      <c r="E303" s="8" t="s">
        <v>86</v>
      </c>
      <c r="F303" s="8" t="s">
        <v>58</v>
      </c>
      <c r="H303" s="8" t="s">
        <v>2954</v>
      </c>
      <c r="I303" s="8" t="s">
        <v>5435</v>
      </c>
      <c r="J303" s="8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s="8" t="s">
        <v>533</v>
      </c>
      <c r="E304" s="8" t="s">
        <v>531</v>
      </c>
      <c r="F304" s="8" t="s">
        <v>58</v>
      </c>
      <c r="H304" s="8" t="s">
        <v>4236</v>
      </c>
      <c r="I304" s="8" t="s">
        <v>5438</v>
      </c>
      <c r="J304" s="8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s="8" t="s">
        <v>533</v>
      </c>
      <c r="E305" s="8" t="s">
        <v>531</v>
      </c>
      <c r="F305" s="8" t="s">
        <v>58</v>
      </c>
      <c r="H305" s="8" t="s">
        <v>4236</v>
      </c>
      <c r="I305" s="8" t="s">
        <v>5441</v>
      </c>
      <c r="J305" s="8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s="8" t="s">
        <v>4223</v>
      </c>
      <c r="E306" s="8" t="s">
        <v>86</v>
      </c>
      <c r="F306" s="8" t="s">
        <v>200</v>
      </c>
      <c r="H306" s="8" t="s">
        <v>1605</v>
      </c>
      <c r="I306" s="8" t="s">
        <v>5444</v>
      </c>
      <c r="J306" s="8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s="8" t="s">
        <v>4223</v>
      </c>
      <c r="E307" s="8" t="s">
        <v>86</v>
      </c>
      <c r="F307" s="8" t="s">
        <v>200</v>
      </c>
      <c r="H307" s="8" t="s">
        <v>1605</v>
      </c>
      <c r="I307" s="8" t="s">
        <v>5447</v>
      </c>
      <c r="J307" s="8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s="8" t="s">
        <v>4</v>
      </c>
      <c r="E308" s="8" t="s">
        <v>8</v>
      </c>
      <c r="F308" s="8"/>
      <c r="H308" s="8"/>
      <c r="I308" s="8" t="s">
        <v>5450</v>
      </c>
      <c r="J308" s="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s="8" t="s">
        <v>4</v>
      </c>
      <c r="E309" s="8" t="s">
        <v>8</v>
      </c>
      <c r="F309" s="8"/>
      <c r="H309" s="8"/>
      <c r="I309" s="8" t="s">
        <v>5744</v>
      </c>
      <c r="J309" s="8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s="8" t="s">
        <v>4223</v>
      </c>
      <c r="E310" s="8" t="s">
        <v>86</v>
      </c>
      <c r="F310" s="8" t="s">
        <v>7169</v>
      </c>
      <c r="H310" s="8"/>
      <c r="I310" s="8" t="s">
        <v>5747</v>
      </c>
      <c r="J310" s="8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s="8" t="s">
        <v>533</v>
      </c>
      <c r="E311" s="8" t="s">
        <v>531</v>
      </c>
      <c r="F311" s="8" t="s">
        <v>58</v>
      </c>
      <c r="H311" s="8" t="s">
        <v>4236</v>
      </c>
      <c r="I311" s="8" t="s">
        <v>5750</v>
      </c>
      <c r="J311" s="8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s="8" t="s">
        <v>158</v>
      </c>
      <c r="E312" s="8" t="s">
        <v>86</v>
      </c>
      <c r="F312" s="8" t="s">
        <v>528</v>
      </c>
      <c r="G312">
        <v>1</v>
      </c>
      <c r="H312" s="8" t="s">
        <v>1605</v>
      </c>
      <c r="I312" s="8" t="s">
        <v>5753</v>
      </c>
      <c r="J312" s="8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s="8" t="s">
        <v>158</v>
      </c>
      <c r="E313" s="8" t="s">
        <v>86</v>
      </c>
      <c r="F313" s="8" t="s">
        <v>528</v>
      </c>
      <c r="G313">
        <v>1</v>
      </c>
      <c r="H313" s="8" t="s">
        <v>1605</v>
      </c>
      <c r="I313" s="8" t="s">
        <v>5756</v>
      </c>
      <c r="J313" s="8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s="8" t="s">
        <v>158</v>
      </c>
      <c r="E314" s="8" t="s">
        <v>86</v>
      </c>
      <c r="F314" s="8" t="s">
        <v>528</v>
      </c>
      <c r="G314">
        <v>1</v>
      </c>
      <c r="H314" s="8" t="s">
        <v>1605</v>
      </c>
      <c r="I314" s="8" t="s">
        <v>5759</v>
      </c>
      <c r="J314" s="8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s="8" t="s">
        <v>533</v>
      </c>
      <c r="E315" s="8" t="s">
        <v>531</v>
      </c>
      <c r="F315" s="8" t="s">
        <v>2944</v>
      </c>
      <c r="H315" s="8" t="s">
        <v>1620</v>
      </c>
      <c r="I315" s="8" t="s">
        <v>5762</v>
      </c>
      <c r="J315" s="8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s="8" t="s">
        <v>4223</v>
      </c>
      <c r="E316" s="8" t="s">
        <v>86</v>
      </c>
      <c r="F316" s="8" t="s">
        <v>6183</v>
      </c>
      <c r="H316" s="8"/>
      <c r="I316" s="8" t="s">
        <v>5765</v>
      </c>
      <c r="J316" s="8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s="8" t="s">
        <v>4223</v>
      </c>
      <c r="E317" s="8" t="s">
        <v>86</v>
      </c>
      <c r="F317" s="8" t="s">
        <v>6183</v>
      </c>
      <c r="H317" s="8" t="s">
        <v>2936</v>
      </c>
      <c r="I317" s="8" t="s">
        <v>5768</v>
      </c>
      <c r="J317" s="8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s="8" t="s">
        <v>533</v>
      </c>
      <c r="E318" s="8" t="s">
        <v>531</v>
      </c>
      <c r="F318" s="8" t="s">
        <v>2944</v>
      </c>
      <c r="H318" s="8" t="s">
        <v>1620</v>
      </c>
      <c r="I318" s="8" t="s">
        <v>5771</v>
      </c>
      <c r="J318" s="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s="8" t="s">
        <v>4223</v>
      </c>
      <c r="E319" s="8" t="s">
        <v>86</v>
      </c>
      <c r="F319" s="8" t="s">
        <v>6183</v>
      </c>
      <c r="H319" s="8"/>
      <c r="I319" s="8" t="s">
        <v>5774</v>
      </c>
      <c r="J319" s="8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s="8" t="s">
        <v>289</v>
      </c>
      <c r="E320" s="8" t="s">
        <v>86</v>
      </c>
      <c r="F320" s="8" t="s">
        <v>7169</v>
      </c>
      <c r="H320" s="8"/>
      <c r="I320" s="8" t="s">
        <v>5777</v>
      </c>
      <c r="J320" s="8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s="8" t="s">
        <v>650</v>
      </c>
      <c r="E321" s="8" t="s">
        <v>86</v>
      </c>
      <c r="F321" s="8" t="s">
        <v>7169</v>
      </c>
      <c r="H321" s="8"/>
      <c r="I321" s="8" t="s">
        <v>5780</v>
      </c>
      <c r="J321" s="8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s="8" t="s">
        <v>533</v>
      </c>
      <c r="E322" s="8" t="s">
        <v>531</v>
      </c>
      <c r="F322" s="8" t="s">
        <v>58</v>
      </c>
      <c r="H322" s="8" t="s">
        <v>4236</v>
      </c>
      <c r="I322" s="8" t="s">
        <v>5783</v>
      </c>
      <c r="J322" s="8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s="8" t="s">
        <v>158</v>
      </c>
      <c r="E323" s="8" t="s">
        <v>86</v>
      </c>
      <c r="F323" s="8" t="s">
        <v>528</v>
      </c>
      <c r="G323">
        <v>1</v>
      </c>
      <c r="H323" s="8" t="s">
        <v>1605</v>
      </c>
      <c r="I323" s="8" t="s">
        <v>5786</v>
      </c>
      <c r="J323" s="8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s="8" t="s">
        <v>158</v>
      </c>
      <c r="E324" s="8" t="s">
        <v>86</v>
      </c>
      <c r="F324" s="8" t="s">
        <v>528</v>
      </c>
      <c r="G324">
        <v>1</v>
      </c>
      <c r="H324" s="8" t="s">
        <v>1605</v>
      </c>
      <c r="I324" s="8" t="s">
        <v>5789</v>
      </c>
      <c r="J324" s="8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s="8" t="s">
        <v>4</v>
      </c>
      <c r="E325" s="8" t="s">
        <v>8</v>
      </c>
      <c r="F325" s="8"/>
      <c r="H325" s="8"/>
      <c r="I325" s="8" t="s">
        <v>5792</v>
      </c>
      <c r="J325" s="8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s="8" t="s">
        <v>4</v>
      </c>
      <c r="E326" s="8" t="s">
        <v>8</v>
      </c>
      <c r="F326" s="8"/>
      <c r="H326" s="8"/>
      <c r="I326" s="8" t="s">
        <v>5795</v>
      </c>
      <c r="J326" s="8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s="8" t="s">
        <v>4</v>
      </c>
      <c r="E327" s="8" t="s">
        <v>8</v>
      </c>
      <c r="F327" s="8"/>
      <c r="H327" s="8"/>
      <c r="I327" s="8" t="s">
        <v>5798</v>
      </c>
      <c r="J327" s="8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s="8" t="s">
        <v>4</v>
      </c>
      <c r="E328" s="8" t="s">
        <v>8</v>
      </c>
      <c r="F328" s="8"/>
      <c r="H328" s="8"/>
      <c r="I328" s="8" t="s">
        <v>5879</v>
      </c>
      <c r="J328" s="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s="8" t="s">
        <v>4</v>
      </c>
      <c r="E329" s="8" t="s">
        <v>86</v>
      </c>
      <c r="F329" s="8" t="s">
        <v>4240</v>
      </c>
      <c r="H329" s="8" t="s">
        <v>1620</v>
      </c>
      <c r="I329" s="8" t="s">
        <v>5882</v>
      </c>
      <c r="J329" s="8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s="8" t="s">
        <v>4223</v>
      </c>
      <c r="E330" s="8" t="s">
        <v>86</v>
      </c>
      <c r="F330" s="8" t="s">
        <v>6172</v>
      </c>
      <c r="H330" s="8"/>
      <c r="I330" s="8" t="s">
        <v>5885</v>
      </c>
      <c r="J330" s="8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s="8" t="s">
        <v>4221</v>
      </c>
      <c r="E331" s="8" t="s">
        <v>86</v>
      </c>
      <c r="F331" s="8" t="s">
        <v>58</v>
      </c>
      <c r="H331" s="8" t="s">
        <v>1620</v>
      </c>
      <c r="I331" s="8" t="s">
        <v>5888</v>
      </c>
      <c r="J331" s="8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s="8" t="s">
        <v>4221</v>
      </c>
      <c r="E332" s="8" t="s">
        <v>86</v>
      </c>
      <c r="F332" s="8" t="s">
        <v>58</v>
      </c>
      <c r="H332" s="8" t="s">
        <v>2936</v>
      </c>
      <c r="I332" s="8" t="s">
        <v>5891</v>
      </c>
      <c r="J332" s="8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s="8" t="s">
        <v>533</v>
      </c>
      <c r="E333" s="8" t="s">
        <v>531</v>
      </c>
      <c r="F333" s="8" t="s">
        <v>1099</v>
      </c>
      <c r="H333" s="8" t="s">
        <v>1620</v>
      </c>
      <c r="I333" s="8" t="s">
        <v>5894</v>
      </c>
      <c r="J333" s="8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s="8" t="s">
        <v>533</v>
      </c>
      <c r="E334" s="8" t="s">
        <v>531</v>
      </c>
      <c r="F334" s="8" t="s">
        <v>1099</v>
      </c>
      <c r="H334" s="8" t="s">
        <v>1620</v>
      </c>
      <c r="I334" s="8" t="s">
        <v>5897</v>
      </c>
      <c r="J334" s="8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s="8" t="s">
        <v>4223</v>
      </c>
      <c r="E335" s="8" t="s">
        <v>86</v>
      </c>
      <c r="F335" s="8" t="s">
        <v>200</v>
      </c>
      <c r="H335" s="8"/>
      <c r="I335" s="8" t="s">
        <v>5900</v>
      </c>
      <c r="J335" s="8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s="8" t="s">
        <v>4223</v>
      </c>
      <c r="E336" s="8" t="s">
        <v>86</v>
      </c>
      <c r="F336" s="8" t="s">
        <v>200</v>
      </c>
      <c r="H336" s="8"/>
      <c r="I336" s="8" t="s">
        <v>5903</v>
      </c>
      <c r="J336" s="8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s="8" t="s">
        <v>4223</v>
      </c>
      <c r="E337" s="8" t="s">
        <v>86</v>
      </c>
      <c r="F337" s="8" t="s">
        <v>200</v>
      </c>
      <c r="H337" s="8"/>
      <c r="I337" s="8" t="s">
        <v>5906</v>
      </c>
      <c r="J337" s="8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s="8" t="s">
        <v>4223</v>
      </c>
      <c r="E338" s="8" t="s">
        <v>86</v>
      </c>
      <c r="F338" s="8" t="s">
        <v>200</v>
      </c>
      <c r="H338" s="8"/>
      <c r="I338" s="8" t="s">
        <v>5909</v>
      </c>
      <c r="J338" s="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s="8" t="s">
        <v>4223</v>
      </c>
      <c r="E339" s="8" t="s">
        <v>86</v>
      </c>
      <c r="F339" s="8" t="s">
        <v>200</v>
      </c>
      <c r="H339" s="8"/>
      <c r="I339" s="8" t="s">
        <v>5912</v>
      </c>
      <c r="J339" s="8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s="8" t="s">
        <v>4223</v>
      </c>
      <c r="E340" s="8" t="s">
        <v>86</v>
      </c>
      <c r="F340" s="8" t="s">
        <v>200</v>
      </c>
      <c r="H340" s="8"/>
      <c r="I340" s="8" t="s">
        <v>5915</v>
      </c>
      <c r="J340" s="8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s="8" t="s">
        <v>4223</v>
      </c>
      <c r="E341" s="8" t="s">
        <v>86</v>
      </c>
      <c r="F341" s="8" t="s">
        <v>200</v>
      </c>
      <c r="H341" s="8"/>
      <c r="I341" s="8" t="s">
        <v>5918</v>
      </c>
      <c r="J341" s="8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s="8" t="s">
        <v>4</v>
      </c>
      <c r="E342" s="8" t="s">
        <v>8</v>
      </c>
      <c r="F342" s="8"/>
      <c r="H342" s="8"/>
      <c r="I342" s="8" t="s">
        <v>5921</v>
      </c>
      <c r="J342" s="8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s="8" t="s">
        <v>4</v>
      </c>
      <c r="E343" s="8" t="s">
        <v>6167</v>
      </c>
      <c r="F343" s="8"/>
      <c r="H343" s="8"/>
      <c r="I343" s="8" t="s">
        <v>6095</v>
      </c>
      <c r="J343" s="8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s="8" t="s">
        <v>4</v>
      </c>
      <c r="E344" s="8" t="s">
        <v>8</v>
      </c>
      <c r="F344" s="8"/>
      <c r="H344" s="8"/>
      <c r="I344" s="8" t="s">
        <v>6098</v>
      </c>
      <c r="J344" s="8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s="8" t="s">
        <v>4</v>
      </c>
      <c r="E345" s="8" t="s">
        <v>6167</v>
      </c>
      <c r="F345" s="8"/>
      <c r="H345" s="8"/>
      <c r="I345" s="8" t="s">
        <v>6101</v>
      </c>
      <c r="J345" s="8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s="8" t="s">
        <v>4</v>
      </c>
      <c r="E346" s="8" t="s">
        <v>8</v>
      </c>
      <c r="F346" s="8"/>
      <c r="H346" s="8"/>
      <c r="I346" s="8" t="s">
        <v>6104</v>
      </c>
      <c r="J346" s="8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s="8" t="s">
        <v>2004</v>
      </c>
      <c r="E347" s="8" t="s">
        <v>8</v>
      </c>
      <c r="F347" s="8"/>
      <c r="H347" s="8"/>
      <c r="I347" s="8" t="s">
        <v>6249</v>
      </c>
      <c r="J347" s="8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s="8" t="s">
        <v>4223</v>
      </c>
      <c r="E348" s="8" t="s">
        <v>86</v>
      </c>
      <c r="F348" s="8" t="s">
        <v>4240</v>
      </c>
      <c r="H348" s="8" t="s">
        <v>6524</v>
      </c>
      <c r="I348" s="8" t="s">
        <v>6391</v>
      </c>
      <c r="J348" s="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s="8" t="s">
        <v>4223</v>
      </c>
      <c r="E349" s="8" t="s">
        <v>86</v>
      </c>
      <c r="F349" s="8" t="s">
        <v>6525</v>
      </c>
      <c r="H349" s="8"/>
      <c r="I349" s="8" t="s">
        <v>6395</v>
      </c>
      <c r="J349" s="8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s="8" t="s">
        <v>4223</v>
      </c>
      <c r="E350" s="8" t="s">
        <v>86</v>
      </c>
      <c r="F350" s="8" t="s">
        <v>6525</v>
      </c>
      <c r="H350" s="8"/>
      <c r="I350" s="8" t="s">
        <v>6398</v>
      </c>
      <c r="J350" s="8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s="8" t="s">
        <v>1606</v>
      </c>
      <c r="E351" s="8" t="s">
        <v>6329</v>
      </c>
      <c r="F351" s="8"/>
      <c r="H351" s="8"/>
      <c r="I351" s="8" t="s">
        <v>6401</v>
      </c>
      <c r="J351" s="8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s="8" t="s">
        <v>289</v>
      </c>
      <c r="E352" s="8" t="s">
        <v>6329</v>
      </c>
      <c r="F352" s="8" t="s">
        <v>58</v>
      </c>
      <c r="H352" s="8" t="s">
        <v>1620</v>
      </c>
      <c r="I352" s="8" t="s">
        <v>6404</v>
      </c>
      <c r="J352" s="8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s="8" t="s">
        <v>289</v>
      </c>
      <c r="E353" s="8" t="s">
        <v>6329</v>
      </c>
      <c r="F353" s="8" t="s">
        <v>58</v>
      </c>
      <c r="H353" s="8" t="s">
        <v>2936</v>
      </c>
      <c r="I353" s="8" t="s">
        <v>6407</v>
      </c>
      <c r="J353" s="8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s="8" t="s">
        <v>289</v>
      </c>
      <c r="E354" s="8" t="s">
        <v>6329</v>
      </c>
      <c r="F354" s="8" t="s">
        <v>58</v>
      </c>
      <c r="H354" s="8" t="s">
        <v>2936</v>
      </c>
      <c r="I354" s="8" t="s">
        <v>6410</v>
      </c>
      <c r="J354" s="8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s="8" t="s">
        <v>289</v>
      </c>
      <c r="E355" s="8" t="s">
        <v>6329</v>
      </c>
      <c r="F355" s="8" t="s">
        <v>58</v>
      </c>
      <c r="H355" s="8" t="s">
        <v>2936</v>
      </c>
      <c r="I355" s="8" t="s">
        <v>6413</v>
      </c>
      <c r="J355" s="8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s="8" t="s">
        <v>289</v>
      </c>
      <c r="E356" s="8" t="s">
        <v>6329</v>
      </c>
      <c r="F356" s="8" t="s">
        <v>58</v>
      </c>
      <c r="H356" s="8" t="s">
        <v>2936</v>
      </c>
      <c r="I356" s="8" t="s">
        <v>6416</v>
      </c>
      <c r="J356" s="8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s="8" t="s">
        <v>289</v>
      </c>
      <c r="E357" s="8" t="s">
        <v>6329</v>
      </c>
      <c r="F357" s="8" t="s">
        <v>58</v>
      </c>
      <c r="H357" s="8" t="s">
        <v>2936</v>
      </c>
      <c r="I357" s="8" t="s">
        <v>6419</v>
      </c>
      <c r="J357" s="8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s="8" t="s">
        <v>289</v>
      </c>
      <c r="E358" s="8" t="s">
        <v>6329</v>
      </c>
      <c r="F358" s="8" t="s">
        <v>58</v>
      </c>
      <c r="H358" s="8" t="s">
        <v>2936</v>
      </c>
      <c r="I358" s="8" t="s">
        <v>6422</v>
      </c>
      <c r="J358" s="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s="8" t="s">
        <v>289</v>
      </c>
      <c r="E359" s="8" t="s">
        <v>6329</v>
      </c>
      <c r="F359" s="8" t="s">
        <v>58</v>
      </c>
      <c r="H359" s="8" t="s">
        <v>2936</v>
      </c>
      <c r="I359" s="8" t="s">
        <v>6425</v>
      </c>
      <c r="J359" s="8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s="8" t="s">
        <v>289</v>
      </c>
      <c r="E360" s="8" t="s">
        <v>6329</v>
      </c>
      <c r="F360" s="8" t="s">
        <v>58</v>
      </c>
      <c r="H360" s="8" t="s">
        <v>2936</v>
      </c>
      <c r="I360" s="8" t="s">
        <v>6428</v>
      </c>
      <c r="J360" s="8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s="8" t="s">
        <v>289</v>
      </c>
      <c r="E361" s="8" t="s">
        <v>6329</v>
      </c>
      <c r="F361" s="8" t="s">
        <v>58</v>
      </c>
      <c r="H361" s="8" t="s">
        <v>2936</v>
      </c>
      <c r="I361" s="8" t="s">
        <v>6431</v>
      </c>
      <c r="J361" s="8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s="8" t="s">
        <v>289</v>
      </c>
      <c r="E362" s="8" t="s">
        <v>6329</v>
      </c>
      <c r="F362" s="8" t="s">
        <v>58</v>
      </c>
      <c r="H362" s="8" t="s">
        <v>2936</v>
      </c>
      <c r="I362" s="8" t="s">
        <v>6434</v>
      </c>
      <c r="J362" s="8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s="8" t="s">
        <v>289</v>
      </c>
      <c r="E363" s="8" t="s">
        <v>6329</v>
      </c>
      <c r="F363" s="8" t="s">
        <v>58</v>
      </c>
      <c r="H363" s="8" t="s">
        <v>2936</v>
      </c>
      <c r="I363" s="8" t="s">
        <v>6437</v>
      </c>
      <c r="J363" s="8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s="8" t="s">
        <v>289</v>
      </c>
      <c r="E364" s="8" t="s">
        <v>6329</v>
      </c>
      <c r="F364" s="8" t="s">
        <v>58</v>
      </c>
      <c r="H364" s="8" t="s">
        <v>2936</v>
      </c>
      <c r="I364" s="8" t="s">
        <v>6440</v>
      </c>
      <c r="J364" s="8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s="8" t="s">
        <v>289</v>
      </c>
      <c r="E365" s="8" t="s">
        <v>6329</v>
      </c>
      <c r="F365" s="8" t="s">
        <v>58</v>
      </c>
      <c r="H365" s="8" t="s">
        <v>2936</v>
      </c>
      <c r="I365" s="8" t="s">
        <v>6443</v>
      </c>
      <c r="J365" s="8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s="8" t="s">
        <v>289</v>
      </c>
      <c r="E366" s="8" t="s">
        <v>6329</v>
      </c>
      <c r="F366" s="8" t="s">
        <v>58</v>
      </c>
      <c r="H366" s="8" t="s">
        <v>6526</v>
      </c>
      <c r="I366" s="8" t="s">
        <v>6446</v>
      </c>
      <c r="J366" s="8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s="8" t="s">
        <v>289</v>
      </c>
      <c r="E367" s="8" t="s">
        <v>6329</v>
      </c>
      <c r="F367" s="8" t="s">
        <v>58</v>
      </c>
      <c r="H367" s="8" t="s">
        <v>2936</v>
      </c>
      <c r="I367" s="8" t="s">
        <v>6449</v>
      </c>
      <c r="J367" s="8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s="8" t="s">
        <v>289</v>
      </c>
      <c r="E368" s="8" t="s">
        <v>6329</v>
      </c>
      <c r="F368" s="8" t="s">
        <v>58</v>
      </c>
      <c r="H368" s="8" t="s">
        <v>2936</v>
      </c>
      <c r="I368" s="8" t="s">
        <v>6452</v>
      </c>
      <c r="J368" s="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s="8" t="s">
        <v>289</v>
      </c>
      <c r="E369" s="8" t="s">
        <v>6329</v>
      </c>
      <c r="F369" s="8" t="s">
        <v>58</v>
      </c>
      <c r="H369" s="8" t="s">
        <v>2936</v>
      </c>
      <c r="I369" s="8" t="s">
        <v>6455</v>
      </c>
      <c r="J369" s="8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s="8" t="s">
        <v>289</v>
      </c>
      <c r="E370" s="8" t="s">
        <v>6329</v>
      </c>
      <c r="F370" s="8" t="s">
        <v>58</v>
      </c>
      <c r="H370" s="8" t="s">
        <v>1620</v>
      </c>
      <c r="I370" s="8" t="s">
        <v>6458</v>
      </c>
      <c r="J370" s="8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s="8" t="s">
        <v>289</v>
      </c>
      <c r="E371" s="8" t="s">
        <v>6329</v>
      </c>
      <c r="F371" s="8" t="s">
        <v>58</v>
      </c>
      <c r="H371" s="8" t="s">
        <v>2936</v>
      </c>
      <c r="I371" s="8" t="s">
        <v>6461</v>
      </c>
      <c r="J371" s="8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s="8" t="s">
        <v>289</v>
      </c>
      <c r="E372" s="8" t="s">
        <v>6329</v>
      </c>
      <c r="F372" s="8" t="s">
        <v>58</v>
      </c>
      <c r="H372" s="8" t="s">
        <v>2936</v>
      </c>
      <c r="I372" s="8" t="s">
        <v>6464</v>
      </c>
      <c r="J372" s="8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s="8" t="s">
        <v>289</v>
      </c>
      <c r="E373" s="8" t="s">
        <v>6329</v>
      </c>
      <c r="F373" s="8" t="s">
        <v>58</v>
      </c>
      <c r="H373" s="8" t="s">
        <v>2936</v>
      </c>
      <c r="I373" s="8" t="s">
        <v>6467</v>
      </c>
      <c r="J373" s="8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s="8" t="s">
        <v>650</v>
      </c>
      <c r="E374" s="8" t="s">
        <v>6329</v>
      </c>
      <c r="F374" s="8" t="s">
        <v>58</v>
      </c>
      <c r="H374" s="8"/>
      <c r="I374" s="8" t="s">
        <v>6470</v>
      </c>
      <c r="J374" s="8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s="8" t="s">
        <v>1606</v>
      </c>
      <c r="E375" s="8" t="s">
        <v>6527</v>
      </c>
      <c r="F375" s="8"/>
      <c r="H375" s="8"/>
      <c r="I375" s="8" t="s">
        <v>6473</v>
      </c>
      <c r="J375" s="8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s="8" t="s">
        <v>4</v>
      </c>
      <c r="E376" s="8" t="s">
        <v>6528</v>
      </c>
      <c r="F376" s="8"/>
      <c r="H376" s="8"/>
      <c r="I376" s="8" t="s">
        <v>6476</v>
      </c>
      <c r="J376" s="8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s="8" t="s">
        <v>289</v>
      </c>
      <c r="E377" s="8" t="s">
        <v>6527</v>
      </c>
      <c r="F377" s="8" t="s">
        <v>1099</v>
      </c>
      <c r="G377">
        <v>2</v>
      </c>
      <c r="H377" s="8"/>
      <c r="I377" s="8" t="s">
        <v>6479</v>
      </c>
      <c r="J377" s="8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s="8" t="s">
        <v>650</v>
      </c>
      <c r="E378" s="8" t="s">
        <v>6527</v>
      </c>
      <c r="F378" s="8" t="s">
        <v>1099</v>
      </c>
      <c r="H378" s="8"/>
      <c r="I378" s="8" t="s">
        <v>6482</v>
      </c>
      <c r="J378" s="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s="8" t="s">
        <v>4223</v>
      </c>
      <c r="E379" s="8" t="s">
        <v>86</v>
      </c>
      <c r="F379" s="8" t="s">
        <v>528</v>
      </c>
      <c r="H379" s="8" t="s">
        <v>5104</v>
      </c>
      <c r="I379" s="8" t="s">
        <v>6485</v>
      </c>
      <c r="J379" s="8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s="8" t="s">
        <v>4223</v>
      </c>
      <c r="E380" s="8" t="s">
        <v>86</v>
      </c>
      <c r="F380" s="8" t="s">
        <v>528</v>
      </c>
      <c r="H380" s="8" t="s">
        <v>5104</v>
      </c>
      <c r="I380" s="8" t="s">
        <v>6488</v>
      </c>
      <c r="J380" s="8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s="8" t="s">
        <v>4223</v>
      </c>
      <c r="E381" s="8" t="s">
        <v>86</v>
      </c>
      <c r="F381" s="8" t="s">
        <v>1621</v>
      </c>
      <c r="H381" s="8" t="s">
        <v>5104</v>
      </c>
      <c r="I381" s="8" t="s">
        <v>6491</v>
      </c>
      <c r="J381" s="8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s="8" t="s">
        <v>4</v>
      </c>
      <c r="E382" s="8" t="s">
        <v>6529</v>
      </c>
      <c r="F382" s="8"/>
      <c r="H382" s="8"/>
      <c r="I382" s="8" t="s">
        <v>6494</v>
      </c>
      <c r="J382" s="8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s="8" t="s">
        <v>4</v>
      </c>
      <c r="E383" s="8" t="s">
        <v>6530</v>
      </c>
      <c r="F383" s="8"/>
      <c r="H383" s="8" t="s">
        <v>6531</v>
      </c>
      <c r="I383" s="8" t="s">
        <v>6497</v>
      </c>
      <c r="J383" s="8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s="8" t="s">
        <v>533</v>
      </c>
      <c r="E384" s="8" t="s">
        <v>531</v>
      </c>
      <c r="F384" s="8" t="s">
        <v>58</v>
      </c>
      <c r="H384" s="8" t="s">
        <v>4236</v>
      </c>
      <c r="I384" s="8" t="s">
        <v>6608</v>
      </c>
      <c r="J384" s="8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s="8" t="s">
        <v>533</v>
      </c>
      <c r="E385" s="8" t="s">
        <v>531</v>
      </c>
      <c r="F385" s="8" t="s">
        <v>58</v>
      </c>
      <c r="H385" s="8" t="s">
        <v>4236</v>
      </c>
      <c r="I385" s="8" t="s">
        <v>6611</v>
      </c>
      <c r="J385" s="8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s="8" t="s">
        <v>4</v>
      </c>
      <c r="E386" s="8" t="s">
        <v>8</v>
      </c>
      <c r="F386" s="8"/>
      <c r="H386" s="8"/>
      <c r="I386" s="8" t="s">
        <v>6614</v>
      </c>
      <c r="J386" s="8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s="8" t="s">
        <v>4</v>
      </c>
      <c r="E387" s="8" t="s">
        <v>8</v>
      </c>
      <c r="F387" s="8"/>
      <c r="H387" s="8"/>
      <c r="I387" s="8" t="s">
        <v>6617</v>
      </c>
      <c r="J387" s="8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s="8" t="s">
        <v>4</v>
      </c>
      <c r="E388" s="8" t="s">
        <v>8</v>
      </c>
      <c r="F388" s="8"/>
      <c r="H388" s="8"/>
      <c r="I388" s="8" t="s">
        <v>6620</v>
      </c>
      <c r="J388" s="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s="8" t="s">
        <v>4</v>
      </c>
      <c r="E389" s="8" t="s">
        <v>8</v>
      </c>
      <c r="F389" s="8"/>
      <c r="H389" s="8"/>
      <c r="I389" s="8" t="s">
        <v>6623</v>
      </c>
      <c r="J389" s="8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s="8" t="s">
        <v>4</v>
      </c>
      <c r="E390" s="8" t="s">
        <v>8</v>
      </c>
      <c r="F390" s="8"/>
      <c r="H390" s="8"/>
      <c r="I390" s="8" t="s">
        <v>6626</v>
      </c>
      <c r="J390" s="8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s="8" t="s">
        <v>533</v>
      </c>
      <c r="E391" s="8" t="s">
        <v>531</v>
      </c>
      <c r="F391" s="8" t="s">
        <v>1099</v>
      </c>
      <c r="H391" s="8"/>
      <c r="I391" s="8" t="s">
        <v>6629</v>
      </c>
      <c r="J391" s="8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s="8" t="s">
        <v>4</v>
      </c>
      <c r="E392" s="8" t="s">
        <v>8</v>
      </c>
      <c r="F392" s="8"/>
      <c r="H392" s="8"/>
      <c r="I392" s="8" t="s">
        <v>6632</v>
      </c>
      <c r="J392" s="8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s="8" t="s">
        <v>4</v>
      </c>
      <c r="E393" s="8" t="s">
        <v>8</v>
      </c>
      <c r="F393" s="8"/>
      <c r="H393" s="8"/>
      <c r="I393" s="8" t="s">
        <v>6635</v>
      </c>
      <c r="J393" s="8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s="8" t="s">
        <v>533</v>
      </c>
      <c r="E394" s="8" t="s">
        <v>531</v>
      </c>
      <c r="F394" s="8" t="s">
        <v>58</v>
      </c>
      <c r="H394" s="8" t="s">
        <v>4236</v>
      </c>
      <c r="I394" s="8" t="s">
        <v>6781</v>
      </c>
      <c r="J394" s="8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s="8" t="s">
        <v>533</v>
      </c>
      <c r="E395" s="8" t="s">
        <v>531</v>
      </c>
      <c r="F395" s="8" t="s">
        <v>6871</v>
      </c>
      <c r="H395" s="8" t="s">
        <v>4236</v>
      </c>
      <c r="I395" s="8" t="s">
        <v>6784</v>
      </c>
      <c r="J395" s="8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s="8" t="s">
        <v>533</v>
      </c>
      <c r="E396" s="8" t="s">
        <v>531</v>
      </c>
      <c r="F396" s="8" t="s">
        <v>58</v>
      </c>
      <c r="H396" s="8" t="s">
        <v>4236</v>
      </c>
      <c r="I396" s="8" t="s">
        <v>6787</v>
      </c>
      <c r="J396" s="8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s="8" t="s">
        <v>533</v>
      </c>
      <c r="E397" s="8" t="s">
        <v>531</v>
      </c>
      <c r="F397" s="8" t="s">
        <v>1099</v>
      </c>
      <c r="H397" s="8" t="s">
        <v>4236</v>
      </c>
      <c r="I397" s="8" t="s">
        <v>6790</v>
      </c>
      <c r="J397" s="8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s="8" t="s">
        <v>533</v>
      </c>
      <c r="E398" s="8" t="s">
        <v>531</v>
      </c>
      <c r="F398" s="8" t="s">
        <v>58</v>
      </c>
      <c r="H398" s="8" t="s">
        <v>4236</v>
      </c>
      <c r="I398" s="8" t="s">
        <v>6793</v>
      </c>
      <c r="J398" s="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s="8" t="s">
        <v>533</v>
      </c>
      <c r="E399" s="8" t="s">
        <v>531</v>
      </c>
      <c r="F399" s="8" t="s">
        <v>1099</v>
      </c>
      <c r="H399" s="8" t="s">
        <v>4236</v>
      </c>
      <c r="I399" s="8" t="s">
        <v>6796</v>
      </c>
      <c r="J399" s="8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s="8" t="s">
        <v>533</v>
      </c>
      <c r="E400" s="8" t="s">
        <v>531</v>
      </c>
      <c r="F400" s="8" t="s">
        <v>58</v>
      </c>
      <c r="H400" s="8" t="s">
        <v>4236</v>
      </c>
      <c r="I400" s="8" t="s">
        <v>6799</v>
      </c>
      <c r="J400" s="8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s="8" t="s">
        <v>533</v>
      </c>
      <c r="E401" s="8" t="s">
        <v>531</v>
      </c>
      <c r="F401" s="8" t="s">
        <v>58</v>
      </c>
      <c r="H401" s="8" t="s">
        <v>4236</v>
      </c>
      <c r="I401" s="8" t="s">
        <v>6802</v>
      </c>
      <c r="J401" s="8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s="8" t="s">
        <v>533</v>
      </c>
      <c r="E402" s="8" t="s">
        <v>531</v>
      </c>
      <c r="F402" s="8" t="s">
        <v>1099</v>
      </c>
      <c r="H402" s="8" t="s">
        <v>4236</v>
      </c>
      <c r="I402" s="8" t="s">
        <v>6805</v>
      </c>
      <c r="J402" s="8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s="8" t="s">
        <v>533</v>
      </c>
      <c r="E403" s="8" t="s">
        <v>531</v>
      </c>
      <c r="F403" s="8" t="s">
        <v>1099</v>
      </c>
      <c r="H403" s="8" t="s">
        <v>4236</v>
      </c>
      <c r="I403" s="8" t="s">
        <v>6808</v>
      </c>
      <c r="J403" s="8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s="8" t="s">
        <v>533</v>
      </c>
      <c r="E404" s="8" t="s">
        <v>531</v>
      </c>
      <c r="F404" s="8" t="s">
        <v>7169</v>
      </c>
      <c r="H404" s="8" t="s">
        <v>6339</v>
      </c>
      <c r="I404" s="8" t="s">
        <v>6811</v>
      </c>
      <c r="J404" s="8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s="8" t="s">
        <v>4</v>
      </c>
      <c r="E405" s="8" t="s">
        <v>8</v>
      </c>
      <c r="F405" s="8"/>
      <c r="H405" s="8"/>
      <c r="I405" s="8" t="s">
        <v>6814</v>
      </c>
      <c r="J405" s="8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s="8" t="s">
        <v>533</v>
      </c>
      <c r="E406" s="8" t="s">
        <v>531</v>
      </c>
      <c r="F406" s="8" t="s">
        <v>58</v>
      </c>
      <c r="H406" s="8" t="s">
        <v>4236</v>
      </c>
      <c r="I406" s="8" t="s">
        <v>6817</v>
      </c>
      <c r="J406" s="8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s="8" t="s">
        <v>4</v>
      </c>
      <c r="E407" s="8" t="s">
        <v>8</v>
      </c>
      <c r="F407" s="8"/>
      <c r="H407" s="8"/>
      <c r="I407" s="8" t="s">
        <v>7025</v>
      </c>
      <c r="J407" s="8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s="8" t="s">
        <v>533</v>
      </c>
      <c r="E408" s="8" t="s">
        <v>531</v>
      </c>
      <c r="F408" s="8" t="s">
        <v>58</v>
      </c>
      <c r="H408" s="8" t="s">
        <v>2949</v>
      </c>
      <c r="I408" s="8" t="s">
        <v>7028</v>
      </c>
      <c r="J408" s="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s="8" t="s">
        <v>533</v>
      </c>
      <c r="E409" s="8" t="s">
        <v>531</v>
      </c>
      <c r="F409" s="8" t="s">
        <v>58</v>
      </c>
      <c r="H409" s="8" t="s">
        <v>2936</v>
      </c>
      <c r="I409" s="8" t="s">
        <v>7031</v>
      </c>
      <c r="J409" s="8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s="8" t="s">
        <v>533</v>
      </c>
      <c r="E410" s="8" t="s">
        <v>531</v>
      </c>
      <c r="F410" s="8" t="s">
        <v>58</v>
      </c>
      <c r="H410" s="8" t="s">
        <v>4236</v>
      </c>
      <c r="I410" s="8" t="s">
        <v>7034</v>
      </c>
      <c r="J410" s="8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s="8" t="s">
        <v>4223</v>
      </c>
      <c r="E411" s="8" t="s">
        <v>5480</v>
      </c>
      <c r="F411" s="8" t="s">
        <v>2944</v>
      </c>
      <c r="H411" s="8"/>
      <c r="I411" s="8" t="s">
        <v>7037</v>
      </c>
      <c r="J411" s="8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s="8" t="s">
        <v>158</v>
      </c>
      <c r="E412" s="8" t="s">
        <v>86</v>
      </c>
      <c r="F412" s="8" t="s">
        <v>2944</v>
      </c>
      <c r="H412" s="8" t="s">
        <v>2954</v>
      </c>
      <c r="I412" s="8" t="s">
        <v>7040</v>
      </c>
      <c r="J412" s="8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s="8" t="s">
        <v>4223</v>
      </c>
      <c r="E413" s="8" t="s">
        <v>5480</v>
      </c>
      <c r="F413" s="8" t="s">
        <v>528</v>
      </c>
      <c r="H413" s="8"/>
      <c r="I413" s="8" t="s">
        <v>7043</v>
      </c>
      <c r="J413" s="8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s="8" t="s">
        <v>533</v>
      </c>
      <c r="E414" s="8" t="s">
        <v>531</v>
      </c>
      <c r="F414" s="8" t="s">
        <v>58</v>
      </c>
      <c r="H414" s="8" t="s">
        <v>4236</v>
      </c>
      <c r="I414" s="8" t="s">
        <v>7046</v>
      </c>
      <c r="J414" s="8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s="8" t="s">
        <v>533</v>
      </c>
      <c r="E415" s="8" t="s">
        <v>531</v>
      </c>
      <c r="F415" s="8" t="s">
        <v>58</v>
      </c>
      <c r="H415" s="8" t="s">
        <v>4236</v>
      </c>
      <c r="I415" s="8" t="s">
        <v>7049</v>
      </c>
      <c r="J415" s="8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s="8" t="s">
        <v>533</v>
      </c>
      <c r="E416" s="8" t="s">
        <v>531</v>
      </c>
      <c r="F416" s="8" t="s">
        <v>6871</v>
      </c>
      <c r="H416" s="8" t="s">
        <v>4236</v>
      </c>
      <c r="I416" s="8" t="s">
        <v>7052</v>
      </c>
      <c r="J416" s="8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s="8" t="s">
        <v>158</v>
      </c>
      <c r="E417" s="8" t="s">
        <v>531</v>
      </c>
      <c r="F417" s="8" t="s">
        <v>6871</v>
      </c>
      <c r="H417" s="8" t="s">
        <v>4236</v>
      </c>
      <c r="I417" s="8" t="s">
        <v>7055</v>
      </c>
      <c r="J417" s="8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s="8" t="s">
        <v>533</v>
      </c>
      <c r="E418" s="8" t="s">
        <v>531</v>
      </c>
      <c r="F418" s="8" t="s">
        <v>2944</v>
      </c>
      <c r="H418" s="8" t="s">
        <v>4236</v>
      </c>
      <c r="I418" s="8" t="s">
        <v>7058</v>
      </c>
      <c r="J418" s="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s="8" t="s">
        <v>533</v>
      </c>
      <c r="E419" s="8" t="s">
        <v>531</v>
      </c>
      <c r="F419" s="8" t="s">
        <v>7170</v>
      </c>
      <c r="H419" s="8"/>
      <c r="I419" s="8" t="s">
        <v>7061</v>
      </c>
      <c r="J419" s="8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s="8" t="s">
        <v>533</v>
      </c>
      <c r="E420" s="8" t="s">
        <v>531</v>
      </c>
      <c r="F420" s="8" t="s">
        <v>7169</v>
      </c>
      <c r="H420" s="8" t="s">
        <v>6339</v>
      </c>
      <c r="I420" s="8" t="s">
        <v>7064</v>
      </c>
      <c r="J420" s="8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s="8" t="s">
        <v>4221</v>
      </c>
      <c r="E421" s="8" t="s">
        <v>86</v>
      </c>
      <c r="F421" s="8" t="s">
        <v>58</v>
      </c>
      <c r="H421" s="8" t="s">
        <v>1620</v>
      </c>
      <c r="I421" s="8" t="s">
        <v>7067</v>
      </c>
      <c r="J421" s="8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s="8" t="s">
        <v>158</v>
      </c>
      <c r="E422" s="8" t="s">
        <v>86</v>
      </c>
      <c r="F422" s="8" t="s">
        <v>58</v>
      </c>
      <c r="H422" s="8" t="s">
        <v>2954</v>
      </c>
      <c r="I422" s="8" t="s">
        <v>7070</v>
      </c>
      <c r="J422" s="8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s="8" t="s">
        <v>4221</v>
      </c>
      <c r="E423" s="8" t="s">
        <v>86</v>
      </c>
      <c r="F423" s="8" t="s">
        <v>2962</v>
      </c>
      <c r="H423" s="8" t="s">
        <v>1620</v>
      </c>
      <c r="I423" s="8" t="s">
        <v>7073</v>
      </c>
      <c r="J423" s="8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s="8" t="s">
        <v>4221</v>
      </c>
      <c r="E424" s="8" t="s">
        <v>86</v>
      </c>
      <c r="F424" s="8" t="s">
        <v>2962</v>
      </c>
      <c r="H424" s="8" t="s">
        <v>2936</v>
      </c>
      <c r="I424" s="8" t="s">
        <v>7076</v>
      </c>
      <c r="J424" s="8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s="8" t="s">
        <v>4221</v>
      </c>
      <c r="E425" s="8" t="s">
        <v>86</v>
      </c>
      <c r="F425" s="8" t="s">
        <v>2962</v>
      </c>
      <c r="H425" s="8" t="s">
        <v>2936</v>
      </c>
      <c r="I425" s="8" t="s">
        <v>7079</v>
      </c>
      <c r="J425" s="8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s="8" t="s">
        <v>533</v>
      </c>
      <c r="E426" s="8" t="s">
        <v>531</v>
      </c>
      <c r="F426" s="8" t="s">
        <v>7169</v>
      </c>
      <c r="H426" s="8" t="s">
        <v>6339</v>
      </c>
      <c r="I426" s="8" t="s">
        <v>7082</v>
      </c>
      <c r="J426" s="8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s="8" t="s">
        <v>533</v>
      </c>
      <c r="E427" s="8" t="s">
        <v>531</v>
      </c>
      <c r="F427" s="8" t="s">
        <v>58</v>
      </c>
      <c r="H427" s="8" t="s">
        <v>2954</v>
      </c>
      <c r="I427" s="8" t="s">
        <v>7085</v>
      </c>
      <c r="J427" s="8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s="8" t="s">
        <v>533</v>
      </c>
      <c r="E428" s="8" t="s">
        <v>531</v>
      </c>
      <c r="F428" s="8" t="s">
        <v>58</v>
      </c>
      <c r="H428" s="8" t="s">
        <v>2936</v>
      </c>
      <c r="I428" s="8" t="s">
        <v>7088</v>
      </c>
      <c r="J428" s="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s="8" t="s">
        <v>533</v>
      </c>
      <c r="E429" s="8" t="s">
        <v>531</v>
      </c>
      <c r="F429" s="8" t="s">
        <v>58</v>
      </c>
      <c r="H429" s="8" t="s">
        <v>2954</v>
      </c>
      <c r="I429" s="8" t="s">
        <v>7091</v>
      </c>
      <c r="J429" s="8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s="8" t="s">
        <v>533</v>
      </c>
      <c r="E430" s="8" t="s">
        <v>531</v>
      </c>
      <c r="F430" s="8" t="s">
        <v>7168</v>
      </c>
      <c r="H430" s="8" t="s">
        <v>4236</v>
      </c>
      <c r="I430" s="8" t="s">
        <v>7094</v>
      </c>
      <c r="J430" s="8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s="8" t="s">
        <v>533</v>
      </c>
      <c r="E431" s="8" t="s">
        <v>531</v>
      </c>
      <c r="F431" s="8" t="s">
        <v>3076</v>
      </c>
      <c r="H431" s="8" t="s">
        <v>4236</v>
      </c>
      <c r="I431" s="8" t="s">
        <v>7097</v>
      </c>
      <c r="J431" s="8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s="8" t="s">
        <v>4</v>
      </c>
      <c r="E432" s="8" t="s">
        <v>8</v>
      </c>
      <c r="F432" s="8"/>
      <c r="H432" s="8"/>
      <c r="I432" s="8" t="s">
        <v>7100</v>
      </c>
      <c r="J432" s="8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s="8" t="s">
        <v>2004</v>
      </c>
      <c r="E433" s="8" t="s">
        <v>8</v>
      </c>
      <c r="F433" s="8"/>
      <c r="H433" s="8"/>
      <c r="I433" s="8" t="s">
        <v>7103</v>
      </c>
      <c r="J433" s="8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s="8" t="s">
        <v>2004</v>
      </c>
      <c r="E434" s="8" t="s">
        <v>8</v>
      </c>
      <c r="F434" s="8"/>
      <c r="H434" s="8"/>
      <c r="I434" s="8" t="s">
        <v>7202</v>
      </c>
      <c r="J434" s="8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s="8" t="s">
        <v>2004</v>
      </c>
      <c r="E435" s="8" t="s">
        <v>8</v>
      </c>
      <c r="F435" s="8"/>
      <c r="H435" s="8"/>
      <c r="I435" s="8" t="s">
        <v>7299</v>
      </c>
      <c r="J435" s="8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s="8" t="s">
        <v>2004</v>
      </c>
      <c r="E436" s="8" t="s">
        <v>8</v>
      </c>
      <c r="F436" s="8"/>
      <c r="H436" s="8"/>
      <c r="I436" s="8" t="s">
        <v>7302</v>
      </c>
      <c r="J436" s="8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s="8" t="s">
        <v>2004</v>
      </c>
      <c r="E437" s="8" t="s">
        <v>8</v>
      </c>
      <c r="F437" s="8"/>
      <c r="H437" s="8"/>
      <c r="I437" s="8" t="s">
        <v>7490</v>
      </c>
      <c r="J437" s="8" t="s">
        <v>2985</v>
      </c>
      <c r="K437" t="s">
        <v>7491</v>
      </c>
      <c r="L437" t="s">
        <v>7492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s="8" t="s">
        <v>7711</v>
      </c>
      <c r="E438" s="8" t="s">
        <v>1607</v>
      </c>
      <c r="F438" s="8"/>
      <c r="H438" s="8"/>
      <c r="I438" s="8" t="s">
        <v>7493</v>
      </c>
      <c r="J438" s="8" t="s">
        <v>2985</v>
      </c>
      <c r="K438" t="s">
        <v>7494</v>
      </c>
      <c r="L438" t="s">
        <v>7495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s="8" t="s">
        <v>7711</v>
      </c>
      <c r="E439" s="8" t="s">
        <v>1607</v>
      </c>
      <c r="F439" s="8"/>
      <c r="H439" s="8"/>
      <c r="I439" s="8" t="s">
        <v>7496</v>
      </c>
      <c r="J439" s="8" t="s">
        <v>2985</v>
      </c>
      <c r="K439" t="s">
        <v>7497</v>
      </c>
      <c r="L439" t="s">
        <v>7498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s="8" t="s">
        <v>2004</v>
      </c>
      <c r="E440" s="8" t="s">
        <v>8</v>
      </c>
      <c r="F440" s="8"/>
      <c r="H440" s="8"/>
      <c r="I440" s="8" t="s">
        <v>7499</v>
      </c>
      <c r="J440" s="8" t="s">
        <v>2985</v>
      </c>
      <c r="K440" t="s">
        <v>7500</v>
      </c>
      <c r="L440" t="s">
        <v>7501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s="8" t="s">
        <v>289</v>
      </c>
      <c r="E441" s="8" t="s">
        <v>70</v>
      </c>
      <c r="F441" s="8" t="s">
        <v>58</v>
      </c>
      <c r="H441" s="8" t="s">
        <v>1618</v>
      </c>
      <c r="I441" s="8" t="s">
        <v>7502</v>
      </c>
      <c r="J441" s="8" t="s">
        <v>2985</v>
      </c>
      <c r="K441" t="s">
        <v>7503</v>
      </c>
      <c r="L441" t="s">
        <v>7504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s="8" t="s">
        <v>289</v>
      </c>
      <c r="E442" s="8" t="s">
        <v>70</v>
      </c>
      <c r="F442" s="8" t="s">
        <v>58</v>
      </c>
      <c r="H442" s="8" t="s">
        <v>2936</v>
      </c>
      <c r="I442" s="8" t="s">
        <v>7505</v>
      </c>
      <c r="J442" s="8" t="s">
        <v>2985</v>
      </c>
      <c r="K442" t="s">
        <v>7506</v>
      </c>
      <c r="L442" t="s">
        <v>7507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s="8" t="s">
        <v>289</v>
      </c>
      <c r="E443" s="8" t="s">
        <v>70</v>
      </c>
      <c r="F443" s="8" t="s">
        <v>58</v>
      </c>
      <c r="H443" s="8" t="s">
        <v>2936</v>
      </c>
      <c r="I443" s="8" t="s">
        <v>7508</v>
      </c>
      <c r="J443" s="8" t="s">
        <v>2985</v>
      </c>
      <c r="K443" t="s">
        <v>7509</v>
      </c>
      <c r="L443" t="s">
        <v>7510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s="8" t="s">
        <v>289</v>
      </c>
      <c r="E444" s="8" t="s">
        <v>70</v>
      </c>
      <c r="F444" s="8" t="s">
        <v>58</v>
      </c>
      <c r="H444" s="8" t="s">
        <v>2936</v>
      </c>
      <c r="I444" s="8" t="s">
        <v>7511</v>
      </c>
      <c r="J444" s="8" t="s">
        <v>2985</v>
      </c>
      <c r="K444" t="s">
        <v>7512</v>
      </c>
      <c r="L444" t="s">
        <v>7513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s="8" t="s">
        <v>289</v>
      </c>
      <c r="E445" s="8" t="s">
        <v>70</v>
      </c>
      <c r="F445" s="8" t="s">
        <v>58</v>
      </c>
      <c r="H445" s="8" t="s">
        <v>2936</v>
      </c>
      <c r="I445" s="8" t="s">
        <v>7514</v>
      </c>
      <c r="J445" s="8" t="s">
        <v>2985</v>
      </c>
      <c r="K445" t="s">
        <v>7515</v>
      </c>
      <c r="L445" t="s">
        <v>7516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s="8" t="s">
        <v>650</v>
      </c>
      <c r="E446" s="8" t="s">
        <v>70</v>
      </c>
      <c r="F446" s="8" t="s">
        <v>58</v>
      </c>
      <c r="H446" s="8"/>
      <c r="I446" s="8" t="s">
        <v>7517</v>
      </c>
      <c r="J446" s="8" t="s">
        <v>2985</v>
      </c>
      <c r="K446" t="s">
        <v>7518</v>
      </c>
      <c r="L446" t="s">
        <v>7519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s="8" t="s">
        <v>7712</v>
      </c>
      <c r="E447" s="8" t="s">
        <v>531</v>
      </c>
      <c r="F447" s="8"/>
      <c r="H447" s="8"/>
      <c r="I447" s="8" t="s">
        <v>7520</v>
      </c>
      <c r="J447" s="8" t="s">
        <v>2985</v>
      </c>
      <c r="K447" t="s">
        <v>7521</v>
      </c>
      <c r="L447" t="s">
        <v>7522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s="8" t="s">
        <v>4223</v>
      </c>
      <c r="E448" s="8" t="s">
        <v>86</v>
      </c>
      <c r="F448" s="8" t="s">
        <v>7713</v>
      </c>
      <c r="H448" s="8"/>
      <c r="I448" s="8" t="s">
        <v>7523</v>
      </c>
      <c r="J448" s="8" t="s">
        <v>2985</v>
      </c>
      <c r="K448" t="s">
        <v>7524</v>
      </c>
      <c r="L448" t="s">
        <v>7525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s="8" t="s">
        <v>4223</v>
      </c>
      <c r="E449" s="8" t="s">
        <v>86</v>
      </c>
      <c r="F449" s="8" t="s">
        <v>7713</v>
      </c>
      <c r="H449" s="8" t="s">
        <v>2936</v>
      </c>
      <c r="I449" s="8" t="s">
        <v>7526</v>
      </c>
      <c r="J449" s="8" t="s">
        <v>2985</v>
      </c>
      <c r="K449" t="s">
        <v>7527</v>
      </c>
      <c r="L449" t="s">
        <v>7528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s="8" t="s">
        <v>4223</v>
      </c>
      <c r="E450" s="8" t="s">
        <v>86</v>
      </c>
      <c r="F450" s="8" t="s">
        <v>7713</v>
      </c>
      <c r="H450" s="8"/>
      <c r="I450" s="8" t="s">
        <v>7529</v>
      </c>
      <c r="J450" s="8" t="s">
        <v>2985</v>
      </c>
      <c r="K450" t="s">
        <v>7530</v>
      </c>
      <c r="L450" t="s">
        <v>7531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s="8" t="s">
        <v>2004</v>
      </c>
      <c r="E451" s="8" t="s">
        <v>8</v>
      </c>
      <c r="F451" s="8"/>
      <c r="H451" s="8"/>
      <c r="I451" s="8" t="s">
        <v>7532</v>
      </c>
      <c r="J451" s="8" t="s">
        <v>2985</v>
      </c>
      <c r="K451" t="s">
        <v>7533</v>
      </c>
      <c r="L451" t="s">
        <v>7534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s="8" t="s">
        <v>2004</v>
      </c>
      <c r="E452" s="8" t="s">
        <v>8</v>
      </c>
      <c r="F452" s="8"/>
      <c r="H452" s="8"/>
      <c r="I452" s="8" t="s">
        <v>7535</v>
      </c>
      <c r="J452" s="8" t="s">
        <v>2985</v>
      </c>
      <c r="K452" t="s">
        <v>7536</v>
      </c>
      <c r="L452" t="s">
        <v>7537</v>
      </c>
      <c r="M452" s="3" t="str">
        <f>HYPERLINK(склад2въезд131920212223[[#This Row],[RelativePath]])</f>
        <v>10 Сушилка навес\E33149364_3_20251225T165820Z.jpg</v>
      </c>
    </row>
    <row r="453" spans="1:13" x14ac:dyDescent="0.25">
      <c r="A453" s="2" t="s">
        <v>17</v>
      </c>
      <c r="B453" s="4">
        <v>46017</v>
      </c>
      <c r="C453" s="5">
        <v>0.67009259259259257</v>
      </c>
      <c r="D453" s="8" t="s">
        <v>2004</v>
      </c>
      <c r="E453" s="8" t="s">
        <v>8</v>
      </c>
      <c r="F453" s="8"/>
      <c r="H453" s="8"/>
      <c r="I453" s="8" t="s">
        <v>7744</v>
      </c>
      <c r="J453" s="8" t="s">
        <v>2985</v>
      </c>
      <c r="K453" t="s">
        <v>7745</v>
      </c>
      <c r="L453" t="s">
        <v>7746</v>
      </c>
      <c r="M453" s="3" t="str">
        <f>HYPERLINK(склад2въезд131920212223[[#This Row],[RelativePath]])</f>
        <v>10 Сушилка навес\E33149364_3_20251226T160456Z.jpg</v>
      </c>
    </row>
    <row r="454" spans="1:13" x14ac:dyDescent="0.25">
      <c r="A454" s="2" t="s">
        <v>18</v>
      </c>
      <c r="B454" s="4">
        <v>46018</v>
      </c>
      <c r="C454" s="5">
        <v>0.59619212962962964</v>
      </c>
      <c r="D454" s="8" t="s">
        <v>1606</v>
      </c>
      <c r="E454" s="8" t="s">
        <v>6656</v>
      </c>
      <c r="F454" s="8" t="s">
        <v>5076</v>
      </c>
      <c r="H454" s="8"/>
      <c r="I454" s="8" t="s">
        <v>8028</v>
      </c>
      <c r="J454" s="8" t="s">
        <v>2985</v>
      </c>
      <c r="K454" t="s">
        <v>8029</v>
      </c>
      <c r="L454" t="s">
        <v>8030</v>
      </c>
      <c r="M454" s="3" t="str">
        <f>HYPERLINK(склад2въезд131920212223[[#This Row],[RelativePath]])</f>
        <v>10 Сушилка навес\E33149364_3_20251227T141831Z.jpg</v>
      </c>
    </row>
    <row r="455" spans="1:13" x14ac:dyDescent="0.25">
      <c r="A455" s="2" t="s">
        <v>18</v>
      </c>
      <c r="B455" s="4">
        <v>46018</v>
      </c>
      <c r="C455" s="5">
        <v>0.59634259259259259</v>
      </c>
      <c r="D455" s="8" t="s">
        <v>8042</v>
      </c>
      <c r="E455" s="8" t="s">
        <v>6656</v>
      </c>
      <c r="F455" s="8" t="s">
        <v>5076</v>
      </c>
      <c r="H455" s="8" t="s">
        <v>8052</v>
      </c>
      <c r="I455" s="8" t="s">
        <v>8031</v>
      </c>
      <c r="J455" s="8" t="s">
        <v>2985</v>
      </c>
      <c r="K455" t="s">
        <v>8032</v>
      </c>
      <c r="L455" t="s">
        <v>8033</v>
      </c>
      <c r="M455" s="3" t="str">
        <f>HYPERLINK(склад2въезд131920212223[[#This Row],[RelativePath]])</f>
        <v>10 Сушилка навес\E33149364_3_20251227T141844Z.jpg</v>
      </c>
    </row>
    <row r="456" spans="1:13" x14ac:dyDescent="0.25">
      <c r="A456" s="2" t="s">
        <v>18</v>
      </c>
      <c r="B456" s="4">
        <v>46018</v>
      </c>
      <c r="C456" s="5">
        <v>0.60803240740740738</v>
      </c>
      <c r="D456" s="8" t="s">
        <v>650</v>
      </c>
      <c r="E456" s="8" t="s">
        <v>6656</v>
      </c>
      <c r="F456" s="8" t="s">
        <v>5076</v>
      </c>
      <c r="H456" s="8"/>
      <c r="I456" s="8" t="s">
        <v>8034</v>
      </c>
      <c r="J456" s="8" t="s">
        <v>2985</v>
      </c>
      <c r="K456" t="s">
        <v>8035</v>
      </c>
      <c r="L456" t="s">
        <v>8036</v>
      </c>
      <c r="M456" s="3" t="str">
        <f>HYPERLINK(склад2въезд131920212223[[#This Row],[RelativePath]])</f>
        <v>10 Сушилка навес\E33149364_3_20251227T143534Z.jpg</v>
      </c>
    </row>
    <row r="457" spans="1:13" x14ac:dyDescent="0.25">
      <c r="A457" s="2" t="s">
        <v>22</v>
      </c>
      <c r="B457" s="4">
        <v>46019</v>
      </c>
      <c r="C457" s="5">
        <v>0.6990277777777778</v>
      </c>
      <c r="D457" s="8" t="s">
        <v>4</v>
      </c>
      <c r="E457" s="8" t="s">
        <v>1607</v>
      </c>
      <c r="F457" s="8" t="s">
        <v>8053</v>
      </c>
      <c r="H457" s="8"/>
      <c r="I457" s="8" t="s">
        <v>8037</v>
      </c>
      <c r="J457" s="8" t="s">
        <v>2985</v>
      </c>
      <c r="K457" t="s">
        <v>8038</v>
      </c>
      <c r="L457" t="s">
        <v>8039</v>
      </c>
      <c r="M457" s="3" t="str">
        <f>HYPERLINK(склад2въезд131920212223[[#This Row],[RelativePath]])</f>
        <v>10 Сушилка навес\E33149364_3_20251228T164636Z.jpg</v>
      </c>
    </row>
    <row r="458" spans="1:13" x14ac:dyDescent="0.25">
      <c r="A458" s="2" t="s">
        <v>13</v>
      </c>
      <c r="B458" s="4">
        <v>46020</v>
      </c>
      <c r="C458" s="5">
        <v>0.50363425925925931</v>
      </c>
      <c r="D458" s="8" t="s">
        <v>1606</v>
      </c>
      <c r="E458" s="8" t="s">
        <v>70</v>
      </c>
      <c r="F458" s="8"/>
      <c r="H458" s="8"/>
      <c r="I458" s="8" t="s">
        <v>8198</v>
      </c>
      <c r="J458" s="8" t="s">
        <v>2985</v>
      </c>
      <c r="K458" t="s">
        <v>8199</v>
      </c>
      <c r="L458" t="s">
        <v>8200</v>
      </c>
      <c r="M458" s="3" t="str">
        <f>HYPERLINK(склад2въезд131920212223[[#This Row],[RelativePath]])</f>
        <v>10 Сушилка навес\E33149364_3_20251229T120514Z.jpg</v>
      </c>
    </row>
    <row r="459" spans="1:13" x14ac:dyDescent="0.25">
      <c r="A459" s="2" t="s">
        <v>13</v>
      </c>
      <c r="B459" s="4">
        <v>46020</v>
      </c>
      <c r="C459" s="5">
        <v>0.51174768518518521</v>
      </c>
      <c r="D459" s="8" t="s">
        <v>290</v>
      </c>
      <c r="E459" s="8" t="s">
        <v>70</v>
      </c>
      <c r="F459" s="8" t="s">
        <v>5093</v>
      </c>
      <c r="H459" s="8" t="s">
        <v>2949</v>
      </c>
      <c r="I459" s="8" t="s">
        <v>8201</v>
      </c>
      <c r="J459" s="8" t="s">
        <v>2985</v>
      </c>
      <c r="K459" t="s">
        <v>8202</v>
      </c>
      <c r="L459" t="s">
        <v>8203</v>
      </c>
      <c r="M459" s="3" t="str">
        <f>HYPERLINK(склад2въезд131920212223[[#This Row],[RelativePath]])</f>
        <v>10 Сушилка навес\E33149364_3_20251229T121655Z.jpg</v>
      </c>
    </row>
    <row r="460" spans="1:13" x14ac:dyDescent="0.25">
      <c r="A460" s="2" t="s">
        <v>13</v>
      </c>
      <c r="B460" s="4">
        <v>46020</v>
      </c>
      <c r="C460" s="5">
        <v>0.51180555555555551</v>
      </c>
      <c r="D460" s="8" t="s">
        <v>290</v>
      </c>
      <c r="E460" s="8" t="s">
        <v>70</v>
      </c>
      <c r="F460" s="8" t="s">
        <v>5093</v>
      </c>
      <c r="H460" s="8" t="s">
        <v>2949</v>
      </c>
      <c r="I460" s="8" t="s">
        <v>8204</v>
      </c>
      <c r="J460" s="8" t="s">
        <v>2985</v>
      </c>
      <c r="K460" t="s">
        <v>8205</v>
      </c>
      <c r="L460" t="s">
        <v>8206</v>
      </c>
      <c r="M460" s="3" t="str">
        <f>HYPERLINK(склад2въезд131920212223[[#This Row],[RelativePath]])</f>
        <v>10 Сушилка навес\E33149364_3_20251229T121700Z.jpg</v>
      </c>
    </row>
    <row r="461" spans="1:13" x14ac:dyDescent="0.25">
      <c r="A461" s="2" t="s">
        <v>13</v>
      </c>
      <c r="B461" s="4">
        <v>46020</v>
      </c>
      <c r="C461" s="5">
        <v>0.5133564814814815</v>
      </c>
      <c r="D461" s="8" t="s">
        <v>290</v>
      </c>
      <c r="E461" s="8" t="s">
        <v>70</v>
      </c>
      <c r="F461" s="8" t="s">
        <v>5093</v>
      </c>
      <c r="H461" s="8" t="s">
        <v>2949</v>
      </c>
      <c r="I461" s="8" t="s">
        <v>8207</v>
      </c>
      <c r="J461" s="8" t="s">
        <v>2985</v>
      </c>
      <c r="K461" t="s">
        <v>8208</v>
      </c>
      <c r="L461" t="s">
        <v>8209</v>
      </c>
      <c r="M461" s="3" t="str">
        <f>HYPERLINK(склад2въезд131920212223[[#This Row],[RelativePath]])</f>
        <v>10 Сушилка навес\E33149364_3_20251229T121914Z.jpg</v>
      </c>
    </row>
    <row r="462" spans="1:13" x14ac:dyDescent="0.25">
      <c r="A462" s="2" t="s">
        <v>13</v>
      </c>
      <c r="B462" s="4">
        <v>46020</v>
      </c>
      <c r="C462" s="5">
        <v>0.51724537037037033</v>
      </c>
      <c r="D462" s="8" t="s">
        <v>650</v>
      </c>
      <c r="E462" s="8" t="s">
        <v>70</v>
      </c>
      <c r="F462" s="8"/>
      <c r="H462" s="8"/>
      <c r="I462" s="8" t="s">
        <v>8210</v>
      </c>
      <c r="J462" s="8" t="s">
        <v>2985</v>
      </c>
      <c r="K462" t="s">
        <v>8211</v>
      </c>
      <c r="L462" t="s">
        <v>8212</v>
      </c>
      <c r="M462" s="3" t="str">
        <f>HYPERLINK(склад2въезд131920212223[[#This Row],[RelativePath]])</f>
        <v>10 Сушилка навес\E33149364_3_20251229T122450Z.jpg</v>
      </c>
    </row>
    <row r="463" spans="1:13" x14ac:dyDescent="0.25">
      <c r="A463" s="2" t="s">
        <v>13</v>
      </c>
      <c r="B463" s="4">
        <v>46020</v>
      </c>
      <c r="C463" s="5">
        <v>0.55249999999999999</v>
      </c>
      <c r="D463" s="8" t="s">
        <v>533</v>
      </c>
      <c r="E463" s="8" t="s">
        <v>531</v>
      </c>
      <c r="F463" s="8" t="s">
        <v>8350</v>
      </c>
      <c r="H463" s="8"/>
      <c r="I463" s="8" t="s">
        <v>8213</v>
      </c>
      <c r="J463" s="8" t="s">
        <v>2985</v>
      </c>
      <c r="K463" t="s">
        <v>8214</v>
      </c>
      <c r="L463" t="s">
        <v>8215</v>
      </c>
      <c r="M463" s="3" t="str">
        <f>HYPERLINK(склад2въезд131920212223[[#This Row],[RelativePath]])</f>
        <v>10 Сушилка навес\E33149364_3_20251229T131536Z.jpg</v>
      </c>
    </row>
    <row r="464" spans="1:13" x14ac:dyDescent="0.25">
      <c r="A464" s="2" t="s">
        <v>13</v>
      </c>
      <c r="B464" s="4">
        <v>46020</v>
      </c>
      <c r="C464" s="5">
        <v>0.58472222222222225</v>
      </c>
      <c r="D464" s="8" t="s">
        <v>4</v>
      </c>
      <c r="E464" s="8" t="s">
        <v>531</v>
      </c>
      <c r="F464" s="8"/>
      <c r="H464" s="8"/>
      <c r="I464" s="8" t="s">
        <v>8216</v>
      </c>
      <c r="J464" s="8" t="s">
        <v>2985</v>
      </c>
      <c r="K464" t="s">
        <v>8217</v>
      </c>
      <c r="L464" t="s">
        <v>8218</v>
      </c>
      <c r="M464" s="3" t="str">
        <f>HYPERLINK(склад2въезд131920212223[[#This Row],[RelativePath]])</f>
        <v>10 Сушилка навес\E33149364_3_20251229T140200Z.jpg</v>
      </c>
    </row>
    <row r="465" spans="1:13" x14ac:dyDescent="0.25">
      <c r="A465" s="2" t="s">
        <v>13</v>
      </c>
      <c r="B465" s="4">
        <v>46020</v>
      </c>
      <c r="C465" s="5">
        <v>0.5873032407407407</v>
      </c>
      <c r="D465" s="8" t="s">
        <v>4</v>
      </c>
      <c r="E465" s="8" t="s">
        <v>8351</v>
      </c>
      <c r="F465" s="8"/>
      <c r="H465" s="8"/>
      <c r="I465" s="8" t="s">
        <v>8219</v>
      </c>
      <c r="J465" s="8" t="s">
        <v>2985</v>
      </c>
      <c r="K465" t="s">
        <v>8220</v>
      </c>
      <c r="L465" t="s">
        <v>8221</v>
      </c>
      <c r="M465" s="3" t="str">
        <f>HYPERLINK(склад2въезд131920212223[[#This Row],[RelativePath]])</f>
        <v>10 Сушилка навес\E33149364_3_20251229T140543Z.jpg</v>
      </c>
    </row>
    <row r="466" spans="1:13" x14ac:dyDescent="0.25">
      <c r="A466" s="2" t="s">
        <v>13</v>
      </c>
      <c r="B466" s="4">
        <v>46020</v>
      </c>
      <c r="C466" s="5">
        <v>0.59174768518518517</v>
      </c>
      <c r="D466" s="8" t="s">
        <v>4</v>
      </c>
      <c r="E466" s="8" t="s">
        <v>8351</v>
      </c>
      <c r="F466" s="8"/>
      <c r="H466" s="8"/>
      <c r="I466" s="8" t="s">
        <v>8222</v>
      </c>
      <c r="J466" s="8" t="s">
        <v>2985</v>
      </c>
      <c r="K466" t="s">
        <v>8223</v>
      </c>
      <c r="L466" t="s">
        <v>8224</v>
      </c>
      <c r="M466" s="3" t="str">
        <f>HYPERLINK(склад2въезд131920212223[[#This Row],[RelativePath]])</f>
        <v>10 Сушилка навес\E33149364_3_20251229T141207Z.jpg</v>
      </c>
    </row>
    <row r="467" spans="1:13" x14ac:dyDescent="0.25">
      <c r="A467" s="2" t="s">
        <v>13</v>
      </c>
      <c r="B467" s="4">
        <v>46020</v>
      </c>
      <c r="C467" s="5">
        <v>0.64571759259259254</v>
      </c>
      <c r="D467" s="8" t="s">
        <v>4</v>
      </c>
      <c r="E467" s="8" t="s">
        <v>8353</v>
      </c>
      <c r="F467" s="8"/>
      <c r="H467" s="8"/>
      <c r="I467" s="8" t="s">
        <v>8225</v>
      </c>
      <c r="J467" s="8" t="s">
        <v>2985</v>
      </c>
      <c r="K467" t="s">
        <v>8226</v>
      </c>
      <c r="L467" t="s">
        <v>8227</v>
      </c>
      <c r="M467" s="3" t="str">
        <f>HYPERLINK(склад2въезд131920212223[[#This Row],[RelativePath]])</f>
        <v>10 Сушилка навес\E33149364_3_20251229T152950Z.jpg</v>
      </c>
    </row>
    <row r="468" spans="1:13" x14ac:dyDescent="0.25">
      <c r="A468" s="2" t="s">
        <v>13</v>
      </c>
      <c r="B468" s="4">
        <v>46020</v>
      </c>
      <c r="C468" s="5">
        <v>0.64688657407407413</v>
      </c>
      <c r="D468" s="8" t="s">
        <v>289</v>
      </c>
      <c r="E468" s="8" t="s">
        <v>8352</v>
      </c>
      <c r="F468" s="8" t="s">
        <v>1621</v>
      </c>
      <c r="H468" s="8"/>
      <c r="I468" s="8" t="s">
        <v>8228</v>
      </c>
      <c r="J468" s="8" t="s">
        <v>2985</v>
      </c>
      <c r="K468" t="s">
        <v>8229</v>
      </c>
      <c r="L468" t="s">
        <v>8230</v>
      </c>
      <c r="M468" s="3" t="str">
        <f>HYPERLINK(склад2въезд131920212223[[#This Row],[RelativePath]])</f>
        <v>10 Сушилка навес\E33149364_3_20251229T153131Z.jpg</v>
      </c>
    </row>
    <row r="469" spans="1:13" x14ac:dyDescent="0.25">
      <c r="A469" s="2" t="s">
        <v>13</v>
      </c>
      <c r="B469" s="4">
        <v>46020</v>
      </c>
      <c r="C469" s="5">
        <v>0.66874999999999996</v>
      </c>
      <c r="D469" s="8" t="s">
        <v>4</v>
      </c>
      <c r="E469" s="8" t="s">
        <v>8</v>
      </c>
      <c r="F469" s="8"/>
      <c r="H469" s="8"/>
      <c r="I469" s="8" t="s">
        <v>8231</v>
      </c>
      <c r="J469" s="8" t="s">
        <v>2985</v>
      </c>
      <c r="K469" t="s">
        <v>8232</v>
      </c>
      <c r="L469" t="s">
        <v>8233</v>
      </c>
      <c r="M469" s="3" t="str">
        <f>HYPERLINK(склад2въезд131920212223[[#This Row],[RelativePath]])</f>
        <v>10 Сушилка навес\E33149364_3_20251229T160300Z.jpg</v>
      </c>
    </row>
    <row r="470" spans="1:13" x14ac:dyDescent="0.25">
      <c r="A470" s="2" t="s">
        <v>13</v>
      </c>
      <c r="B470" s="4">
        <v>46020</v>
      </c>
      <c r="C470" s="5">
        <v>0.70465277777777779</v>
      </c>
      <c r="D470" s="8" t="s">
        <v>4</v>
      </c>
      <c r="E470" s="8" t="s">
        <v>8</v>
      </c>
      <c r="F470" s="8"/>
      <c r="H470" s="8"/>
      <c r="I470" s="8" t="s">
        <v>8234</v>
      </c>
      <c r="J470" s="8" t="s">
        <v>2985</v>
      </c>
      <c r="K470" t="s">
        <v>8235</v>
      </c>
      <c r="L470" t="s">
        <v>8236</v>
      </c>
      <c r="M470" s="3" t="str">
        <f>HYPERLINK(склад2въезд131920212223[[#This Row],[RelativePath]])</f>
        <v>10 Сушилка навес\E33149364_3_20251229T165442Z.jpg</v>
      </c>
    </row>
    <row r="471" spans="1:13" x14ac:dyDescent="0.25">
      <c r="A471" s="2" t="s">
        <v>13</v>
      </c>
      <c r="B471" s="4">
        <v>46020</v>
      </c>
      <c r="C471" s="5">
        <v>0.72060185185185188</v>
      </c>
      <c r="D471" s="8" t="s">
        <v>4</v>
      </c>
      <c r="E471" s="8" t="s">
        <v>8</v>
      </c>
      <c r="F471" s="8"/>
      <c r="H471" s="8"/>
      <c r="I471" s="8" t="s">
        <v>8237</v>
      </c>
      <c r="J471" s="8" t="s">
        <v>2985</v>
      </c>
      <c r="K471" t="s">
        <v>8238</v>
      </c>
      <c r="L471" t="s">
        <v>8239</v>
      </c>
      <c r="M471" s="3" t="str">
        <f>HYPERLINK(склад2въезд131920212223[[#This Row],[RelativePath]])</f>
        <v>10 Сушилка навес\E33149364_3_20251229T171740Z.jpg</v>
      </c>
    </row>
    <row r="472" spans="1:13" x14ac:dyDescent="0.25">
      <c r="A472" s="2" t="s">
        <v>14</v>
      </c>
      <c r="B472" s="4">
        <v>46021</v>
      </c>
      <c r="C472" s="5">
        <v>0.58172453703703708</v>
      </c>
      <c r="D472" s="8" t="s">
        <v>1606</v>
      </c>
      <c r="E472" s="8" t="s">
        <v>70</v>
      </c>
      <c r="F472" s="8"/>
      <c r="H472" s="8"/>
      <c r="I472" s="8" t="s">
        <v>8240</v>
      </c>
      <c r="J472" s="8" t="s">
        <v>2985</v>
      </c>
      <c r="K472" t="s">
        <v>8241</v>
      </c>
      <c r="L472" t="s">
        <v>8242</v>
      </c>
      <c r="M472" s="3" t="str">
        <f>HYPERLINK(склад2въезд131920212223[[#This Row],[RelativePath]])</f>
        <v>10 Сушилка навес\E33149364_3_20251230T135741Z.jpg</v>
      </c>
    </row>
    <row r="473" spans="1:13" x14ac:dyDescent="0.25">
      <c r="A473" s="2" t="s">
        <v>14</v>
      </c>
      <c r="B473" s="4">
        <v>46021</v>
      </c>
      <c r="C473" s="5">
        <v>0.58225694444444442</v>
      </c>
      <c r="D473" s="8" t="s">
        <v>290</v>
      </c>
      <c r="E473" s="8" t="s">
        <v>70</v>
      </c>
      <c r="F473" s="8" t="s">
        <v>5093</v>
      </c>
      <c r="H473" s="8"/>
      <c r="I473" s="8" t="s">
        <v>8243</v>
      </c>
      <c r="J473" s="8" t="s">
        <v>2985</v>
      </c>
      <c r="K473" t="s">
        <v>8244</v>
      </c>
      <c r="L473" t="s">
        <v>8245</v>
      </c>
      <c r="M473" s="3" t="str">
        <f>HYPERLINK(склад2въезд131920212223[[#This Row],[RelativePath]])</f>
        <v>10 Сушилка навес\E33149364_3_20251230T135827Z.jpg</v>
      </c>
    </row>
    <row r="474" spans="1:13" x14ac:dyDescent="0.25">
      <c r="A474" s="2" t="s">
        <v>14</v>
      </c>
      <c r="B474" s="4">
        <v>46021</v>
      </c>
      <c r="C474" s="5">
        <v>0.58259259259259255</v>
      </c>
      <c r="D474" s="8" t="s">
        <v>290</v>
      </c>
      <c r="E474" s="8" t="s">
        <v>70</v>
      </c>
      <c r="F474" s="8" t="s">
        <v>5093</v>
      </c>
      <c r="H474" s="8"/>
      <c r="I474" s="8" t="s">
        <v>8246</v>
      </c>
      <c r="J474" s="8" t="s">
        <v>2985</v>
      </c>
      <c r="K474" t="s">
        <v>8247</v>
      </c>
      <c r="L474" t="s">
        <v>8248</v>
      </c>
      <c r="M474" s="3" t="str">
        <f>HYPERLINK(склад2въезд131920212223[[#This Row],[RelativePath]])</f>
        <v>10 Сушилка навес\E33149364_3_20251230T135856Z.jpg</v>
      </c>
    </row>
    <row r="475" spans="1:13" x14ac:dyDescent="0.25">
      <c r="A475" s="2" t="s">
        <v>14</v>
      </c>
      <c r="B475" s="4">
        <v>46021</v>
      </c>
      <c r="C475" s="5">
        <v>0.58275462962962965</v>
      </c>
      <c r="D475" s="8" t="s">
        <v>290</v>
      </c>
      <c r="E475" s="8" t="s">
        <v>70</v>
      </c>
      <c r="F475" s="8" t="s">
        <v>5093</v>
      </c>
      <c r="H475" s="8"/>
      <c r="I475" s="8" t="s">
        <v>8249</v>
      </c>
      <c r="J475" s="8" t="s">
        <v>2985</v>
      </c>
      <c r="K475" t="s">
        <v>8250</v>
      </c>
      <c r="L475" t="s">
        <v>8251</v>
      </c>
      <c r="M475" s="3" t="str">
        <f>HYPERLINK(склад2въезд131920212223[[#This Row],[RelativePath]])</f>
        <v>10 Сушилка навес\E33149364_3_20251230T135910Z.jpg</v>
      </c>
    </row>
    <row r="476" spans="1:13" x14ac:dyDescent="0.25">
      <c r="A476" s="2" t="s">
        <v>14</v>
      </c>
      <c r="B476" s="4">
        <v>46021</v>
      </c>
      <c r="C476" s="5">
        <v>0.58341435185185186</v>
      </c>
      <c r="D476" s="8" t="s">
        <v>650</v>
      </c>
      <c r="E476" s="8" t="s">
        <v>70</v>
      </c>
      <c r="F476" s="8"/>
      <c r="H476" s="8"/>
      <c r="I476" s="8" t="s">
        <v>8252</v>
      </c>
      <c r="J476" s="8" t="s">
        <v>2985</v>
      </c>
      <c r="K476" t="s">
        <v>8253</v>
      </c>
      <c r="L476" t="s">
        <v>8254</v>
      </c>
      <c r="M476" s="3" t="str">
        <f>HYPERLINK(склад2въезд131920212223[[#This Row],[RelativePath]])</f>
        <v>10 Сушилка навес\E33149364_3_20251230T140007Z.jpg</v>
      </c>
    </row>
    <row r="477" spans="1:13" x14ac:dyDescent="0.25">
      <c r="A477" s="2" t="s">
        <v>14</v>
      </c>
      <c r="B477" s="4">
        <v>46021</v>
      </c>
      <c r="C477" s="5">
        <v>0.64958333333333329</v>
      </c>
      <c r="D477" s="8" t="s">
        <v>1606</v>
      </c>
      <c r="E477" s="8" t="s">
        <v>8354</v>
      </c>
      <c r="F477" s="8"/>
      <c r="H477" s="8" t="s">
        <v>8355</v>
      </c>
      <c r="I477" s="8" t="s">
        <v>8255</v>
      </c>
      <c r="J477" s="8" t="s">
        <v>2985</v>
      </c>
      <c r="K477" t="s">
        <v>8256</v>
      </c>
      <c r="L477" t="s">
        <v>8257</v>
      </c>
      <c r="M477" s="3" t="str">
        <f>HYPERLINK(склад2въезд131920212223[[#This Row],[RelativePath]])</f>
        <v>10 Сушилка навес\E33149364_3_20251230T153524Z.jpg</v>
      </c>
    </row>
    <row r="478" spans="1:13" x14ac:dyDescent="0.25">
      <c r="A478" s="2" t="s">
        <v>14</v>
      </c>
      <c r="B478" s="4">
        <v>46021</v>
      </c>
      <c r="C478" s="5">
        <v>0.65531249999999996</v>
      </c>
      <c r="D478" s="8" t="s">
        <v>6171</v>
      </c>
      <c r="E478" s="8" t="s">
        <v>8354</v>
      </c>
      <c r="F478" s="8"/>
      <c r="H478" s="8" t="s">
        <v>8356</v>
      </c>
      <c r="I478" s="8" t="s">
        <v>8258</v>
      </c>
      <c r="J478" s="8" t="s">
        <v>2985</v>
      </c>
      <c r="K478" t="s">
        <v>8259</v>
      </c>
      <c r="L478" t="s">
        <v>8260</v>
      </c>
      <c r="M478" s="3" t="str">
        <f>HYPERLINK(склад2въезд131920212223[[#This Row],[RelativePath]])</f>
        <v>10 Сушилка навес\E33149364_3_20251230T154339Z.jpg</v>
      </c>
    </row>
    <row r="479" spans="1:13" x14ac:dyDescent="0.25">
      <c r="A479" s="2" t="s">
        <v>14</v>
      </c>
      <c r="B479" s="4">
        <v>46021</v>
      </c>
      <c r="C479" s="5">
        <v>0.67981481481481476</v>
      </c>
      <c r="D479" s="8" t="s">
        <v>650</v>
      </c>
      <c r="E479" s="8" t="s">
        <v>8354</v>
      </c>
      <c r="F479" s="8"/>
      <c r="H479" s="8"/>
      <c r="I479" s="8" t="s">
        <v>8261</v>
      </c>
      <c r="J479" s="8" t="s">
        <v>2985</v>
      </c>
      <c r="K479" t="s">
        <v>8262</v>
      </c>
      <c r="L479" t="s">
        <v>8263</v>
      </c>
      <c r="M479" s="3" t="str">
        <f>HYPERLINK(склад2въезд131920212223[[#This Row],[RelativePath]])</f>
        <v>10 Сушилка навес\E33149364_3_20251230T161856Z.jpg</v>
      </c>
    </row>
    <row r="480" spans="1:13" x14ac:dyDescent="0.25">
      <c r="A480" s="2" t="s">
        <v>14</v>
      </c>
      <c r="B480" s="4">
        <v>46021</v>
      </c>
      <c r="C480" s="5">
        <v>0.69195601851851851</v>
      </c>
      <c r="D480" s="8" t="s">
        <v>8357</v>
      </c>
      <c r="E480" s="8" t="s">
        <v>5093</v>
      </c>
      <c r="F480" s="8"/>
      <c r="H480" s="8" t="s">
        <v>8358</v>
      </c>
      <c r="I480" s="8" t="s">
        <v>8264</v>
      </c>
      <c r="J480" s="8" t="s">
        <v>2985</v>
      </c>
      <c r="K480" t="s">
        <v>8265</v>
      </c>
      <c r="L480" t="s">
        <v>8266</v>
      </c>
      <c r="M480" s="3" t="str">
        <f>HYPERLINK(склад2въезд131920212223[[#This Row],[RelativePath]])</f>
        <v>10 Сушилка навес\E33149364_3_20251230T163625Z.jpg</v>
      </c>
    </row>
    <row r="481" spans="1:13" x14ac:dyDescent="0.25">
      <c r="A481" s="2" t="s">
        <v>15</v>
      </c>
      <c r="B481" s="4">
        <v>46022</v>
      </c>
      <c r="C481" s="5">
        <v>0.58023148148148151</v>
      </c>
      <c r="D481" s="8" t="s">
        <v>2004</v>
      </c>
      <c r="E481" s="8" t="s">
        <v>8</v>
      </c>
      <c r="F481" s="8"/>
      <c r="H481" s="8"/>
      <c r="I481" s="8" t="s">
        <v>8267</v>
      </c>
      <c r="J481" s="8" t="s">
        <v>2985</v>
      </c>
      <c r="K481" t="s">
        <v>8268</v>
      </c>
      <c r="L481" t="s">
        <v>8269</v>
      </c>
      <c r="M481" s="3" t="str">
        <f>HYPERLINK(склад2въезд131920212223[[#This Row],[RelativePath]])</f>
        <v>10 Сушилка навес\E33149364_3_20251231T135532Z.jpg</v>
      </c>
    </row>
    <row r="482" spans="1:13" x14ac:dyDescent="0.25">
      <c r="A482" s="2" t="s">
        <v>16</v>
      </c>
      <c r="B482" s="4">
        <v>46023</v>
      </c>
      <c r="C482" s="5">
        <v>0.66334490740740737</v>
      </c>
      <c r="D482" s="8" t="s">
        <v>2004</v>
      </c>
      <c r="E482" s="8" t="s">
        <v>8</v>
      </c>
      <c r="F482" s="8"/>
      <c r="H482" s="8"/>
      <c r="I482" s="8" t="s">
        <v>8270</v>
      </c>
      <c r="J482" s="8" t="s">
        <v>2985</v>
      </c>
      <c r="K482" t="s">
        <v>8271</v>
      </c>
      <c r="L482" t="s">
        <v>8272</v>
      </c>
      <c r="M482" s="3" t="str">
        <f>HYPERLINK(склад2въезд131920212223[[#This Row],[RelativePath]])</f>
        <v>10 Сушилка навес\E33149364_3_20260101T155513Z.jpg</v>
      </c>
    </row>
    <row r="483" spans="1:13" x14ac:dyDescent="0.25">
      <c r="A483" s="2" t="s">
        <v>17</v>
      </c>
      <c r="B483" s="4">
        <v>46024</v>
      </c>
      <c r="C483" s="5">
        <v>0.54982638888888891</v>
      </c>
      <c r="D483" s="8" t="s">
        <v>2004</v>
      </c>
      <c r="E483" s="8" t="s">
        <v>8</v>
      </c>
      <c r="F483" s="8"/>
      <c r="H483" s="8"/>
      <c r="I483" s="8" t="s">
        <v>8438</v>
      </c>
      <c r="J483" s="8" t="s">
        <v>2985</v>
      </c>
      <c r="K483" t="s">
        <v>8439</v>
      </c>
      <c r="L483" t="s">
        <v>8440</v>
      </c>
      <c r="M483" s="3" t="str">
        <f>HYPERLINK(склад2въезд131920212223[[#This Row],[RelativePath]])</f>
        <v>10 Сушилка навес\E33149364_3_20260102T131145Z.jpg</v>
      </c>
    </row>
    <row r="484" spans="1:13" x14ac:dyDescent="0.25">
      <c r="A484" s="2" t="s">
        <v>18</v>
      </c>
      <c r="B484" s="4">
        <v>46025</v>
      </c>
      <c r="C484" s="5">
        <v>0.67645833333333338</v>
      </c>
      <c r="D484" s="8" t="s">
        <v>2004</v>
      </c>
      <c r="E484" s="8" t="s">
        <v>8</v>
      </c>
      <c r="F484" s="8"/>
      <c r="H484" s="8"/>
      <c r="I484" s="8" t="s">
        <v>8441</v>
      </c>
      <c r="J484" s="8" t="s">
        <v>2985</v>
      </c>
      <c r="K484" t="s">
        <v>8442</v>
      </c>
      <c r="L484" t="s">
        <v>8443</v>
      </c>
      <c r="M484" s="3" t="str">
        <f>HYPERLINK(склад2въезд131920212223[[#This Row],[RelativePath]])</f>
        <v>10 Сушилка навес\E33149364_3_20260103T161406Z.jpg</v>
      </c>
    </row>
    <row r="485" spans="1:13" x14ac:dyDescent="0.25">
      <c r="A485" s="2" t="s">
        <v>22</v>
      </c>
      <c r="B485" s="4">
        <v>46026</v>
      </c>
      <c r="C485" s="5">
        <v>0.48237268518518517</v>
      </c>
      <c r="D485" s="8" t="s">
        <v>2004</v>
      </c>
      <c r="E485" s="8" t="s">
        <v>8</v>
      </c>
      <c r="F485" s="8"/>
      <c r="H485" s="8"/>
      <c r="I485" s="8" t="s">
        <v>8444</v>
      </c>
      <c r="J485" s="8" t="s">
        <v>2985</v>
      </c>
      <c r="K485" t="s">
        <v>8445</v>
      </c>
      <c r="L485" t="s">
        <v>8446</v>
      </c>
      <c r="M485" s="3" t="str">
        <f>HYPERLINK(склад2въезд131920212223[[#This Row],[RelativePath]])</f>
        <v>10 Сушилка навес\E33149364_3_20260104T113437Z.jpg</v>
      </c>
    </row>
    <row r="486" spans="1:13" x14ac:dyDescent="0.25">
      <c r="A486" s="2" t="s">
        <v>13</v>
      </c>
      <c r="B486" s="4">
        <v>46027</v>
      </c>
      <c r="C486" s="5">
        <v>0.6650462962962963</v>
      </c>
      <c r="D486" s="8" t="s">
        <v>2004</v>
      </c>
      <c r="E486" s="8" t="s">
        <v>8</v>
      </c>
      <c r="F486" s="8"/>
      <c r="H486" s="8"/>
      <c r="I486" s="8" t="s">
        <v>8703</v>
      </c>
      <c r="J486" s="8" t="s">
        <v>2985</v>
      </c>
      <c r="K486" t="s">
        <v>8704</v>
      </c>
      <c r="L486" t="s">
        <v>8705</v>
      </c>
      <c r="M486" s="3" t="str">
        <f>HYPERLINK(склад2въезд131920212223[[#This Row],[RelativePath]])</f>
        <v>10 Сушилка навес\E33149364_3_20260105T155740Z.jpg</v>
      </c>
    </row>
    <row r="487" spans="1:13" x14ac:dyDescent="0.25">
      <c r="A487" s="2" t="s">
        <v>14</v>
      </c>
      <c r="B487" s="4">
        <v>46028</v>
      </c>
      <c r="C487" s="5">
        <v>0.43192129629629628</v>
      </c>
      <c r="D487" s="8" t="s">
        <v>2004</v>
      </c>
      <c r="E487" s="8" t="s">
        <v>8826</v>
      </c>
      <c r="F487" s="8"/>
      <c r="H487" s="8"/>
      <c r="I487" s="8" t="s">
        <v>8706</v>
      </c>
      <c r="J487" s="8" t="s">
        <v>2985</v>
      </c>
      <c r="K487" t="s">
        <v>8707</v>
      </c>
      <c r="L487" t="s">
        <v>8708</v>
      </c>
      <c r="M487" s="3" t="str">
        <f>HYPERLINK(склад2въезд131920212223[[#This Row],[RelativePath]])</f>
        <v>10 Сушилка навес\E33149364_3_20260106T102158Z.jpg</v>
      </c>
    </row>
    <row r="488" spans="1:13" x14ac:dyDescent="0.25">
      <c r="A488" s="2" t="s">
        <v>15</v>
      </c>
      <c r="B488" s="4">
        <v>46029</v>
      </c>
      <c r="C488" s="5">
        <v>0.50581018518518517</v>
      </c>
      <c r="D488" s="8" t="s">
        <v>2004</v>
      </c>
      <c r="E488" s="8" t="s">
        <v>8826</v>
      </c>
      <c r="F488" s="8"/>
      <c r="H488" s="8"/>
      <c r="I488" s="8" t="s">
        <v>8709</v>
      </c>
      <c r="J488" s="8" t="s">
        <v>2985</v>
      </c>
      <c r="K488" t="s">
        <v>8710</v>
      </c>
      <c r="L488" t="s">
        <v>8711</v>
      </c>
      <c r="M488" s="3" t="str">
        <f>HYPERLINK(склад2въезд131920212223[[#This Row],[RelativePath]])</f>
        <v>10 Сушилка навес\E33149364_3_20260107T120822Z.jpg</v>
      </c>
    </row>
    <row r="489" spans="1:13" x14ac:dyDescent="0.25">
      <c r="A489" s="2" t="s">
        <v>16</v>
      </c>
      <c r="B489" s="4">
        <v>46030</v>
      </c>
      <c r="C489" s="5">
        <v>0.75096064814814811</v>
      </c>
      <c r="D489" s="8" t="s">
        <v>2004</v>
      </c>
      <c r="E489" s="8" t="s">
        <v>8</v>
      </c>
      <c r="F489" s="8"/>
      <c r="H489" s="8"/>
      <c r="I489" s="8" t="s">
        <v>8712</v>
      </c>
      <c r="J489" s="8" t="s">
        <v>2985</v>
      </c>
      <c r="K489" t="s">
        <v>8713</v>
      </c>
      <c r="L489" t="s">
        <v>8714</v>
      </c>
      <c r="M489" s="3" t="str">
        <f>HYPERLINK(склад2въезд131920212223[[#This Row],[RelativePath]])</f>
        <v>10 Сушилка навес\E33149364_3_20260108T180123Z.jpg</v>
      </c>
    </row>
    <row r="490" spans="1:13" x14ac:dyDescent="0.25">
      <c r="A490" s="2" t="s">
        <v>17</v>
      </c>
      <c r="B490" s="4">
        <v>46031</v>
      </c>
      <c r="C490" s="5">
        <v>0.42194444444444446</v>
      </c>
      <c r="D490" s="8" t="s">
        <v>2004</v>
      </c>
      <c r="E490" s="8" t="s">
        <v>8826</v>
      </c>
      <c r="F490" s="8"/>
      <c r="H490" s="8"/>
      <c r="I490" s="8" t="s">
        <v>8715</v>
      </c>
      <c r="J490" s="8" t="s">
        <v>2985</v>
      </c>
      <c r="K490" t="s">
        <v>8716</v>
      </c>
      <c r="L490" t="s">
        <v>8717</v>
      </c>
      <c r="M490" s="3" t="str">
        <f>HYPERLINK(склад2въезд131920212223[[#This Row],[RelativePath]])</f>
        <v>10 Сушилка навес\E33149364_3_20260109T100736Z.jpg</v>
      </c>
    </row>
    <row r="491" spans="1:13" x14ac:dyDescent="0.25">
      <c r="A491" s="2" t="s">
        <v>18</v>
      </c>
      <c r="B491" s="4">
        <v>46032</v>
      </c>
      <c r="C491" s="5">
        <v>0.58620370370370367</v>
      </c>
      <c r="D491" s="8" t="s">
        <v>2004</v>
      </c>
      <c r="E491" s="8" t="s">
        <v>8826</v>
      </c>
      <c r="F491" s="8"/>
      <c r="H491" s="8"/>
      <c r="I491" s="8" t="s">
        <v>8718</v>
      </c>
      <c r="J491" s="8" t="s">
        <v>2985</v>
      </c>
      <c r="K491" t="s">
        <v>8719</v>
      </c>
      <c r="L491" t="s">
        <v>8720</v>
      </c>
      <c r="M491" s="3" t="str">
        <f>HYPERLINK(склад2въезд131920212223[[#This Row],[RelativePath]])</f>
        <v>10 Сушилка навес\E33149364_3_20260110T140408Z.jpg</v>
      </c>
    </row>
    <row r="492" spans="1:13" x14ac:dyDescent="0.25">
      <c r="A492" s="2" t="s">
        <v>22</v>
      </c>
      <c r="B492" s="4">
        <v>46033</v>
      </c>
      <c r="C492" s="5">
        <v>0.6337962962962963</v>
      </c>
      <c r="D492" s="8" t="s">
        <v>4</v>
      </c>
      <c r="E492" s="8" t="s">
        <v>8805</v>
      </c>
      <c r="F492" s="8"/>
      <c r="H492" s="8"/>
      <c r="I492" s="8" t="s">
        <v>8721</v>
      </c>
      <c r="J492" s="8" t="s">
        <v>2985</v>
      </c>
      <c r="K492" t="s">
        <v>8722</v>
      </c>
      <c r="L492" t="s">
        <v>8723</v>
      </c>
      <c r="M492" s="3" t="str">
        <f>HYPERLINK(склад2въезд131920212223[[#This Row],[RelativePath]])</f>
        <v>10 Сушилка навес\E33149364_3_20260111T151240Z.jpg</v>
      </c>
    </row>
    <row r="493" spans="1:13" x14ac:dyDescent="0.25">
      <c r="A493" s="2" t="s">
        <v>13</v>
      </c>
      <c r="B493" s="4">
        <v>46034</v>
      </c>
      <c r="C493" s="5">
        <v>0.44011574074074072</v>
      </c>
      <c r="D493" s="8" t="s">
        <v>4</v>
      </c>
      <c r="E493" s="8" t="s">
        <v>8</v>
      </c>
      <c r="F493" s="8"/>
      <c r="H493" s="8"/>
      <c r="I493" s="8" t="s">
        <v>9027</v>
      </c>
      <c r="J493" s="8" t="s">
        <v>2985</v>
      </c>
      <c r="K493" t="s">
        <v>9028</v>
      </c>
      <c r="L493" t="s">
        <v>9029</v>
      </c>
      <c r="M493" s="3" t="str">
        <f>HYPERLINK(склад2въезд131920212223[[#This Row],[RelativePath]])</f>
        <v>10 Сушилка навес\E33149364_3_20260112T103346Z.jpg</v>
      </c>
    </row>
    <row r="494" spans="1:13" x14ac:dyDescent="0.25">
      <c r="A494" s="2" t="s">
        <v>13</v>
      </c>
      <c r="B494" s="4">
        <v>46034</v>
      </c>
      <c r="C494" s="5">
        <v>0.44938657407407406</v>
      </c>
      <c r="D494" s="8" t="s">
        <v>289</v>
      </c>
      <c r="E494" s="8" t="s">
        <v>86</v>
      </c>
      <c r="F494" s="8" t="s">
        <v>9190</v>
      </c>
      <c r="H494" s="8"/>
      <c r="I494" s="8" t="s">
        <v>9030</v>
      </c>
      <c r="J494" s="8" t="s">
        <v>2985</v>
      </c>
      <c r="K494" t="s">
        <v>9031</v>
      </c>
      <c r="L494" t="s">
        <v>9032</v>
      </c>
      <c r="M494" s="3" t="str">
        <f>HYPERLINK(склад2въезд131920212223[[#This Row],[RelativePath]])</f>
        <v>10 Сушилка навес\E33149364_3_20260112T104707Z.jpg</v>
      </c>
    </row>
    <row r="495" spans="1:13" x14ac:dyDescent="0.25">
      <c r="A495" s="2" t="s">
        <v>13</v>
      </c>
      <c r="B495" s="4">
        <v>46034</v>
      </c>
      <c r="C495" s="5">
        <v>0.45026620370370368</v>
      </c>
      <c r="D495" s="8" t="s">
        <v>4221</v>
      </c>
      <c r="E495" s="8" t="s">
        <v>86</v>
      </c>
      <c r="F495" s="8" t="s">
        <v>9190</v>
      </c>
      <c r="H495" s="8"/>
      <c r="I495" s="8" t="s">
        <v>9033</v>
      </c>
      <c r="J495" s="8" t="s">
        <v>2985</v>
      </c>
      <c r="K495" t="s">
        <v>9034</v>
      </c>
      <c r="L495" t="s">
        <v>9035</v>
      </c>
      <c r="M495" s="3" t="str">
        <f>HYPERLINK(склад2въезд131920212223[[#This Row],[RelativePath]])</f>
        <v>10 Сушилка навес\E33149364_3_20260112T104823Z.jpg</v>
      </c>
    </row>
    <row r="496" spans="1:13" x14ac:dyDescent="0.25">
      <c r="A496" s="2" t="s">
        <v>13</v>
      </c>
      <c r="B496" s="4">
        <v>46034</v>
      </c>
      <c r="C496" s="5">
        <v>0.45119212962962962</v>
      </c>
      <c r="D496" s="8" t="s">
        <v>4221</v>
      </c>
      <c r="E496" s="8" t="s">
        <v>9207</v>
      </c>
      <c r="F496" s="8" t="s">
        <v>9190</v>
      </c>
      <c r="H496" s="8"/>
      <c r="I496" s="8" t="s">
        <v>9036</v>
      </c>
      <c r="J496" s="8" t="s">
        <v>2985</v>
      </c>
      <c r="K496" t="s">
        <v>9037</v>
      </c>
      <c r="L496" t="s">
        <v>9038</v>
      </c>
      <c r="M496" s="3" t="str">
        <f>HYPERLINK(склад2въезд131920212223[[#This Row],[RelativePath]])</f>
        <v>10 Сушилка навес\E33149364_3_20260112T104943Z.jpg</v>
      </c>
    </row>
    <row r="497" spans="1:13" x14ac:dyDescent="0.25">
      <c r="A497" s="2" t="s">
        <v>13</v>
      </c>
      <c r="B497" s="4">
        <v>46034</v>
      </c>
      <c r="C497" s="5">
        <v>0.47744212962962962</v>
      </c>
      <c r="D497" s="8" t="s">
        <v>4223</v>
      </c>
      <c r="E497" s="8" t="s">
        <v>86</v>
      </c>
      <c r="F497" s="8" t="s">
        <v>60</v>
      </c>
      <c r="H497" s="8" t="s">
        <v>1605</v>
      </c>
      <c r="I497" s="8" t="s">
        <v>9039</v>
      </c>
      <c r="J497" s="8" t="s">
        <v>2985</v>
      </c>
      <c r="K497" t="s">
        <v>9040</v>
      </c>
      <c r="L497" t="s">
        <v>9041</v>
      </c>
      <c r="M497" s="3" t="str">
        <f>HYPERLINK(склад2въезд131920212223[[#This Row],[RelativePath]])</f>
        <v>10 Сушилка навес\E33149364_3_20260112T112731Z.jpg</v>
      </c>
    </row>
    <row r="498" spans="1:13" x14ac:dyDescent="0.25">
      <c r="A498" s="2" t="s">
        <v>13</v>
      </c>
      <c r="B498" s="4">
        <v>46034</v>
      </c>
      <c r="C498" s="5">
        <v>0.48261574074074076</v>
      </c>
      <c r="D498" s="8" t="s">
        <v>4223</v>
      </c>
      <c r="E498" s="8" t="s">
        <v>86</v>
      </c>
      <c r="F498" s="8" t="s">
        <v>9202</v>
      </c>
      <c r="H498" s="8"/>
      <c r="I498" s="8" t="s">
        <v>9042</v>
      </c>
      <c r="J498" s="8" t="s">
        <v>2985</v>
      </c>
      <c r="K498" t="s">
        <v>9043</v>
      </c>
      <c r="L498" t="s">
        <v>9044</v>
      </c>
      <c r="M498" s="3" t="str">
        <f>HYPERLINK(склад2въезд131920212223[[#This Row],[RelativePath]])</f>
        <v>10 Сушилка навес\E33149364_3_20260112T113458Z.jpg</v>
      </c>
    </row>
    <row r="499" spans="1:13" x14ac:dyDescent="0.25">
      <c r="A499" s="2" t="s">
        <v>13</v>
      </c>
      <c r="B499" s="4">
        <v>46034</v>
      </c>
      <c r="C499" s="5">
        <v>0.48497685185185185</v>
      </c>
      <c r="D499" s="8" t="s">
        <v>4223</v>
      </c>
      <c r="E499" s="8" t="s">
        <v>86</v>
      </c>
      <c r="F499" s="8" t="s">
        <v>9202</v>
      </c>
      <c r="H499" s="8" t="s">
        <v>2936</v>
      </c>
      <c r="I499" s="8" t="s">
        <v>9045</v>
      </c>
      <c r="J499" s="8" t="s">
        <v>2985</v>
      </c>
      <c r="K499" t="s">
        <v>9046</v>
      </c>
      <c r="L499" t="s">
        <v>9047</v>
      </c>
      <c r="M499" s="3" t="str">
        <f>HYPERLINK(склад2въезд131920212223[[#This Row],[RelativePath]])</f>
        <v>10 Сушилка навес\E33149364_3_20260112T113822Z.jpg</v>
      </c>
    </row>
    <row r="500" spans="1:13" x14ac:dyDescent="0.25">
      <c r="A500" s="2" t="s">
        <v>13</v>
      </c>
      <c r="B500" s="4">
        <v>46034</v>
      </c>
      <c r="C500" s="5">
        <v>0.49864583333333334</v>
      </c>
      <c r="D500" s="8" t="s">
        <v>4223</v>
      </c>
      <c r="E500" s="8" t="s">
        <v>86</v>
      </c>
      <c r="F500" s="8" t="s">
        <v>9203</v>
      </c>
      <c r="H500" s="8"/>
      <c r="I500" s="8" t="s">
        <v>9048</v>
      </c>
      <c r="J500" s="8" t="s">
        <v>2985</v>
      </c>
      <c r="K500" t="s">
        <v>9049</v>
      </c>
      <c r="L500" t="s">
        <v>9050</v>
      </c>
      <c r="M500" s="3" t="str">
        <f>HYPERLINK(склад2въезд131920212223[[#This Row],[RelativePath]])</f>
        <v>10 Сушилка навес\E33149364_3_20260112T115803Z.jpg</v>
      </c>
    </row>
    <row r="501" spans="1:13" x14ac:dyDescent="0.25">
      <c r="A501" s="2" t="s">
        <v>13</v>
      </c>
      <c r="B501" s="4">
        <v>46034</v>
      </c>
      <c r="C501" s="5">
        <v>0.49890046296296298</v>
      </c>
      <c r="D501" s="8" t="s">
        <v>4223</v>
      </c>
      <c r="E501" s="8" t="s">
        <v>86</v>
      </c>
      <c r="F501" s="8" t="s">
        <v>9203</v>
      </c>
      <c r="H501" s="8"/>
      <c r="I501" s="8" t="s">
        <v>9051</v>
      </c>
      <c r="J501" s="8" t="s">
        <v>2985</v>
      </c>
      <c r="K501" t="s">
        <v>9052</v>
      </c>
      <c r="L501" t="s">
        <v>9053</v>
      </c>
      <c r="M501" s="3" t="str">
        <f>HYPERLINK(склад2въезд131920212223[[#This Row],[RelativePath]])</f>
        <v>10 Сушилка навес\E33149364_3_20260112T115825Z.jpg</v>
      </c>
    </row>
    <row r="502" spans="1:13" x14ac:dyDescent="0.25">
      <c r="A502" s="2" t="s">
        <v>13</v>
      </c>
      <c r="B502" s="4">
        <v>46034</v>
      </c>
      <c r="C502" s="5">
        <v>0.51219907407407406</v>
      </c>
      <c r="D502" s="8" t="s">
        <v>4223</v>
      </c>
      <c r="E502" s="8" t="s">
        <v>86</v>
      </c>
      <c r="F502" s="8" t="s">
        <v>9203</v>
      </c>
      <c r="H502" s="8"/>
      <c r="I502" s="8" t="s">
        <v>9054</v>
      </c>
      <c r="J502" s="8" t="s">
        <v>2985</v>
      </c>
      <c r="K502" t="s">
        <v>9055</v>
      </c>
      <c r="L502" t="s">
        <v>9056</v>
      </c>
      <c r="M502" s="3" t="str">
        <f>HYPERLINK(склад2въезд131920212223[[#This Row],[RelativePath]])</f>
        <v>10 Сушилка навес\E33149364_3_20260112T121734Z.jpg</v>
      </c>
    </row>
    <row r="503" spans="1:13" x14ac:dyDescent="0.25">
      <c r="A503" s="2" t="s">
        <v>13</v>
      </c>
      <c r="B503" s="4">
        <v>46034</v>
      </c>
      <c r="C503" s="5">
        <v>0.51225694444444447</v>
      </c>
      <c r="D503" s="8" t="s">
        <v>4223</v>
      </c>
      <c r="E503" s="8" t="s">
        <v>86</v>
      </c>
      <c r="F503" s="8" t="s">
        <v>9203</v>
      </c>
      <c r="H503" s="8"/>
      <c r="I503" s="8" t="s">
        <v>9057</v>
      </c>
      <c r="J503" s="8" t="s">
        <v>2985</v>
      </c>
      <c r="K503" t="s">
        <v>9058</v>
      </c>
      <c r="L503" t="s">
        <v>9059</v>
      </c>
      <c r="M503" s="3" t="str">
        <f>HYPERLINK(склад2въезд131920212223[[#This Row],[RelativePath]])</f>
        <v>10 Сушилка навес\E33149364_3_20260112T121739Z.jpg</v>
      </c>
    </row>
    <row r="504" spans="1:13" x14ac:dyDescent="0.25">
      <c r="A504" s="2" t="s">
        <v>13</v>
      </c>
      <c r="B504" s="4">
        <v>46034</v>
      </c>
      <c r="C504" s="5">
        <v>0.51979166666666665</v>
      </c>
      <c r="D504" s="8" t="s">
        <v>4223</v>
      </c>
      <c r="E504" s="8" t="s">
        <v>86</v>
      </c>
      <c r="F504" s="8" t="s">
        <v>9203</v>
      </c>
      <c r="H504" s="8"/>
      <c r="I504" s="8" t="s">
        <v>9060</v>
      </c>
      <c r="J504" s="8" t="s">
        <v>2985</v>
      </c>
      <c r="K504" t="s">
        <v>9061</v>
      </c>
      <c r="L504" t="s">
        <v>9062</v>
      </c>
      <c r="M504" s="3" t="str">
        <f>HYPERLINK(склад2въезд131920212223[[#This Row],[RelativePath]])</f>
        <v>10 Сушилка навес\E33149364_3_20260112T122830Z.jpg</v>
      </c>
    </row>
    <row r="505" spans="1:13" x14ac:dyDescent="0.25">
      <c r="A505" s="2" t="s">
        <v>13</v>
      </c>
      <c r="B505" s="4">
        <v>46034</v>
      </c>
      <c r="C505" s="5">
        <v>0.59173611111111113</v>
      </c>
      <c r="D505" s="8" t="s">
        <v>4223</v>
      </c>
      <c r="E505" s="8" t="s">
        <v>86</v>
      </c>
      <c r="F505" s="8" t="s">
        <v>60</v>
      </c>
      <c r="H505" s="8" t="s">
        <v>1605</v>
      </c>
      <c r="I505" s="8" t="s">
        <v>9063</v>
      </c>
      <c r="J505" s="8" t="s">
        <v>2985</v>
      </c>
      <c r="K505" t="s">
        <v>9064</v>
      </c>
      <c r="L505" t="s">
        <v>9065</v>
      </c>
      <c r="M505" s="3" t="str">
        <f>HYPERLINK(склад2въезд131920212223[[#This Row],[RelativePath]])</f>
        <v>10 Сушилка навес\E33149364_3_20260112T141206Z.jpg</v>
      </c>
    </row>
    <row r="506" spans="1:13" x14ac:dyDescent="0.25">
      <c r="A506" s="2" t="s">
        <v>13</v>
      </c>
      <c r="B506" s="4">
        <v>46034</v>
      </c>
      <c r="C506" s="5">
        <v>0.5983680555555555</v>
      </c>
      <c r="D506" s="8" t="s">
        <v>4223</v>
      </c>
      <c r="E506" s="8" t="s">
        <v>86</v>
      </c>
      <c r="F506" s="8" t="s">
        <v>60</v>
      </c>
      <c r="H506" s="8" t="s">
        <v>1605</v>
      </c>
      <c r="I506" s="8" t="s">
        <v>9066</v>
      </c>
      <c r="J506" s="8" t="s">
        <v>2985</v>
      </c>
      <c r="K506" t="s">
        <v>9067</v>
      </c>
      <c r="L506" t="s">
        <v>9068</v>
      </c>
      <c r="M506" s="3" t="str">
        <f>HYPERLINK(склад2въезд131920212223[[#This Row],[RelativePath]])</f>
        <v>10 Сушилка навес\E33149364_3_20260112T142139Z.jpg</v>
      </c>
    </row>
    <row r="507" spans="1:13" x14ac:dyDescent="0.25">
      <c r="A507" s="2" t="s">
        <v>13</v>
      </c>
      <c r="B507" s="4">
        <v>46034</v>
      </c>
      <c r="C507" s="5">
        <v>0.60241898148148143</v>
      </c>
      <c r="D507" s="8" t="s">
        <v>4223</v>
      </c>
      <c r="E507" s="8" t="s">
        <v>86</v>
      </c>
      <c r="F507" s="8" t="s">
        <v>9203</v>
      </c>
      <c r="H507" s="8"/>
      <c r="I507" s="8" t="s">
        <v>9069</v>
      </c>
      <c r="J507" s="8" t="s">
        <v>2985</v>
      </c>
      <c r="K507" t="s">
        <v>9070</v>
      </c>
      <c r="L507" t="s">
        <v>9071</v>
      </c>
      <c r="M507" s="3" t="str">
        <f>HYPERLINK(склад2въезд131920212223[[#This Row],[RelativePath]])</f>
        <v>10 Сушилка навес\E33149364_3_20260112T142729Z.jpg</v>
      </c>
    </row>
    <row r="508" spans="1:13" x14ac:dyDescent="0.25">
      <c r="A508" s="2" t="s">
        <v>13</v>
      </c>
      <c r="B508" s="4">
        <v>46034</v>
      </c>
      <c r="C508" s="5">
        <v>0.62383101851851852</v>
      </c>
      <c r="D508" s="8" t="s">
        <v>533</v>
      </c>
      <c r="E508" s="8" t="s">
        <v>531</v>
      </c>
      <c r="F508" s="8" t="s">
        <v>58</v>
      </c>
      <c r="H508" s="8"/>
      <c r="I508" s="8" t="s">
        <v>9072</v>
      </c>
      <c r="J508" s="8" t="s">
        <v>2985</v>
      </c>
      <c r="K508" t="s">
        <v>9073</v>
      </c>
      <c r="L508" t="s">
        <v>9074</v>
      </c>
      <c r="M508" s="3" t="str">
        <f>HYPERLINK(склад2въезд131920212223[[#This Row],[RelativePath]])</f>
        <v>10 Сушилка навес\E33149364_3_20260112T145819Z.jpg</v>
      </c>
    </row>
    <row r="509" spans="1:13" x14ac:dyDescent="0.25">
      <c r="A509" s="2" t="s">
        <v>14</v>
      </c>
      <c r="B509" s="4">
        <v>46035</v>
      </c>
      <c r="C509" s="5">
        <v>0.38993055555555556</v>
      </c>
      <c r="D509" s="8" t="s">
        <v>533</v>
      </c>
      <c r="E509" s="8" t="s">
        <v>531</v>
      </c>
      <c r="F509" s="8" t="s">
        <v>58</v>
      </c>
      <c r="H509" s="8"/>
      <c r="I509" s="8" t="s">
        <v>9075</v>
      </c>
      <c r="J509" s="8" t="s">
        <v>2985</v>
      </c>
      <c r="K509" t="s">
        <v>9076</v>
      </c>
      <c r="L509" t="s">
        <v>9077</v>
      </c>
      <c r="M509" s="3" t="str">
        <f>HYPERLINK(склад2въезд131920212223[[#This Row],[RelativePath]])</f>
        <v>10 Сушилка навес\E33149364_3_20260113T092130Z.jpg</v>
      </c>
    </row>
    <row r="510" spans="1:13" x14ac:dyDescent="0.25">
      <c r="A510" s="2" t="s">
        <v>14</v>
      </c>
      <c r="B510" s="4">
        <v>46035</v>
      </c>
      <c r="C510" s="5">
        <v>0.38997685185185182</v>
      </c>
      <c r="D510" s="8" t="s">
        <v>533</v>
      </c>
      <c r="E510" s="8" t="s">
        <v>531</v>
      </c>
      <c r="F510" s="8" t="s">
        <v>58</v>
      </c>
      <c r="H510" s="8"/>
      <c r="I510" s="8" t="s">
        <v>9078</v>
      </c>
      <c r="J510" s="8" t="s">
        <v>2985</v>
      </c>
      <c r="K510" t="s">
        <v>9079</v>
      </c>
      <c r="L510" t="s">
        <v>9080</v>
      </c>
      <c r="M510" s="3" t="str">
        <f>HYPERLINK(склад2въезд131920212223[[#This Row],[RelativePath]])</f>
        <v>10 Сушилка навес\E33149364_3_20260113T092134Z.jpg</v>
      </c>
    </row>
    <row r="511" spans="1:13" x14ac:dyDescent="0.25">
      <c r="A511" s="2" t="s">
        <v>14</v>
      </c>
      <c r="B511" s="4">
        <v>46035</v>
      </c>
      <c r="C511" s="5">
        <v>0.39157407407407407</v>
      </c>
      <c r="D511" s="8" t="s">
        <v>533</v>
      </c>
      <c r="E511" s="8" t="s">
        <v>531</v>
      </c>
      <c r="F511" s="8" t="s">
        <v>58</v>
      </c>
      <c r="H511" s="8"/>
      <c r="I511" s="8" t="s">
        <v>9081</v>
      </c>
      <c r="J511" s="8" t="s">
        <v>2985</v>
      </c>
      <c r="K511" t="s">
        <v>9082</v>
      </c>
      <c r="L511" t="s">
        <v>9083</v>
      </c>
      <c r="M511" s="3" t="str">
        <f>HYPERLINK(склад2въезд131920212223[[#This Row],[RelativePath]])</f>
        <v>10 Сушилка навес\E33149364_3_20260113T092352Z.jpg</v>
      </c>
    </row>
    <row r="512" spans="1:13" x14ac:dyDescent="0.25">
      <c r="A512" s="2" t="s">
        <v>14</v>
      </c>
      <c r="B512" s="4">
        <v>46035</v>
      </c>
      <c r="C512" s="5">
        <v>0.40383101851851849</v>
      </c>
      <c r="D512" s="8" t="s">
        <v>533</v>
      </c>
      <c r="E512" s="8" t="s">
        <v>531</v>
      </c>
      <c r="F512" s="8" t="s">
        <v>58</v>
      </c>
      <c r="H512" s="8"/>
      <c r="I512" s="8" t="s">
        <v>9084</v>
      </c>
      <c r="J512" s="8" t="s">
        <v>2985</v>
      </c>
      <c r="K512" t="s">
        <v>9085</v>
      </c>
      <c r="L512" t="s">
        <v>9086</v>
      </c>
      <c r="M512" s="3" t="str">
        <f>HYPERLINK(склад2въезд131920212223[[#This Row],[RelativePath]])</f>
        <v>10 Сушилка навес\E33149364_3_20260113T094131Z.jpg</v>
      </c>
    </row>
    <row r="513" spans="1:13" x14ac:dyDescent="0.25">
      <c r="A513" s="2" t="s">
        <v>14</v>
      </c>
      <c r="B513" s="4">
        <v>46035</v>
      </c>
      <c r="C513" s="5">
        <v>0.41616898148148146</v>
      </c>
      <c r="D513" s="8" t="s">
        <v>533</v>
      </c>
      <c r="E513" s="8" t="s">
        <v>531</v>
      </c>
      <c r="F513" s="8" t="s">
        <v>9208</v>
      </c>
      <c r="H513" s="8"/>
      <c r="I513" s="8" t="s">
        <v>9087</v>
      </c>
      <c r="J513" s="8" t="s">
        <v>2985</v>
      </c>
      <c r="K513" t="s">
        <v>9088</v>
      </c>
      <c r="L513" t="s">
        <v>9089</v>
      </c>
      <c r="M513" s="3" t="str">
        <f>HYPERLINK(склад2въезд131920212223[[#This Row],[RelativePath]])</f>
        <v>10 Сушилка навес\E33149364_3_20260113T095917Z.jpg</v>
      </c>
    </row>
    <row r="514" spans="1:13" x14ac:dyDescent="0.25">
      <c r="A514" s="2" t="s">
        <v>14</v>
      </c>
      <c r="B514" s="4">
        <v>46035</v>
      </c>
      <c r="C514" s="5">
        <v>0.41851851851851851</v>
      </c>
      <c r="D514" s="8" t="s">
        <v>533</v>
      </c>
      <c r="E514" s="8" t="s">
        <v>531</v>
      </c>
      <c r="F514" s="8" t="s">
        <v>58</v>
      </c>
      <c r="H514" s="8"/>
      <c r="I514" s="8" t="s">
        <v>9090</v>
      </c>
      <c r="J514" s="8" t="s">
        <v>2985</v>
      </c>
      <c r="K514" t="s">
        <v>9091</v>
      </c>
      <c r="L514" t="s">
        <v>9092</v>
      </c>
      <c r="M514" s="3" t="str">
        <f>HYPERLINK(склад2въезд131920212223[[#This Row],[RelativePath]])</f>
        <v>10 Сушилка навес\E33149364_3_20260113T100240Z.jpg</v>
      </c>
    </row>
    <row r="515" spans="1:13" x14ac:dyDescent="0.25">
      <c r="A515" s="2" t="s">
        <v>14</v>
      </c>
      <c r="B515" s="4">
        <v>46035</v>
      </c>
      <c r="C515" s="5">
        <v>0.4635185185185185</v>
      </c>
      <c r="D515" s="8" t="s">
        <v>533</v>
      </c>
      <c r="E515" s="8" t="s">
        <v>531</v>
      </c>
      <c r="F515" s="8" t="s">
        <v>9202</v>
      </c>
      <c r="H515" s="8"/>
      <c r="I515" s="8" t="s">
        <v>9093</v>
      </c>
      <c r="J515" s="8" t="s">
        <v>2985</v>
      </c>
      <c r="K515" t="s">
        <v>9094</v>
      </c>
      <c r="L515" t="s">
        <v>9095</v>
      </c>
      <c r="M515" s="3" t="str">
        <f>HYPERLINK(склад2въезд131920212223[[#This Row],[RelativePath]])</f>
        <v>10 Сушилка навес\E33149364_3_20260113T110728Z.jpg</v>
      </c>
    </row>
    <row r="516" spans="1:13" x14ac:dyDescent="0.25">
      <c r="A516" s="2" t="s">
        <v>14</v>
      </c>
      <c r="B516" s="4">
        <v>46035</v>
      </c>
      <c r="C516" s="5">
        <v>0.46653935185185186</v>
      </c>
      <c r="D516" s="8" t="s">
        <v>4223</v>
      </c>
      <c r="E516" s="8" t="s">
        <v>86</v>
      </c>
      <c r="F516" s="8" t="s">
        <v>528</v>
      </c>
      <c r="H516" s="8"/>
      <c r="I516" s="8" t="s">
        <v>9096</v>
      </c>
      <c r="J516" s="8" t="s">
        <v>2985</v>
      </c>
      <c r="K516" t="s">
        <v>9097</v>
      </c>
      <c r="L516" t="s">
        <v>9098</v>
      </c>
      <c r="M516" s="3" t="str">
        <f>HYPERLINK(склад2въезд131920212223[[#This Row],[RelativePath]])</f>
        <v>10 Сушилка навес\E33149364_3_20260113T111149Z.jpg</v>
      </c>
    </row>
    <row r="517" spans="1:13" x14ac:dyDescent="0.25">
      <c r="A517" s="2" t="s">
        <v>14</v>
      </c>
      <c r="B517" s="4">
        <v>46035</v>
      </c>
      <c r="C517" s="5">
        <v>0.46659722222222222</v>
      </c>
      <c r="D517" s="8" t="s">
        <v>4223</v>
      </c>
      <c r="E517" s="8" t="s">
        <v>86</v>
      </c>
      <c r="F517" s="8" t="s">
        <v>528</v>
      </c>
      <c r="H517" s="8" t="s">
        <v>2936</v>
      </c>
      <c r="I517" s="8" t="s">
        <v>9099</v>
      </c>
      <c r="J517" s="8" t="s">
        <v>2985</v>
      </c>
      <c r="K517" t="s">
        <v>9100</v>
      </c>
      <c r="L517" t="s">
        <v>9101</v>
      </c>
      <c r="M517" s="3" t="str">
        <f>HYPERLINK(склад2въезд131920212223[[#This Row],[RelativePath]])</f>
        <v>10 Сушилка навес\E33149364_3_20260113T111154Z.jpg</v>
      </c>
    </row>
    <row r="518" spans="1:13" x14ac:dyDescent="0.25">
      <c r="A518" s="2" t="s">
        <v>14</v>
      </c>
      <c r="B518" s="4">
        <v>46035</v>
      </c>
      <c r="C518" s="5">
        <v>0.48436342592592591</v>
      </c>
      <c r="D518" s="8" t="s">
        <v>533</v>
      </c>
      <c r="E518" s="8" t="s">
        <v>531</v>
      </c>
      <c r="F518" s="8" t="s">
        <v>58</v>
      </c>
      <c r="H518" s="8"/>
      <c r="I518" s="8" t="s">
        <v>9102</v>
      </c>
      <c r="J518" s="8" t="s">
        <v>2985</v>
      </c>
      <c r="K518" t="s">
        <v>9103</v>
      </c>
      <c r="L518" t="s">
        <v>9104</v>
      </c>
      <c r="M518" s="3" t="str">
        <f>HYPERLINK(склад2въезд131920212223[[#This Row],[RelativePath]])</f>
        <v>10 Сушилка навес\E33149364_3_20260113T113729Z.jpg</v>
      </c>
    </row>
    <row r="519" spans="1:13" x14ac:dyDescent="0.25">
      <c r="A519" s="2" t="s">
        <v>14</v>
      </c>
      <c r="B519" s="4">
        <v>46035</v>
      </c>
      <c r="C519" s="5">
        <v>0.48532407407407407</v>
      </c>
      <c r="D519" s="8" t="s">
        <v>533</v>
      </c>
      <c r="E519" s="8" t="s">
        <v>531</v>
      </c>
      <c r="F519" s="8" t="s">
        <v>58</v>
      </c>
      <c r="H519" s="8"/>
      <c r="I519" s="8" t="s">
        <v>9105</v>
      </c>
      <c r="J519" s="8" t="s">
        <v>2985</v>
      </c>
      <c r="K519" t="s">
        <v>9106</v>
      </c>
      <c r="L519" t="s">
        <v>9107</v>
      </c>
      <c r="M519" s="3" t="str">
        <f>HYPERLINK(склад2въезд131920212223[[#This Row],[RelativePath]])</f>
        <v>10 Сушилка навес\E33149364_3_20260113T113852Z.jpg</v>
      </c>
    </row>
    <row r="520" spans="1:13" x14ac:dyDescent="0.25">
      <c r="A520" s="2" t="s">
        <v>14</v>
      </c>
      <c r="B520" s="4">
        <v>46035</v>
      </c>
      <c r="C520" s="5">
        <v>0.49320601851851853</v>
      </c>
      <c r="D520" s="8" t="s">
        <v>533</v>
      </c>
      <c r="E520" s="8" t="s">
        <v>531</v>
      </c>
      <c r="F520" s="8" t="s">
        <v>9209</v>
      </c>
      <c r="H520" s="8"/>
      <c r="I520" s="8" t="s">
        <v>9108</v>
      </c>
      <c r="J520" s="8" t="s">
        <v>2985</v>
      </c>
      <c r="K520" t="s">
        <v>9109</v>
      </c>
      <c r="L520" t="s">
        <v>9110</v>
      </c>
      <c r="M520" s="3" t="str">
        <f>HYPERLINK(склад2въезд131920212223[[#This Row],[RelativePath]])</f>
        <v>10 Сушилка навес\E33149364_3_20260113T115013Z.jpg</v>
      </c>
    </row>
    <row r="521" spans="1:13" x14ac:dyDescent="0.25">
      <c r="A521" s="2" t="s">
        <v>14</v>
      </c>
      <c r="B521" s="4">
        <v>46035</v>
      </c>
      <c r="C521" s="5">
        <v>0.63649305555555558</v>
      </c>
      <c r="D521" s="8" t="s">
        <v>533</v>
      </c>
      <c r="E521" s="8" t="s">
        <v>531</v>
      </c>
      <c r="F521" s="8" t="s">
        <v>9210</v>
      </c>
      <c r="H521" s="8"/>
      <c r="I521" s="8" t="s">
        <v>9111</v>
      </c>
      <c r="J521" s="8" t="s">
        <v>2985</v>
      </c>
      <c r="K521" t="s">
        <v>9112</v>
      </c>
      <c r="L521" t="s">
        <v>9113</v>
      </c>
      <c r="M521" s="3" t="str">
        <f>HYPERLINK(склад2въезд131920212223[[#This Row],[RelativePath]])</f>
        <v>10 Сушилка навес\E33149364_3_20260113T151633Z.jpg</v>
      </c>
    </row>
    <row r="522" spans="1:13" x14ac:dyDescent="0.25">
      <c r="A522" s="2" t="s">
        <v>15</v>
      </c>
      <c r="B522" s="4">
        <v>46036</v>
      </c>
      <c r="C522" s="5">
        <v>0.49981481481481482</v>
      </c>
      <c r="D522" s="8" t="s">
        <v>8042</v>
      </c>
      <c r="E522" s="8" t="s">
        <v>4193</v>
      </c>
      <c r="F522" s="8"/>
      <c r="H522" s="8"/>
      <c r="I522" s="8" t="s">
        <v>9300</v>
      </c>
      <c r="J522" s="8" t="s">
        <v>2985</v>
      </c>
      <c r="K522" t="s">
        <v>9301</v>
      </c>
      <c r="L522" t="s">
        <v>9302</v>
      </c>
      <c r="M522" s="3" t="str">
        <f>HYPERLINK(склад2въезд131920212223[[#This Row],[RelativePath]])</f>
        <v>10 Сушилка навес\E33149364_3_20260114T115944Z.jpg</v>
      </c>
    </row>
    <row r="523" spans="1:13" x14ac:dyDescent="0.25">
      <c r="A523" s="2" t="s">
        <v>15</v>
      </c>
      <c r="B523" s="4">
        <v>46036</v>
      </c>
      <c r="C523" s="5">
        <v>0.6033101851851852</v>
      </c>
      <c r="D523" s="8" t="s">
        <v>533</v>
      </c>
      <c r="E523" s="8" t="s">
        <v>1607</v>
      </c>
      <c r="F523" s="8" t="s">
        <v>58</v>
      </c>
      <c r="H523" s="8"/>
      <c r="I523" s="8" t="s">
        <v>9303</v>
      </c>
      <c r="J523" s="8" t="s">
        <v>2985</v>
      </c>
      <c r="K523" t="s">
        <v>9304</v>
      </c>
      <c r="L523" t="s">
        <v>9305</v>
      </c>
      <c r="M523" s="3" t="str">
        <f>HYPERLINK(склад2въезд131920212223[[#This Row],[RelativePath]])</f>
        <v>10 Сушилка навес\E33149364_3_20260114T142846Z.jpg</v>
      </c>
    </row>
    <row r="524" spans="1:13" x14ac:dyDescent="0.25">
      <c r="A524" s="2" t="s">
        <v>15</v>
      </c>
      <c r="B524" s="4">
        <v>46036</v>
      </c>
      <c r="C524" s="5">
        <v>0.7074421296296296</v>
      </c>
      <c r="D524" s="8" t="s">
        <v>8042</v>
      </c>
      <c r="E524" s="8" t="s">
        <v>4193</v>
      </c>
      <c r="F524" s="8"/>
      <c r="H524" s="8"/>
      <c r="I524" s="8" t="s">
        <v>9306</v>
      </c>
      <c r="J524" s="8" t="s">
        <v>2985</v>
      </c>
      <c r="K524" t="s">
        <v>9307</v>
      </c>
      <c r="L524" t="s">
        <v>9308</v>
      </c>
      <c r="M524" s="3" t="str">
        <f>HYPERLINK(склад2въезд131920212223[[#This Row],[RelativePath]])</f>
        <v>10 Сушилка навес\E33149364_3_20260114T165843Z.jpg</v>
      </c>
    </row>
    <row r="525" spans="1:13" x14ac:dyDescent="0.25">
      <c r="A525" s="2" t="s">
        <v>15</v>
      </c>
      <c r="B525" s="4">
        <v>46036</v>
      </c>
      <c r="C525" s="5">
        <v>0.71695601851851853</v>
      </c>
      <c r="D525" s="8" t="s">
        <v>4</v>
      </c>
      <c r="E525" s="8" t="s">
        <v>8</v>
      </c>
      <c r="F525" s="8"/>
      <c r="H525" s="8"/>
      <c r="I525" s="8" t="s">
        <v>9309</v>
      </c>
      <c r="J525" s="8" t="s">
        <v>2985</v>
      </c>
      <c r="K525" t="s">
        <v>9310</v>
      </c>
      <c r="L525" t="s">
        <v>9311</v>
      </c>
      <c r="M525" s="3" t="str">
        <f>HYPERLINK(склад2въезд131920212223[[#This Row],[RelativePath]])</f>
        <v>10 Сушилка навес\E33149364_3_20260114T171225Z.jpg</v>
      </c>
    </row>
    <row r="526" spans="1:13" x14ac:dyDescent="0.25">
      <c r="A526" s="2" t="s">
        <v>16</v>
      </c>
      <c r="B526" s="4">
        <v>46037</v>
      </c>
      <c r="C526" s="5">
        <v>0.50908564814814816</v>
      </c>
      <c r="D526" s="8" t="s">
        <v>533</v>
      </c>
      <c r="E526" s="8" t="s">
        <v>1607</v>
      </c>
      <c r="F526" s="8" t="s">
        <v>58</v>
      </c>
      <c r="H526" s="8" t="s">
        <v>9519</v>
      </c>
      <c r="I526" s="8" t="s">
        <v>9486</v>
      </c>
      <c r="J526" s="8" t="s">
        <v>2985</v>
      </c>
      <c r="K526" t="s">
        <v>9487</v>
      </c>
      <c r="L526" t="s">
        <v>9488</v>
      </c>
      <c r="M526" s="3" t="str">
        <f>HYPERLINK(склад2въезд131920212223[[#This Row],[RelativePath]])</f>
        <v>10 Сушилка навес\E33149364_3_20260115T121305Z.jpg</v>
      </c>
    </row>
    <row r="527" spans="1:13" x14ac:dyDescent="0.25">
      <c r="A527" s="2" t="s">
        <v>16</v>
      </c>
      <c r="B527" s="4">
        <v>46037</v>
      </c>
      <c r="C527" s="5">
        <v>0.52739583333333329</v>
      </c>
      <c r="D527" s="8" t="s">
        <v>533</v>
      </c>
      <c r="E527" s="8" t="s">
        <v>1607</v>
      </c>
      <c r="F527" s="8" t="s">
        <v>58</v>
      </c>
      <c r="H527" s="8" t="s">
        <v>9519</v>
      </c>
      <c r="I527" s="8" t="s">
        <v>9489</v>
      </c>
      <c r="J527" s="8" t="s">
        <v>2985</v>
      </c>
      <c r="K527" t="s">
        <v>9490</v>
      </c>
      <c r="L527" t="s">
        <v>9491</v>
      </c>
      <c r="M527" s="3" t="str">
        <f>HYPERLINK(склад2въезд131920212223[[#This Row],[RelativePath]])</f>
        <v>10 Сушилка навес\E33149364_3_20260115T123927Z.jpg</v>
      </c>
    </row>
    <row r="528" spans="1:13" x14ac:dyDescent="0.25">
      <c r="A528" s="2" t="s">
        <v>16</v>
      </c>
      <c r="B528" s="4">
        <v>46037</v>
      </c>
      <c r="C528" s="5">
        <v>0.52899305555555554</v>
      </c>
      <c r="D528" s="8" t="s">
        <v>533</v>
      </c>
      <c r="E528" s="8" t="s">
        <v>1607</v>
      </c>
      <c r="F528" s="8" t="s">
        <v>58</v>
      </c>
      <c r="H528" s="8" t="s">
        <v>2949</v>
      </c>
      <c r="I528" s="8" t="s">
        <v>9492</v>
      </c>
      <c r="J528" s="8" t="s">
        <v>2985</v>
      </c>
      <c r="K528" t="s">
        <v>9493</v>
      </c>
      <c r="L528" t="s">
        <v>9494</v>
      </c>
      <c r="M528" s="3" t="str">
        <f>HYPERLINK(склад2въезд131920212223[[#This Row],[RelativePath]])</f>
        <v>10 Сушилка навес\E33149364_3_20260115T124145Z.jpg</v>
      </c>
    </row>
    <row r="529" spans="1:13" x14ac:dyDescent="0.25">
      <c r="A529" s="2" t="s">
        <v>16</v>
      </c>
      <c r="B529" s="4">
        <v>46037</v>
      </c>
      <c r="C529" s="5">
        <v>0.61229166666666668</v>
      </c>
      <c r="D529" s="8" t="s">
        <v>1606</v>
      </c>
      <c r="E529" s="8" t="s">
        <v>9520</v>
      </c>
      <c r="F529" s="8"/>
      <c r="H529" s="8"/>
      <c r="I529" s="8" t="s">
        <v>9495</v>
      </c>
      <c r="J529" s="8" t="s">
        <v>2985</v>
      </c>
      <c r="K529" t="s">
        <v>9496</v>
      </c>
      <c r="L529" t="s">
        <v>9497</v>
      </c>
      <c r="M529" s="3" t="str">
        <f>HYPERLINK(склад2въезд131920212223[[#This Row],[RelativePath]])</f>
        <v>10 Сушилка навес\E33149364_3_20260115T144142Z.jpg</v>
      </c>
    </row>
    <row r="530" spans="1:13" x14ac:dyDescent="0.25">
      <c r="A530" s="2" t="s">
        <v>16</v>
      </c>
      <c r="B530" s="4">
        <v>46037</v>
      </c>
      <c r="C530" s="5">
        <v>0.65997685185185184</v>
      </c>
      <c r="D530" s="8" t="s">
        <v>650</v>
      </c>
      <c r="E530" s="8" t="s">
        <v>9520</v>
      </c>
      <c r="F530" s="8"/>
      <c r="H530" s="8"/>
      <c r="I530" s="8" t="s">
        <v>9498</v>
      </c>
      <c r="J530" s="8" t="s">
        <v>2985</v>
      </c>
      <c r="K530" t="s">
        <v>9499</v>
      </c>
      <c r="L530" t="s">
        <v>9500</v>
      </c>
      <c r="M530" s="3" t="str">
        <f>HYPERLINK(склад2въезд131920212223[[#This Row],[RelativePath]])</f>
        <v>10 Сушилка навес\E33149364_3_20260115T155022Z.jpg</v>
      </c>
    </row>
    <row r="531" spans="1:13" x14ac:dyDescent="0.25">
      <c r="A531" s="2" t="s">
        <v>16</v>
      </c>
      <c r="B531" s="4">
        <v>46037</v>
      </c>
      <c r="C531" s="5">
        <v>0.67829861111111112</v>
      </c>
      <c r="D531" s="8" t="s">
        <v>533</v>
      </c>
      <c r="E531" s="8" t="s">
        <v>1607</v>
      </c>
      <c r="F531" s="8" t="s">
        <v>58</v>
      </c>
      <c r="H531" s="8" t="s">
        <v>9519</v>
      </c>
      <c r="I531" s="8" t="s">
        <v>9501</v>
      </c>
      <c r="J531" s="8" t="s">
        <v>2985</v>
      </c>
      <c r="K531" t="s">
        <v>9502</v>
      </c>
      <c r="L531" t="s">
        <v>9503</v>
      </c>
      <c r="M531" s="3" t="str">
        <f>HYPERLINK(склад2въезд131920212223[[#This Row],[RelativePath]])</f>
        <v>10 Сушилка навес\E33149364_3_20260115T161645Z.jpg</v>
      </c>
    </row>
    <row r="532" spans="1:13" x14ac:dyDescent="0.25">
      <c r="A532" s="2" t="s">
        <v>17</v>
      </c>
      <c r="B532" s="4">
        <v>46038</v>
      </c>
      <c r="C532" s="5">
        <v>0.39101851851851854</v>
      </c>
      <c r="D532" s="8" t="s">
        <v>1606</v>
      </c>
      <c r="E532" s="8" t="s">
        <v>9521</v>
      </c>
      <c r="F532" s="8"/>
      <c r="H532" s="8"/>
      <c r="I532" s="8" t="s">
        <v>9504</v>
      </c>
      <c r="J532" s="8" t="s">
        <v>2985</v>
      </c>
      <c r="K532" t="s">
        <v>9505</v>
      </c>
      <c r="L532" t="s">
        <v>9506</v>
      </c>
      <c r="M532" s="3" t="str">
        <f>HYPERLINK(склад2въезд131920212223[[#This Row],[RelativePath]])</f>
        <v>10 Сушилка навес\E33149364_3_20260116T092304Z.jpg</v>
      </c>
    </row>
    <row r="533" spans="1:13" x14ac:dyDescent="0.25">
      <c r="A533" s="2" t="s">
        <v>17</v>
      </c>
      <c r="B533" s="4">
        <v>46038</v>
      </c>
      <c r="C533" s="5">
        <v>0.39223379629629629</v>
      </c>
      <c r="D533" s="8" t="s">
        <v>289</v>
      </c>
      <c r="E533" s="8" t="s">
        <v>9521</v>
      </c>
      <c r="F533" s="8" t="s">
        <v>2944</v>
      </c>
      <c r="H533" s="8"/>
      <c r="I533" s="8" t="s">
        <v>9507</v>
      </c>
      <c r="J533" s="8" t="s">
        <v>2985</v>
      </c>
      <c r="K533" t="s">
        <v>9508</v>
      </c>
      <c r="L533" t="s">
        <v>9509</v>
      </c>
      <c r="M533" s="3" t="str">
        <f>HYPERLINK(склад2въезд131920212223[[#This Row],[RelativePath]])</f>
        <v>10 Сушилка навес\E33149364_3_20260116T092449Z.jpg</v>
      </c>
    </row>
    <row r="534" spans="1:13" x14ac:dyDescent="0.25">
      <c r="A534" s="2" t="s">
        <v>17</v>
      </c>
      <c r="B534" s="4">
        <v>46038</v>
      </c>
      <c r="C534" s="5">
        <v>0.40317129629629628</v>
      </c>
      <c r="D534" s="8" t="s">
        <v>650</v>
      </c>
      <c r="E534" s="8" t="s">
        <v>9521</v>
      </c>
      <c r="F534" s="8" t="s">
        <v>2944</v>
      </c>
      <c r="H534" s="8"/>
      <c r="I534" s="8" t="s">
        <v>9510</v>
      </c>
      <c r="J534" s="8" t="s">
        <v>2985</v>
      </c>
      <c r="K534" t="s">
        <v>9511</v>
      </c>
      <c r="L534" t="s">
        <v>9512</v>
      </c>
      <c r="M534" s="3" t="str">
        <f>HYPERLINK(склад2въезд131920212223[[#This Row],[RelativePath]])</f>
        <v>10 Сушилка навес\E33149364_3_20260116T094034Z.jpg</v>
      </c>
    </row>
    <row r="535" spans="1:13" x14ac:dyDescent="0.25">
      <c r="A535" s="2" t="s">
        <v>17</v>
      </c>
      <c r="B535" s="4">
        <v>46038</v>
      </c>
      <c r="C535" s="5">
        <v>0.52334490740740736</v>
      </c>
      <c r="D535" s="8" t="s">
        <v>533</v>
      </c>
      <c r="E535" s="8" t="s">
        <v>1607</v>
      </c>
      <c r="F535" s="8" t="s">
        <v>58</v>
      </c>
      <c r="H535" s="8" t="s">
        <v>9519</v>
      </c>
      <c r="I535" s="8" t="s">
        <v>9513</v>
      </c>
      <c r="J535" s="8" t="s">
        <v>2985</v>
      </c>
      <c r="K535" t="s">
        <v>9514</v>
      </c>
      <c r="L535" t="s">
        <v>9515</v>
      </c>
      <c r="M535" s="3" t="str">
        <f>HYPERLINK(склад2въезд131920212223[[#This Row],[RelativePath]])</f>
        <v>10 Сушилка навес\E33149364_3_20260116T123337Z.jpg</v>
      </c>
    </row>
    <row r="536" spans="1:13" x14ac:dyDescent="0.25">
      <c r="A536" s="2" t="s">
        <v>17</v>
      </c>
      <c r="B536" s="4">
        <v>46038</v>
      </c>
      <c r="C536" s="5">
        <v>0.68223379629629632</v>
      </c>
      <c r="D536" s="8" t="s">
        <v>4</v>
      </c>
      <c r="E536" s="8" t="s">
        <v>8</v>
      </c>
      <c r="F536" s="8"/>
      <c r="H536" s="8"/>
      <c r="I536" s="8" t="s">
        <v>9516</v>
      </c>
      <c r="J536" s="8" t="s">
        <v>2985</v>
      </c>
      <c r="K536" t="s">
        <v>9517</v>
      </c>
      <c r="L536" t="s">
        <v>9518</v>
      </c>
      <c r="M536" s="3" t="str">
        <f>HYPERLINK(склад2въезд131920212223[[#This Row],[RelativePath]])</f>
        <v>10 Сушилка навес\E33149364_3_20260116T162225Z.jpg</v>
      </c>
    </row>
    <row r="537" spans="1:13" x14ac:dyDescent="0.25">
      <c r="A537" s="2" t="s">
        <v>18</v>
      </c>
      <c r="B537" s="4">
        <v>46039</v>
      </c>
      <c r="C537" s="5">
        <v>0.61101851851851852</v>
      </c>
      <c r="D537" s="8" t="s">
        <v>4</v>
      </c>
      <c r="E537" s="8" t="s">
        <v>6656</v>
      </c>
      <c r="F537" s="8" t="s">
        <v>9339</v>
      </c>
      <c r="H537" s="8"/>
      <c r="I537" s="8" t="s">
        <v>9657</v>
      </c>
      <c r="J537" s="8" t="s">
        <v>2985</v>
      </c>
      <c r="K537" t="s">
        <v>9658</v>
      </c>
      <c r="L537" t="s">
        <v>9659</v>
      </c>
      <c r="M537" s="3" t="str">
        <f>HYPERLINK(склад2въезд131920212223[[#This Row],[RelativePath]])</f>
        <v>10 Сушилка навес\E33149364_3_20260117T143952Z.jpg</v>
      </c>
    </row>
    <row r="538" spans="1:13" x14ac:dyDescent="0.25">
      <c r="A538" s="2" t="s">
        <v>18</v>
      </c>
      <c r="B538" s="4">
        <v>46039</v>
      </c>
      <c r="C538" s="5">
        <v>0.65752314814814816</v>
      </c>
      <c r="D538" s="8" t="s">
        <v>4</v>
      </c>
      <c r="E538" s="8" t="s">
        <v>6656</v>
      </c>
      <c r="F538" s="8" t="s">
        <v>9339</v>
      </c>
      <c r="H538" s="8"/>
      <c r="I538" s="8" t="s">
        <v>9660</v>
      </c>
      <c r="J538" s="8" t="s">
        <v>2985</v>
      </c>
      <c r="K538" t="s">
        <v>9661</v>
      </c>
      <c r="L538" t="s">
        <v>9662</v>
      </c>
      <c r="M538" s="3" t="str">
        <f>HYPERLINK(склад2въезд131920212223[[#This Row],[RelativePath]])</f>
        <v>10 Сушилка навес\E33149364_3_20260117T154650Z.jpg</v>
      </c>
    </row>
    <row r="539" spans="1:13" x14ac:dyDescent="0.25">
      <c r="A539" s="2" t="s">
        <v>22</v>
      </c>
      <c r="B539" s="4">
        <v>46040</v>
      </c>
      <c r="C539" s="5">
        <v>0.63092592592592589</v>
      </c>
      <c r="D539" s="8" t="s">
        <v>533</v>
      </c>
      <c r="E539" s="8" t="s">
        <v>1607</v>
      </c>
      <c r="F539" s="8" t="s">
        <v>58</v>
      </c>
      <c r="H539" s="8"/>
      <c r="I539" s="8" t="s">
        <v>9663</v>
      </c>
      <c r="J539" s="8" t="s">
        <v>2985</v>
      </c>
      <c r="K539" t="s">
        <v>9664</v>
      </c>
      <c r="L539" t="s">
        <v>9665</v>
      </c>
      <c r="M539" s="3" t="str">
        <f>HYPERLINK(склад2въезд131920212223[[#This Row],[RelativePath]])</f>
        <v>10 Сушилка навес\E33149364_3_20260118T150832Z.jpg</v>
      </c>
    </row>
    <row r="540" spans="1:13" x14ac:dyDescent="0.25">
      <c r="A540" s="2" t="s">
        <v>13</v>
      </c>
      <c r="B540" s="4">
        <v>46041</v>
      </c>
      <c r="C540" s="5">
        <v>0.68579861111111107</v>
      </c>
      <c r="D540" s="8" t="s">
        <v>2004</v>
      </c>
      <c r="E540" s="8" t="s">
        <v>8</v>
      </c>
      <c r="F540" s="8"/>
      <c r="H540" s="8"/>
      <c r="I540" s="8" t="s">
        <v>9825</v>
      </c>
      <c r="J540" s="8" t="s">
        <v>2985</v>
      </c>
      <c r="K540" t="s">
        <v>9826</v>
      </c>
      <c r="L540" t="s">
        <v>9827</v>
      </c>
      <c r="M540" s="3" t="str">
        <f>HYPERLINK(склад2въезд131920212223[[#This Row],[RelativePath]])</f>
        <v>10 Сушилка навес\E33149364_3_20260119T162733Z.jpg</v>
      </c>
    </row>
    <row r="541" spans="1:13" x14ac:dyDescent="0.25">
      <c r="A541" s="2" t="s">
        <v>14</v>
      </c>
      <c r="B541" s="4">
        <v>46042</v>
      </c>
      <c r="C541" s="5">
        <v>0.39603009259259259</v>
      </c>
      <c r="D541" s="8" t="s">
        <v>533</v>
      </c>
      <c r="E541" s="8" t="s">
        <v>1607</v>
      </c>
      <c r="F541" s="8" t="s">
        <v>58</v>
      </c>
      <c r="H541" s="8"/>
      <c r="I541" s="8" t="s">
        <v>9828</v>
      </c>
      <c r="J541" s="8" t="s">
        <v>2985</v>
      </c>
      <c r="K541" t="s">
        <v>9829</v>
      </c>
      <c r="L541" t="s">
        <v>9830</v>
      </c>
      <c r="M541" s="3" t="str">
        <f>HYPERLINK(склад2въезд131920212223[[#This Row],[RelativePath]])</f>
        <v>10 Сушилка навес\E33149364_3_20260120T093017Z.jpg</v>
      </c>
    </row>
    <row r="542" spans="1:13" x14ac:dyDescent="0.25">
      <c r="A542" s="2" t="s">
        <v>14</v>
      </c>
      <c r="B542" s="4">
        <v>46042</v>
      </c>
      <c r="C542" s="5">
        <v>0.42540509259259257</v>
      </c>
      <c r="D542" s="8" t="s">
        <v>4223</v>
      </c>
      <c r="E542" s="8" t="s">
        <v>86</v>
      </c>
      <c r="F542" s="8" t="s">
        <v>9202</v>
      </c>
      <c r="H542" s="8"/>
      <c r="I542" s="8" t="s">
        <v>9831</v>
      </c>
      <c r="J542" s="8" t="s">
        <v>2985</v>
      </c>
      <c r="K542" t="s">
        <v>9832</v>
      </c>
      <c r="L542" t="s">
        <v>9833</v>
      </c>
      <c r="M542" s="3" t="str">
        <f>HYPERLINK(склад2въезд131920212223[[#This Row],[RelativePath]])</f>
        <v>10 Сушилка навес\E33149364_3_20260120T101235Z.jpg</v>
      </c>
    </row>
    <row r="543" spans="1:13" x14ac:dyDescent="0.25">
      <c r="A543" s="2" t="s">
        <v>14</v>
      </c>
      <c r="B543" s="4">
        <v>46042</v>
      </c>
      <c r="C543" s="5">
        <v>0.43747685185185187</v>
      </c>
      <c r="D543" s="8" t="s">
        <v>4223</v>
      </c>
      <c r="E543" s="8" t="s">
        <v>86</v>
      </c>
      <c r="F543" s="8" t="s">
        <v>9202</v>
      </c>
      <c r="H543" s="8"/>
      <c r="I543" s="8" t="s">
        <v>9834</v>
      </c>
      <c r="J543" s="8" t="s">
        <v>2985</v>
      </c>
      <c r="K543" t="s">
        <v>9835</v>
      </c>
      <c r="L543" t="s">
        <v>9836</v>
      </c>
      <c r="M543" s="3" t="str">
        <f>HYPERLINK(склад2въезд131920212223[[#This Row],[RelativePath]])</f>
        <v>10 Сушилка навес\E33149364_3_20260120T102958Z.jpg</v>
      </c>
    </row>
    <row r="544" spans="1:13" x14ac:dyDescent="0.25">
      <c r="A544" s="2" t="s">
        <v>14</v>
      </c>
      <c r="B544" s="4">
        <v>46042</v>
      </c>
      <c r="C544" s="5">
        <v>0.44299768518518517</v>
      </c>
      <c r="D544" s="8" t="s">
        <v>4223</v>
      </c>
      <c r="E544" s="8" t="s">
        <v>86</v>
      </c>
      <c r="F544" s="8" t="s">
        <v>9202</v>
      </c>
      <c r="H544" s="8"/>
      <c r="I544" s="8" t="s">
        <v>9837</v>
      </c>
      <c r="J544" s="8" t="s">
        <v>2985</v>
      </c>
      <c r="K544" t="s">
        <v>9838</v>
      </c>
      <c r="L544" t="s">
        <v>9839</v>
      </c>
      <c r="M544" s="3" t="str">
        <f>HYPERLINK(склад2въезд131920212223[[#This Row],[RelativePath]])</f>
        <v>10 Сушилка навес\E33149364_3_20260120T103755Z.jpg</v>
      </c>
    </row>
    <row r="545" spans="1:13" x14ac:dyDescent="0.25">
      <c r="A545" s="2" t="s">
        <v>15</v>
      </c>
      <c r="B545" s="4">
        <v>46043</v>
      </c>
      <c r="C545" s="5">
        <v>0.4676851851851852</v>
      </c>
      <c r="D545" s="8" t="s">
        <v>1606</v>
      </c>
      <c r="E545" s="8" t="s">
        <v>10140</v>
      </c>
      <c r="F545" s="8"/>
      <c r="H545" s="8"/>
      <c r="I545" s="8" t="s">
        <v>10044</v>
      </c>
      <c r="J545" s="8" t="s">
        <v>2985</v>
      </c>
      <c r="K545" t="s">
        <v>10045</v>
      </c>
      <c r="L545" t="s">
        <v>10046</v>
      </c>
      <c r="M545" s="3" t="str">
        <f>HYPERLINK(склад2въезд131920212223[[#This Row],[RelativePath]])</f>
        <v>10 Сушилка навес\E33149364_3_20260121T111328Z.jpg</v>
      </c>
    </row>
    <row r="546" spans="1:13" x14ac:dyDescent="0.25">
      <c r="A546" s="2" t="s">
        <v>15</v>
      </c>
      <c r="B546" s="4">
        <v>46043</v>
      </c>
      <c r="C546" s="5">
        <v>0.49844907407407407</v>
      </c>
      <c r="D546" s="8" t="s">
        <v>650</v>
      </c>
      <c r="E546" s="8" t="s">
        <v>10140</v>
      </c>
      <c r="F546" s="8"/>
      <c r="H546" s="8"/>
      <c r="I546" s="8" t="s">
        <v>10047</v>
      </c>
      <c r="J546" s="8" t="s">
        <v>2985</v>
      </c>
      <c r="K546" t="s">
        <v>10048</v>
      </c>
      <c r="L546" t="s">
        <v>10049</v>
      </c>
      <c r="M546" s="3" t="str">
        <f>HYPERLINK(склад2въезд131920212223[[#This Row],[RelativePath]])</f>
        <v>10 Сушилка навес\E33149364_3_20260121T115746Z.jpg</v>
      </c>
    </row>
    <row r="547" spans="1:13" x14ac:dyDescent="0.25">
      <c r="A547" s="2" t="s">
        <v>15</v>
      </c>
      <c r="B547" s="4">
        <v>46043</v>
      </c>
      <c r="C547" s="5">
        <v>0.56027777777777776</v>
      </c>
      <c r="D547" s="8" t="s">
        <v>159</v>
      </c>
      <c r="E547" s="8" t="s">
        <v>10140</v>
      </c>
      <c r="F547" s="8"/>
      <c r="H547" s="8"/>
      <c r="I547" s="8" t="s">
        <v>10050</v>
      </c>
      <c r="J547" s="8" t="s">
        <v>2985</v>
      </c>
      <c r="K547" t="s">
        <v>10051</v>
      </c>
      <c r="L547" t="s">
        <v>10052</v>
      </c>
      <c r="M547" s="3" t="str">
        <f>HYPERLINK(склад2въезд131920212223[[#This Row],[RelativePath]])</f>
        <v>10 Сушилка навес\E33149364_3_20260121T132648Z.jpg</v>
      </c>
    </row>
    <row r="548" spans="1:13" x14ac:dyDescent="0.25">
      <c r="A548" s="2" t="s">
        <v>15</v>
      </c>
      <c r="B548" s="4">
        <v>46043</v>
      </c>
      <c r="C548" s="5">
        <v>0.59810185185185183</v>
      </c>
      <c r="D548" s="8" t="s">
        <v>533</v>
      </c>
      <c r="E548" s="8" t="s">
        <v>1607</v>
      </c>
      <c r="F548" s="8" t="s">
        <v>58</v>
      </c>
      <c r="H548" s="8"/>
      <c r="I548" s="8" t="s">
        <v>10053</v>
      </c>
      <c r="J548" s="8" t="s">
        <v>2985</v>
      </c>
      <c r="K548" t="s">
        <v>10054</v>
      </c>
      <c r="L548" t="s">
        <v>10055</v>
      </c>
      <c r="M548" s="3" t="str">
        <f>HYPERLINK(склад2въезд131920212223[[#This Row],[RelativePath]])</f>
        <v>10 Сушилка навес\E33149364_3_20260121T142116Z.jpg</v>
      </c>
    </row>
    <row r="549" spans="1:13" x14ac:dyDescent="0.25">
      <c r="A549" s="2" t="s">
        <v>15</v>
      </c>
      <c r="B549" s="4">
        <v>46043</v>
      </c>
      <c r="C549" s="5">
        <v>0.82384259259259263</v>
      </c>
      <c r="D549" s="8" t="s">
        <v>10141</v>
      </c>
      <c r="E549" s="8" t="s">
        <v>10140</v>
      </c>
      <c r="F549" s="8"/>
      <c r="H549" s="8"/>
      <c r="I549" s="8" t="s">
        <v>10056</v>
      </c>
      <c r="J549" s="8" t="s">
        <v>2985</v>
      </c>
      <c r="K549" t="s">
        <v>10057</v>
      </c>
      <c r="L549" t="s">
        <v>10058</v>
      </c>
      <c r="M549" s="3" t="str">
        <f>HYPERLINK(склад2въезд131920212223[[#This Row],[RelativePath]])</f>
        <v>10 Сушилка навес\E33149364_3_20260121T194620Z.jpg</v>
      </c>
    </row>
    <row r="550" spans="1:13" x14ac:dyDescent="0.25">
      <c r="A550" s="2" t="s">
        <v>16</v>
      </c>
      <c r="B550" s="4">
        <v>46044</v>
      </c>
      <c r="C550" s="5">
        <v>0.49981481481481482</v>
      </c>
      <c r="D550" s="8" t="s">
        <v>533</v>
      </c>
      <c r="E550" s="8" t="s">
        <v>1607</v>
      </c>
      <c r="F550" s="8" t="s">
        <v>58</v>
      </c>
      <c r="H550" s="8"/>
      <c r="I550" s="8" t="s">
        <v>10059</v>
      </c>
      <c r="J550" s="8" t="s">
        <v>2985</v>
      </c>
      <c r="K550" t="s">
        <v>10060</v>
      </c>
      <c r="L550" t="s">
        <v>10061</v>
      </c>
      <c r="M550" s="3" t="str">
        <f>HYPERLINK(склад2въезд131920212223[[#This Row],[RelativePath]])</f>
        <v>10 Сушилка навес\E33149364_3_20260122T115944Z.jpg</v>
      </c>
    </row>
    <row r="551" spans="1:13" x14ac:dyDescent="0.25">
      <c r="A551" s="2" t="s">
        <v>16</v>
      </c>
      <c r="B551" s="4">
        <v>46044</v>
      </c>
      <c r="C551" s="5">
        <v>0.50148148148148153</v>
      </c>
      <c r="D551" s="8" t="s">
        <v>4223</v>
      </c>
      <c r="E551" s="8" t="s">
        <v>86</v>
      </c>
      <c r="F551" s="8" t="s">
        <v>9202</v>
      </c>
      <c r="H551" s="8"/>
      <c r="I551" s="8" t="s">
        <v>10062</v>
      </c>
      <c r="J551" s="8" t="s">
        <v>2985</v>
      </c>
      <c r="K551" t="s">
        <v>10063</v>
      </c>
      <c r="L551" t="s">
        <v>10064</v>
      </c>
      <c r="M551" s="3" t="str">
        <f>HYPERLINK(склад2въезд131920212223[[#This Row],[RelativePath]])</f>
        <v>10 Сушилка навес\E33149364_3_20260122T120208Z.jpg</v>
      </c>
    </row>
    <row r="552" spans="1:13" x14ac:dyDescent="0.25">
      <c r="A552" s="2" t="s">
        <v>16</v>
      </c>
      <c r="B552" s="4">
        <v>46044</v>
      </c>
      <c r="C552" s="5">
        <v>0.50605324074074076</v>
      </c>
      <c r="D552" s="8" t="s">
        <v>159</v>
      </c>
      <c r="E552" s="8" t="s">
        <v>4193</v>
      </c>
      <c r="F552" s="8"/>
      <c r="H552" s="8"/>
      <c r="I552" s="8" t="s">
        <v>10065</v>
      </c>
      <c r="J552" s="8" t="s">
        <v>2985</v>
      </c>
      <c r="K552" t="s">
        <v>10066</v>
      </c>
      <c r="L552" t="s">
        <v>10067</v>
      </c>
      <c r="M552" s="3" t="str">
        <f>HYPERLINK(склад2въезд131920212223[[#This Row],[RelativePath]])</f>
        <v>10 Сушилка навес\E33149364_3_20260122T120843Z.jpg</v>
      </c>
    </row>
    <row r="553" spans="1:13" x14ac:dyDescent="0.25">
      <c r="A553" s="2" t="s">
        <v>16</v>
      </c>
      <c r="B553" s="4">
        <v>46044</v>
      </c>
      <c r="C553" s="5">
        <v>0.51615740740740745</v>
      </c>
      <c r="D553" s="8" t="s">
        <v>533</v>
      </c>
      <c r="E553" s="8" t="s">
        <v>1607</v>
      </c>
      <c r="F553" s="8" t="s">
        <v>58</v>
      </c>
      <c r="H553" s="8"/>
      <c r="I553" s="8" t="s">
        <v>10068</v>
      </c>
      <c r="J553" s="8" t="s">
        <v>2985</v>
      </c>
      <c r="K553" t="s">
        <v>10069</v>
      </c>
      <c r="L553" t="s">
        <v>10070</v>
      </c>
      <c r="M553" s="3" t="str">
        <f>HYPERLINK(склад2въезд131920212223[[#This Row],[RelativePath]])</f>
        <v>10 Сушилка навес\E33149364_3_20260122T122316Z.jpg</v>
      </c>
    </row>
    <row r="554" spans="1:13" x14ac:dyDescent="0.25">
      <c r="A554" s="2" t="s">
        <v>16</v>
      </c>
      <c r="B554" s="4">
        <v>46044</v>
      </c>
      <c r="C554" s="5">
        <v>0.52630787037037041</v>
      </c>
      <c r="D554" s="8" t="s">
        <v>10142</v>
      </c>
      <c r="E554" s="8" t="s">
        <v>4193</v>
      </c>
      <c r="F554" s="8"/>
      <c r="H554" s="8"/>
      <c r="I554" s="8" t="s">
        <v>10071</v>
      </c>
      <c r="J554" s="8" t="s">
        <v>2985</v>
      </c>
      <c r="K554" t="s">
        <v>10072</v>
      </c>
      <c r="L554" t="s">
        <v>10073</v>
      </c>
      <c r="M554" s="3" t="str">
        <f>HYPERLINK(склад2въезд131920212223[[#This Row],[RelativePath]])</f>
        <v>10 Сушилка навес\E33149364_3_20260122T123753Z.jpg</v>
      </c>
    </row>
    <row r="555" spans="1:13" x14ac:dyDescent="0.25">
      <c r="A555" s="2" t="s">
        <v>16</v>
      </c>
      <c r="B555" s="4">
        <v>46044</v>
      </c>
      <c r="C555" s="5">
        <v>0.52642361111111113</v>
      </c>
      <c r="D555" s="8" t="s">
        <v>533</v>
      </c>
      <c r="E555" s="8" t="s">
        <v>1607</v>
      </c>
      <c r="F555" s="8" t="s">
        <v>58</v>
      </c>
      <c r="H555" s="8"/>
      <c r="I555" s="8" t="s">
        <v>10074</v>
      </c>
      <c r="J555" s="8" t="s">
        <v>2985</v>
      </c>
      <c r="K555" t="s">
        <v>10075</v>
      </c>
      <c r="L555" t="s">
        <v>10076</v>
      </c>
      <c r="M555" s="3" t="str">
        <f>HYPERLINK(склад2въезд131920212223[[#This Row],[RelativePath]])</f>
        <v>10 Сушилка навес\E33149364_3_20260122T123803Z.jpg</v>
      </c>
    </row>
    <row r="556" spans="1:13" x14ac:dyDescent="0.25">
      <c r="A556" s="2" t="s">
        <v>16</v>
      </c>
      <c r="B556" s="4">
        <v>46044</v>
      </c>
      <c r="C556" s="5">
        <v>0.60675925925925922</v>
      </c>
      <c r="D556" s="8" t="s">
        <v>4223</v>
      </c>
      <c r="E556" s="8" t="s">
        <v>86</v>
      </c>
      <c r="F556" s="8" t="s">
        <v>9202</v>
      </c>
      <c r="H556" s="8" t="s">
        <v>4236</v>
      </c>
      <c r="I556" s="8" t="s">
        <v>10077</v>
      </c>
      <c r="J556" s="8" t="s">
        <v>2985</v>
      </c>
      <c r="K556" t="s">
        <v>10078</v>
      </c>
      <c r="L556" t="s">
        <v>10079</v>
      </c>
      <c r="M556" s="3" t="str">
        <f>HYPERLINK(склад2въезд131920212223[[#This Row],[RelativePath]])</f>
        <v>10 Сушилка навес\E33149364_3_20260122T143344Z.jpg</v>
      </c>
    </row>
    <row r="557" spans="1:13" x14ac:dyDescent="0.25">
      <c r="A557" s="2" t="s">
        <v>16</v>
      </c>
      <c r="B557" s="4">
        <v>46044</v>
      </c>
      <c r="C557" s="5">
        <v>0.6099768518518518</v>
      </c>
      <c r="D557" s="8" t="s">
        <v>4223</v>
      </c>
      <c r="E557" s="8" t="s">
        <v>86</v>
      </c>
      <c r="F557" s="8" t="s">
        <v>9202</v>
      </c>
      <c r="H557" s="8" t="s">
        <v>4236</v>
      </c>
      <c r="I557" s="8" t="s">
        <v>10080</v>
      </c>
      <c r="J557" s="8" t="s">
        <v>2985</v>
      </c>
      <c r="K557" t="s">
        <v>10081</v>
      </c>
      <c r="L557" t="s">
        <v>10082</v>
      </c>
      <c r="M557" s="3" t="str">
        <f>HYPERLINK(склад2въезд131920212223[[#This Row],[RelativePath]])</f>
        <v>10 Сушилка навес\E33149364_3_20260122T143822Z.jpg</v>
      </c>
    </row>
    <row r="558" spans="1:13" x14ac:dyDescent="0.25">
      <c r="A558" s="2" t="s">
        <v>16</v>
      </c>
      <c r="B558" s="4">
        <v>46044</v>
      </c>
      <c r="C558" s="5">
        <v>0.65746527777777775</v>
      </c>
      <c r="D558" s="8" t="s">
        <v>533</v>
      </c>
      <c r="E558" s="8" t="s">
        <v>1607</v>
      </c>
      <c r="F558" s="8" t="s">
        <v>53</v>
      </c>
      <c r="H558" s="8"/>
      <c r="I558" s="8" t="s">
        <v>10083</v>
      </c>
      <c r="J558" s="8" t="s">
        <v>2985</v>
      </c>
      <c r="K558" t="s">
        <v>10084</v>
      </c>
      <c r="L558" t="s">
        <v>10085</v>
      </c>
      <c r="M558" s="3" t="str">
        <f>HYPERLINK(склад2въезд131920212223[[#This Row],[RelativePath]])</f>
        <v>10 Сушилка навес\E33149364_3_20260122T154645Z.jpg</v>
      </c>
    </row>
    <row r="559" spans="1:13" x14ac:dyDescent="0.25">
      <c r="A559" s="2" t="s">
        <v>17</v>
      </c>
      <c r="B559" s="4">
        <v>46045</v>
      </c>
      <c r="C559" s="5">
        <v>0.39099537037037035</v>
      </c>
      <c r="D559" s="8" t="s">
        <v>10442</v>
      </c>
      <c r="E559" s="8" t="s">
        <v>1607</v>
      </c>
      <c r="F559" s="8"/>
      <c r="H559" s="8"/>
      <c r="I559" s="8" t="s">
        <v>10386</v>
      </c>
      <c r="J559" s="8" t="s">
        <v>2985</v>
      </c>
      <c r="K559" t="s">
        <v>10387</v>
      </c>
      <c r="L559" t="s">
        <v>10388</v>
      </c>
      <c r="M559" s="3" t="str">
        <f>HYPERLINK(склад2въезд131920212223[[#This Row],[RelativePath]])</f>
        <v>10 Сушилка навес\E33149364_3_20260123T092302Z.jpg</v>
      </c>
    </row>
    <row r="560" spans="1:13" x14ac:dyDescent="0.25">
      <c r="A560" s="2" t="s">
        <v>17</v>
      </c>
      <c r="B560" s="4">
        <v>46045</v>
      </c>
      <c r="C560" s="5">
        <v>0.59203703703703703</v>
      </c>
      <c r="D560" s="8" t="s">
        <v>289</v>
      </c>
      <c r="E560" s="8" t="s">
        <v>9521</v>
      </c>
      <c r="F560" s="8" t="s">
        <v>58</v>
      </c>
      <c r="H560" s="8" t="s">
        <v>10443</v>
      </c>
      <c r="I560" s="8" t="s">
        <v>10394</v>
      </c>
      <c r="J560" s="8" t="s">
        <v>2985</v>
      </c>
      <c r="K560" t="s">
        <v>10395</v>
      </c>
      <c r="L560" t="s">
        <v>10396</v>
      </c>
      <c r="M560" s="3" t="str">
        <f>HYPERLINK(склад2въезд131920212223[[#This Row],[RelativePath]])</f>
        <v>10 Сушилка навес\E33149364_3_20260123T141232Z.jpg</v>
      </c>
    </row>
    <row r="561" spans="1:13" x14ac:dyDescent="0.25">
      <c r="A561" s="2" t="s">
        <v>17</v>
      </c>
      <c r="B561" s="4">
        <v>46045</v>
      </c>
      <c r="C561" s="5">
        <v>0.59375</v>
      </c>
      <c r="D561" s="8" t="s">
        <v>650</v>
      </c>
      <c r="E561" s="8" t="s">
        <v>9521</v>
      </c>
      <c r="F561" s="8" t="s">
        <v>58</v>
      </c>
      <c r="H561" s="8" t="s">
        <v>10444</v>
      </c>
      <c r="I561" s="8" t="s">
        <v>10397</v>
      </c>
      <c r="J561" s="8" t="s">
        <v>2985</v>
      </c>
      <c r="K561" t="s">
        <v>10398</v>
      </c>
      <c r="L561" t="s">
        <v>10399</v>
      </c>
      <c r="M561" s="3" t="str">
        <f>HYPERLINK(склад2въезд131920212223[[#This Row],[RelativePath]])</f>
        <v>10 Сушилка навес\E33149364_3_20260123T141500Z.jpg</v>
      </c>
    </row>
    <row r="562" spans="1:13" x14ac:dyDescent="0.25">
      <c r="A562" s="2" t="s">
        <v>18</v>
      </c>
      <c r="B562" s="4">
        <v>46046</v>
      </c>
      <c r="C562" s="5">
        <v>0.46934027777777776</v>
      </c>
      <c r="D562" s="8" t="s">
        <v>4</v>
      </c>
      <c r="E562" s="8" t="s">
        <v>10524</v>
      </c>
      <c r="F562" s="8"/>
      <c r="H562" s="8"/>
      <c r="I562" s="8" t="s">
        <v>10521</v>
      </c>
      <c r="J562" s="8" t="s">
        <v>2985</v>
      </c>
      <c r="K562" t="s">
        <v>10522</v>
      </c>
      <c r="L562" t="s">
        <v>10523</v>
      </c>
      <c r="M562" s="3" t="str">
        <f>HYPERLINK(склад2въезд131920212223[[#This Row],[RelativePath]])</f>
        <v>10 Сушилка навес\E33149364_3_20260124T111551Z.jpg</v>
      </c>
    </row>
    <row r="563" spans="1:13" x14ac:dyDescent="0.25">
      <c r="A563" s="2" t="s">
        <v>22</v>
      </c>
      <c r="B563" s="4">
        <v>46047</v>
      </c>
      <c r="C563" s="5">
        <v>0.70607638888888891</v>
      </c>
      <c r="D563" s="8" t="s">
        <v>4</v>
      </c>
      <c r="E563" s="8" t="s">
        <v>462</v>
      </c>
      <c r="F563" s="8"/>
      <c r="H563" s="8"/>
      <c r="I563" s="8" t="s">
        <v>10470</v>
      </c>
      <c r="J563" s="8" t="s">
        <v>2985</v>
      </c>
      <c r="K563" t="s">
        <v>10471</v>
      </c>
      <c r="L563" t="s">
        <v>10472</v>
      </c>
      <c r="M563" s="3" t="str">
        <f>HYPERLINK(склад2въезд131920212223[[#This Row],[RelativePath]])</f>
        <v>10 Сушилка навес\E33149364_3_20260125T165645Z.jpg</v>
      </c>
    </row>
    <row r="564" spans="1:13" x14ac:dyDescent="0.25">
      <c r="A564" s="2" t="s">
        <v>13</v>
      </c>
      <c r="B564" s="4">
        <v>46048</v>
      </c>
      <c r="C564" s="5">
        <v>0.52285879629629628</v>
      </c>
      <c r="D564" s="8" t="s">
        <v>4</v>
      </c>
      <c r="E564" s="8" t="s">
        <v>10638</v>
      </c>
      <c r="F564" s="8"/>
      <c r="H564" s="8"/>
      <c r="I564" s="8" t="s">
        <v>10600</v>
      </c>
      <c r="J564" s="8" t="s">
        <v>2985</v>
      </c>
      <c r="K564" t="s">
        <v>10601</v>
      </c>
      <c r="L564" t="s">
        <v>10602</v>
      </c>
      <c r="M564" s="3" t="str">
        <f>HYPERLINK(склад2въезд131920212223[[#This Row],[RelativePath]])</f>
        <v>10 Сушилка навес\E33149364_3_20260126T123255Z.jpg</v>
      </c>
    </row>
    <row r="565" spans="1:13" x14ac:dyDescent="0.25">
      <c r="A565" s="2" t="s">
        <v>14</v>
      </c>
      <c r="B565" s="4">
        <v>46049</v>
      </c>
      <c r="C565" s="5">
        <v>0.54361111111111116</v>
      </c>
      <c r="D565" s="8" t="s">
        <v>4</v>
      </c>
      <c r="E565" s="8" t="s">
        <v>10638</v>
      </c>
      <c r="F565" s="8"/>
      <c r="H565" s="8"/>
      <c r="I565" s="8" t="s">
        <v>10603</v>
      </c>
      <c r="J565" s="8" t="s">
        <v>2985</v>
      </c>
      <c r="K565" t="s">
        <v>10604</v>
      </c>
      <c r="L565" t="s">
        <v>10605</v>
      </c>
      <c r="M565" s="3" t="str">
        <f>HYPERLINK(склад2въезд131920212223[[#This Row],[RelativePath]])</f>
        <v>10 Сушилка навес\E33149364_3_20260127T130248Z.jpg</v>
      </c>
    </row>
    <row r="566" spans="1:13" x14ac:dyDescent="0.25">
      <c r="A566" s="2" t="s">
        <v>14</v>
      </c>
      <c r="B566" s="4">
        <v>46049</v>
      </c>
      <c r="C566" s="5">
        <v>0.67454861111111108</v>
      </c>
      <c r="D566" s="8" t="s">
        <v>4</v>
      </c>
      <c r="E566" s="8" t="s">
        <v>10638</v>
      </c>
      <c r="F566" s="8"/>
      <c r="H566" s="8"/>
      <c r="I566" s="8" t="s">
        <v>10606</v>
      </c>
      <c r="J566" s="8" t="s">
        <v>2985</v>
      </c>
      <c r="K566" t="s">
        <v>10607</v>
      </c>
      <c r="L566" t="s">
        <v>10608</v>
      </c>
      <c r="M566" s="3" t="str">
        <f>HYPERLINK(склад2въезд131920212223[[#This Row],[RelativePath]])</f>
        <v>10 Сушилка навес\E33149364_3_20260127T161121Z.jpg</v>
      </c>
    </row>
    <row r="567" spans="1:13" x14ac:dyDescent="0.25">
      <c r="A567" s="2" t="s">
        <v>14</v>
      </c>
      <c r="B567" s="4">
        <v>46049</v>
      </c>
      <c r="C567" s="5">
        <v>0.69666666666666666</v>
      </c>
      <c r="D567" s="8" t="s">
        <v>4</v>
      </c>
      <c r="E567" s="8" t="s">
        <v>10524</v>
      </c>
      <c r="F567" s="8"/>
      <c r="H567" s="8"/>
      <c r="I567" s="8" t="s">
        <v>10609</v>
      </c>
      <c r="J567" s="8" t="s">
        <v>2985</v>
      </c>
      <c r="K567" t="s">
        <v>10610</v>
      </c>
      <c r="L567" t="s">
        <v>10611</v>
      </c>
      <c r="M567" s="3" t="str">
        <f>HYPERLINK(склад2въезд131920212223[[#This Row],[RelativePath]])</f>
        <v>10 Сушилка навес\E33149364_3_20260127T164312Z.jpg</v>
      </c>
    </row>
    <row r="568" spans="1:13" x14ac:dyDescent="0.25">
      <c r="A568" s="2" t="s">
        <v>15</v>
      </c>
      <c r="B568" s="4">
        <v>46050</v>
      </c>
      <c r="C568" s="5">
        <v>0.4223263888888889</v>
      </c>
      <c r="D568" s="8" t="s">
        <v>4223</v>
      </c>
      <c r="E568" s="8" t="s">
        <v>86</v>
      </c>
      <c r="F568" s="8" t="s">
        <v>9202</v>
      </c>
      <c r="H568" s="8"/>
      <c r="I568" s="8" t="s">
        <v>10824</v>
      </c>
      <c r="J568" s="8" t="s">
        <v>2985</v>
      </c>
      <c r="K568" t="s">
        <v>10825</v>
      </c>
      <c r="L568" t="s">
        <v>10826</v>
      </c>
      <c r="M568" s="3" t="str">
        <f>HYPERLINK(склад2въезд131920212223[[#This Row],[RelativePath]])</f>
        <v>10 Сушилка навес\E33149364_3_20260128T100809Z.jpg</v>
      </c>
    </row>
    <row r="569" spans="1:13" x14ac:dyDescent="0.25">
      <c r="A569" s="2" t="s">
        <v>15</v>
      </c>
      <c r="B569" s="4">
        <v>46050</v>
      </c>
      <c r="C569" s="5">
        <v>0.61810185185185185</v>
      </c>
      <c r="D569" s="8" t="s">
        <v>533</v>
      </c>
      <c r="E569" s="8" t="s">
        <v>1607</v>
      </c>
      <c r="F569" s="8" t="s">
        <v>2929</v>
      </c>
      <c r="H569" s="8"/>
      <c r="I569" s="8" t="s">
        <v>10827</v>
      </c>
      <c r="J569" s="8" t="s">
        <v>2985</v>
      </c>
      <c r="K569" t="s">
        <v>10828</v>
      </c>
      <c r="L569" t="s">
        <v>10829</v>
      </c>
      <c r="M569" s="3" t="str">
        <f>HYPERLINK(склад2въезд131920212223[[#This Row],[RelativePath]])</f>
        <v>10 Сушилка навес\E33149364_3_20260128T145004Z.jpg</v>
      </c>
    </row>
    <row r="570" spans="1:13" x14ac:dyDescent="0.25">
      <c r="A570" s="2" t="s">
        <v>15</v>
      </c>
      <c r="B570" s="4">
        <v>46050</v>
      </c>
      <c r="C570" s="5">
        <v>0.65270833333333333</v>
      </c>
      <c r="D570" s="8" t="s">
        <v>4223</v>
      </c>
      <c r="E570" s="8" t="s">
        <v>86</v>
      </c>
      <c r="F570" s="8" t="s">
        <v>9202</v>
      </c>
      <c r="H570" s="8"/>
      <c r="I570" s="8" t="s">
        <v>10830</v>
      </c>
      <c r="J570" s="8" t="s">
        <v>2985</v>
      </c>
      <c r="K570" t="s">
        <v>10831</v>
      </c>
      <c r="L570" t="s">
        <v>10832</v>
      </c>
      <c r="M570" s="3" t="str">
        <f>HYPERLINK(склад2въезд131920212223[[#This Row],[RelativePath]])</f>
        <v>10 Сушилка навес\E33149364_3_20260128T153954Z.jpg</v>
      </c>
    </row>
    <row r="571" spans="1:13" x14ac:dyDescent="0.25">
      <c r="A571" s="2" t="s">
        <v>16</v>
      </c>
      <c r="B571" s="4">
        <v>46051</v>
      </c>
      <c r="C571" s="5">
        <v>0.53275462962962961</v>
      </c>
      <c r="D571" s="8" t="s">
        <v>533</v>
      </c>
      <c r="E571" s="8" t="s">
        <v>1607</v>
      </c>
      <c r="F571" s="8" t="s">
        <v>2929</v>
      </c>
      <c r="H571" s="8" t="s">
        <v>6339</v>
      </c>
      <c r="I571" s="8" t="s">
        <v>10833</v>
      </c>
      <c r="J571" s="8" t="s">
        <v>2985</v>
      </c>
      <c r="K571" t="s">
        <v>10834</v>
      </c>
      <c r="L571" t="s">
        <v>10835</v>
      </c>
      <c r="M571" s="3" t="str">
        <f>HYPERLINK(склад2въезд131920212223[[#This Row],[RelativePath]])</f>
        <v>10 Сушилка навес\E33149364_3_20260129T124710Z.jpg</v>
      </c>
    </row>
    <row r="572" spans="1:13" x14ac:dyDescent="0.25">
      <c r="A572" s="2" t="s">
        <v>16</v>
      </c>
      <c r="B572" s="4">
        <v>46051</v>
      </c>
      <c r="C572" s="5">
        <v>0.58608796296296295</v>
      </c>
      <c r="D572" s="8" t="s">
        <v>533</v>
      </c>
      <c r="E572" s="8" t="s">
        <v>1607</v>
      </c>
      <c r="F572" s="8" t="s">
        <v>2929</v>
      </c>
      <c r="H572" s="8"/>
      <c r="I572" s="8" t="s">
        <v>10836</v>
      </c>
      <c r="J572" s="8" t="s">
        <v>2985</v>
      </c>
      <c r="K572" t="s">
        <v>10837</v>
      </c>
      <c r="L572" t="s">
        <v>10838</v>
      </c>
      <c r="M572" s="3" t="str">
        <f>HYPERLINK(склад2въезд131920212223[[#This Row],[RelativePath]])</f>
        <v>10 Сушилка навес\E33149364_3_20260129T140358Z.jpg</v>
      </c>
    </row>
    <row r="573" spans="1:13" x14ac:dyDescent="0.25">
      <c r="A573" s="2" t="s">
        <v>16</v>
      </c>
      <c r="B573" s="4">
        <v>46051</v>
      </c>
      <c r="C573" s="5">
        <v>0.58915509259259258</v>
      </c>
      <c r="D573" s="8" t="s">
        <v>533</v>
      </c>
      <c r="E573" s="8" t="s">
        <v>1607</v>
      </c>
      <c r="F573" s="8" t="s">
        <v>2929</v>
      </c>
      <c r="H573" s="8"/>
      <c r="I573" s="8" t="s">
        <v>10839</v>
      </c>
      <c r="J573" s="8" t="s">
        <v>2985</v>
      </c>
      <c r="K573" t="s">
        <v>10840</v>
      </c>
      <c r="L573" t="s">
        <v>10841</v>
      </c>
      <c r="M573" s="3" t="str">
        <f>HYPERLINK(склад2въезд131920212223[[#This Row],[RelativePath]])</f>
        <v>10 Сушилка навес\E33149364_3_20260129T140823Z.jpg</v>
      </c>
    </row>
    <row r="574" spans="1:13" x14ac:dyDescent="0.25">
      <c r="A574" s="2" t="s">
        <v>16</v>
      </c>
      <c r="B574" s="4">
        <v>46051</v>
      </c>
      <c r="C574" s="5">
        <v>0.62744212962962964</v>
      </c>
      <c r="D574" s="8" t="s">
        <v>533</v>
      </c>
      <c r="E574" s="8" t="s">
        <v>1607</v>
      </c>
      <c r="F574" s="8" t="s">
        <v>2929</v>
      </c>
      <c r="H574" s="8"/>
      <c r="I574" s="8" t="s">
        <v>10842</v>
      </c>
      <c r="J574" s="8" t="s">
        <v>2985</v>
      </c>
      <c r="K574" t="s">
        <v>10843</v>
      </c>
      <c r="L574" t="s">
        <v>10844</v>
      </c>
      <c r="M574" s="3" t="str">
        <f>HYPERLINK(склад2въезд131920212223[[#This Row],[RelativePath]])</f>
        <v>10 Сушилка навес\E33149364_3_20260129T150331Z.jpg</v>
      </c>
    </row>
    <row r="575" spans="1:13" x14ac:dyDescent="0.25">
      <c r="A575" s="2" t="s">
        <v>16</v>
      </c>
      <c r="B575" s="4">
        <v>46051</v>
      </c>
      <c r="C575" s="5">
        <v>0.63372685185185185</v>
      </c>
      <c r="D575" s="8" t="s">
        <v>533</v>
      </c>
      <c r="E575" s="8" t="s">
        <v>1607</v>
      </c>
      <c r="F575" s="8" t="s">
        <v>2929</v>
      </c>
      <c r="H575" s="8"/>
      <c r="I575" s="8" t="s">
        <v>10845</v>
      </c>
      <c r="J575" s="8" t="s">
        <v>2985</v>
      </c>
      <c r="K575" t="s">
        <v>10846</v>
      </c>
      <c r="L575" t="s">
        <v>10847</v>
      </c>
      <c r="M575" s="3" t="str">
        <f>HYPERLINK(склад2въезд131920212223[[#This Row],[RelativePath]])</f>
        <v>10 Сушилка навес\E33149364_3_20260129T151234Z.jpg</v>
      </c>
    </row>
    <row r="576" spans="1:13" x14ac:dyDescent="0.25">
      <c r="A576" s="2" t="s">
        <v>16</v>
      </c>
      <c r="B576" s="4">
        <v>46051</v>
      </c>
      <c r="C576" s="5">
        <v>0.69541666666666668</v>
      </c>
      <c r="D576" s="8" t="s">
        <v>533</v>
      </c>
      <c r="E576" s="8" t="s">
        <v>1607</v>
      </c>
      <c r="F576" s="8" t="s">
        <v>2929</v>
      </c>
      <c r="H576" s="8"/>
      <c r="I576" s="8" t="s">
        <v>10848</v>
      </c>
      <c r="J576" s="8" t="s">
        <v>2985</v>
      </c>
      <c r="K576" t="s">
        <v>10849</v>
      </c>
      <c r="L576" t="s">
        <v>10850</v>
      </c>
      <c r="M576" s="3" t="str">
        <f>HYPERLINK(склад2въезд131920212223[[#This Row],[RelativePath]])</f>
        <v>10 Сушилка навес\E33149364_3_20260129T164124Z.jpg</v>
      </c>
    </row>
    <row r="577" spans="1:13" x14ac:dyDescent="0.25">
      <c r="A577" s="2" t="s">
        <v>16</v>
      </c>
      <c r="B577" s="4">
        <v>46051</v>
      </c>
      <c r="C577" s="5">
        <v>0.7123842592592593</v>
      </c>
      <c r="D577" s="8" t="s">
        <v>533</v>
      </c>
      <c r="E577" s="8" t="s">
        <v>1607</v>
      </c>
      <c r="F577" s="8" t="s">
        <v>2929</v>
      </c>
      <c r="H577" s="8"/>
      <c r="I577" s="8" t="s">
        <v>10851</v>
      </c>
      <c r="J577" s="8" t="s">
        <v>2985</v>
      </c>
      <c r="K577" t="s">
        <v>10852</v>
      </c>
      <c r="L577" t="s">
        <v>10853</v>
      </c>
      <c r="M577" s="3" t="str">
        <f>HYPERLINK(склад2въезд131920212223[[#This Row],[RelativePath]])</f>
        <v>10 Сушилка навес\E33149364_3_20260129T170550Z.jpg</v>
      </c>
    </row>
    <row r="578" spans="1:13" x14ac:dyDescent="0.25">
      <c r="A578" s="2" t="s">
        <v>17</v>
      </c>
      <c r="B578" s="4">
        <v>46052</v>
      </c>
      <c r="C578" s="5">
        <v>0.37525462962962963</v>
      </c>
      <c r="D578" s="8" t="s">
        <v>1606</v>
      </c>
      <c r="E578" s="8" t="s">
        <v>70</v>
      </c>
      <c r="F578" s="8"/>
      <c r="H578" s="8"/>
      <c r="I578" s="8" t="s">
        <v>10956</v>
      </c>
      <c r="J578" s="8" t="s">
        <v>2985</v>
      </c>
      <c r="K578" t="s">
        <v>10957</v>
      </c>
      <c r="L578" t="s">
        <v>10958</v>
      </c>
      <c r="M578" s="3" t="str">
        <f>HYPERLINK(склад2въезд131920212223[[#This Row],[RelativePath]])</f>
        <v>10 Сушилка навес\E33149364_3_20260130T090022Z.jpg</v>
      </c>
    </row>
    <row r="579" spans="1:13" x14ac:dyDescent="0.25">
      <c r="A579" s="2" t="s">
        <v>17</v>
      </c>
      <c r="B579" s="4">
        <v>46052</v>
      </c>
      <c r="C579" s="5">
        <v>0.38319444444444445</v>
      </c>
      <c r="D579" s="8" t="s">
        <v>289</v>
      </c>
      <c r="E579" s="8" t="s">
        <v>70</v>
      </c>
      <c r="F579" s="8" t="s">
        <v>11007</v>
      </c>
      <c r="H579" s="8"/>
      <c r="I579" s="8" t="s">
        <v>10959</v>
      </c>
      <c r="J579" s="8" t="s">
        <v>2985</v>
      </c>
      <c r="K579" t="s">
        <v>10960</v>
      </c>
      <c r="L579" t="s">
        <v>10961</v>
      </c>
      <c r="M579" s="3" t="str">
        <f>HYPERLINK(склад2въезд131920212223[[#This Row],[RelativePath]])</f>
        <v>10 Сушилка навес\E33149364_3_20260130T091148Z.jpg</v>
      </c>
    </row>
    <row r="580" spans="1:13" x14ac:dyDescent="0.25">
      <c r="A580" s="2" t="s">
        <v>17</v>
      </c>
      <c r="B580" s="4">
        <v>46052</v>
      </c>
      <c r="C580" s="5">
        <v>0.3832638888888889</v>
      </c>
      <c r="D580" s="8" t="s">
        <v>289</v>
      </c>
      <c r="E580" s="8" t="s">
        <v>70</v>
      </c>
      <c r="F580" s="8" t="s">
        <v>11007</v>
      </c>
      <c r="H580" s="8" t="s">
        <v>2936</v>
      </c>
      <c r="I580" s="8" t="s">
        <v>10962</v>
      </c>
      <c r="J580" s="8" t="s">
        <v>2985</v>
      </c>
      <c r="K580" t="s">
        <v>10963</v>
      </c>
      <c r="L580" t="s">
        <v>10964</v>
      </c>
      <c r="M580" s="3" t="str">
        <f>HYPERLINK(склад2въезд131920212223[[#This Row],[RelativePath]])</f>
        <v>10 Сушилка навес\E33149364_3_20260130T091154Z.jpg</v>
      </c>
    </row>
    <row r="581" spans="1:13" x14ac:dyDescent="0.25">
      <c r="A581" s="2" t="s">
        <v>17</v>
      </c>
      <c r="B581" s="4">
        <v>46052</v>
      </c>
      <c r="C581" s="5">
        <v>0.38341435185185185</v>
      </c>
      <c r="D581" s="8" t="s">
        <v>289</v>
      </c>
      <c r="E581" s="8" t="s">
        <v>70</v>
      </c>
      <c r="F581" s="8" t="s">
        <v>11007</v>
      </c>
      <c r="H581" s="8" t="s">
        <v>2936</v>
      </c>
      <c r="I581" s="8" t="s">
        <v>10965</v>
      </c>
      <c r="J581" s="8" t="s">
        <v>2985</v>
      </c>
      <c r="K581" t="s">
        <v>10966</v>
      </c>
      <c r="L581" t="s">
        <v>10967</v>
      </c>
      <c r="M581" s="3" t="str">
        <f>HYPERLINK(склад2въезд131920212223[[#This Row],[RelativePath]])</f>
        <v>10 Сушилка навес\E33149364_3_20260130T091207Z.jpg</v>
      </c>
    </row>
    <row r="582" spans="1:13" x14ac:dyDescent="0.25">
      <c r="A582" s="2" t="s">
        <v>17</v>
      </c>
      <c r="B582" s="4">
        <v>46052</v>
      </c>
      <c r="C582" s="5">
        <v>0.38377314814814817</v>
      </c>
      <c r="D582" s="8" t="s">
        <v>289</v>
      </c>
      <c r="E582" s="8" t="s">
        <v>70</v>
      </c>
      <c r="F582" s="8" t="s">
        <v>11007</v>
      </c>
      <c r="H582" s="8" t="s">
        <v>2936</v>
      </c>
      <c r="I582" s="8" t="s">
        <v>10968</v>
      </c>
      <c r="J582" s="8" t="s">
        <v>2985</v>
      </c>
      <c r="K582" t="s">
        <v>10969</v>
      </c>
      <c r="L582" t="s">
        <v>10970</v>
      </c>
      <c r="M582" s="3" t="str">
        <f>HYPERLINK(склад2въезд131920212223[[#This Row],[RelativePath]])</f>
        <v>10 Сушилка навес\E33149364_3_20260130T091238Z.jpg</v>
      </c>
    </row>
    <row r="583" spans="1:13" x14ac:dyDescent="0.25">
      <c r="A583" s="2" t="s">
        <v>17</v>
      </c>
      <c r="B583" s="4">
        <v>46052</v>
      </c>
      <c r="C583" s="5">
        <v>0.38449074074074074</v>
      </c>
      <c r="D583" s="8" t="s">
        <v>650</v>
      </c>
      <c r="E583" s="8" t="s">
        <v>70</v>
      </c>
      <c r="F583" s="8"/>
      <c r="H583" s="8"/>
      <c r="I583" s="8" t="s">
        <v>10971</v>
      </c>
      <c r="J583" s="8" t="s">
        <v>2985</v>
      </c>
      <c r="K583" t="s">
        <v>10972</v>
      </c>
      <c r="L583" t="s">
        <v>10973</v>
      </c>
      <c r="M583" s="3" t="str">
        <f>HYPERLINK(склад2въезд131920212223[[#This Row],[RelativePath]])</f>
        <v>10 Сушилка навес\E33149364_3_20260130T091340Z.jpg</v>
      </c>
    </row>
    <row r="584" spans="1:13" x14ac:dyDescent="0.25">
      <c r="A584" s="2" t="s">
        <v>17</v>
      </c>
      <c r="B584" s="4">
        <v>46052</v>
      </c>
      <c r="C584" s="5">
        <v>0.4107986111111111</v>
      </c>
      <c r="D584" s="8" t="s">
        <v>4223</v>
      </c>
      <c r="E584" s="8" t="s">
        <v>86</v>
      </c>
      <c r="F584" s="8" t="s">
        <v>9202</v>
      </c>
      <c r="H584" s="8"/>
      <c r="I584" s="8" t="s">
        <v>10974</v>
      </c>
      <c r="J584" s="8" t="s">
        <v>2985</v>
      </c>
      <c r="K584" t="s">
        <v>10975</v>
      </c>
      <c r="L584" t="s">
        <v>10976</v>
      </c>
      <c r="M584" s="3" t="str">
        <f>HYPERLINK(склад2въезд131920212223[[#This Row],[RelativePath]])</f>
        <v>10 Сушилка навес\E33149364_3_20260130T095133Z.jpg</v>
      </c>
    </row>
    <row r="585" spans="1:13" x14ac:dyDescent="0.25">
      <c r="A585" s="2" t="s">
        <v>17</v>
      </c>
      <c r="B585" s="4">
        <v>46052</v>
      </c>
      <c r="C585" s="5">
        <v>0.57089120370370372</v>
      </c>
      <c r="D585" s="8" t="s">
        <v>159</v>
      </c>
      <c r="E585" s="8" t="s">
        <v>10140</v>
      </c>
      <c r="F585" s="8"/>
      <c r="H585" s="8"/>
      <c r="I585" s="8" t="s">
        <v>10977</v>
      </c>
      <c r="J585" s="8" t="s">
        <v>2985</v>
      </c>
      <c r="K585" t="s">
        <v>10978</v>
      </c>
      <c r="L585" t="s">
        <v>10979</v>
      </c>
      <c r="M585" s="3" t="str">
        <f>HYPERLINK(склад2въезд131920212223[[#This Row],[RelativePath]])</f>
        <v>10 Сушилка навес\E33149364_3_20260130T134205Z.jpg</v>
      </c>
    </row>
    <row r="586" spans="1:13" x14ac:dyDescent="0.25">
      <c r="A586" s="2" t="s">
        <v>17</v>
      </c>
      <c r="B586" s="4">
        <v>46052</v>
      </c>
      <c r="C586" s="5">
        <v>0.57483796296296297</v>
      </c>
      <c r="D586" s="8" t="s">
        <v>1606</v>
      </c>
      <c r="E586" s="8" t="s">
        <v>10140</v>
      </c>
      <c r="F586" s="8"/>
      <c r="H586" s="8"/>
      <c r="I586" s="8" t="s">
        <v>10980</v>
      </c>
      <c r="J586" s="8" t="s">
        <v>2985</v>
      </c>
      <c r="K586" t="s">
        <v>10981</v>
      </c>
      <c r="L586" t="s">
        <v>10982</v>
      </c>
      <c r="M586" s="3" t="str">
        <f>HYPERLINK(склад2въезд131920212223[[#This Row],[RelativePath]])</f>
        <v>10 Сушилка навес\E33149364_3_20260130T134746Z.jpg</v>
      </c>
    </row>
    <row r="587" spans="1:13" x14ac:dyDescent="0.25">
      <c r="A587" s="2" t="s">
        <v>17</v>
      </c>
      <c r="B587" s="4">
        <v>46052</v>
      </c>
      <c r="C587" s="5">
        <v>0.60657407407407404</v>
      </c>
      <c r="D587" s="8" t="s">
        <v>4</v>
      </c>
      <c r="E587" s="8" t="s">
        <v>11008</v>
      </c>
      <c r="F587" s="8"/>
      <c r="H587" s="8"/>
      <c r="I587" s="8" t="s">
        <v>10983</v>
      </c>
      <c r="J587" s="8" t="s">
        <v>2985</v>
      </c>
      <c r="K587" t="s">
        <v>10984</v>
      </c>
      <c r="L587" t="s">
        <v>10985</v>
      </c>
      <c r="M587" s="3" t="str">
        <f>HYPERLINK(склад2въезд131920212223[[#This Row],[RelativePath]])</f>
        <v>10 Сушилка навес\E33149364_3_20260130T143328Z.jpg</v>
      </c>
    </row>
    <row r="588" spans="1:13" x14ac:dyDescent="0.25">
      <c r="A588" s="2" t="s">
        <v>17</v>
      </c>
      <c r="B588" s="4">
        <v>46052</v>
      </c>
      <c r="C588" s="5">
        <v>0.89500000000000002</v>
      </c>
      <c r="D588" s="8" t="s">
        <v>650</v>
      </c>
      <c r="E588" s="8" t="s">
        <v>10140</v>
      </c>
      <c r="F588" s="8"/>
      <c r="H588" s="8"/>
      <c r="I588" s="8" t="s">
        <v>10986</v>
      </c>
      <c r="J588" s="8" t="s">
        <v>2985</v>
      </c>
      <c r="K588" t="s">
        <v>10987</v>
      </c>
      <c r="L588" t="s">
        <v>10988</v>
      </c>
      <c r="M588" s="3" t="str">
        <f>HYPERLINK(склад2въезд131920212223[[#This Row],[RelativePath]])</f>
        <v>10 Сушилка навес\E33149364_3_20260130T212848Z.jpg</v>
      </c>
    </row>
    <row r="589" spans="1:13" x14ac:dyDescent="0.25">
      <c r="A589" s="2" t="s">
        <v>18</v>
      </c>
      <c r="B589" s="4">
        <v>46053</v>
      </c>
      <c r="C589" s="5">
        <v>0.49326388888888889</v>
      </c>
      <c r="D589" s="8" t="s">
        <v>289</v>
      </c>
      <c r="E589" s="8" t="s">
        <v>11124</v>
      </c>
      <c r="F589" s="8" t="s">
        <v>7167</v>
      </c>
      <c r="G589">
        <v>1</v>
      </c>
      <c r="H589" s="8"/>
      <c r="I589" s="8" t="s">
        <v>11076</v>
      </c>
      <c r="J589" s="8" t="s">
        <v>2985</v>
      </c>
      <c r="K589" t="s">
        <v>11077</v>
      </c>
      <c r="L589" t="s">
        <v>11078</v>
      </c>
      <c r="M589" s="3" t="str">
        <f>HYPERLINK(склад2въезд131920212223[[#This Row],[RelativePath]])</f>
        <v>10 Сушилка навес\E33149364_3_20260131T115018Z.jpg</v>
      </c>
    </row>
    <row r="590" spans="1:13" x14ac:dyDescent="0.25">
      <c r="A590" s="2" t="s">
        <v>18</v>
      </c>
      <c r="B590" s="4">
        <v>46053</v>
      </c>
      <c r="C590" s="5">
        <v>0.49449074074074073</v>
      </c>
      <c r="D590" s="8" t="s">
        <v>289</v>
      </c>
      <c r="E590" s="8" t="s">
        <v>11124</v>
      </c>
      <c r="F590" s="8" t="s">
        <v>7167</v>
      </c>
      <c r="G590">
        <v>1</v>
      </c>
      <c r="H590" s="8"/>
      <c r="I590" s="8" t="s">
        <v>11079</v>
      </c>
      <c r="J590" s="8" t="s">
        <v>2985</v>
      </c>
      <c r="K590" t="s">
        <v>11080</v>
      </c>
      <c r="L590" t="s">
        <v>11081</v>
      </c>
      <c r="M590" s="3" t="str">
        <f>HYPERLINK(склад2въезд131920212223[[#This Row],[RelativePath]])</f>
        <v>10 Сушилка навес\E33149364_3_20260131T115204Z.jpg</v>
      </c>
    </row>
    <row r="591" spans="1:13" x14ac:dyDescent="0.25">
      <c r="A591" s="2" t="s">
        <v>18</v>
      </c>
      <c r="B591" s="4">
        <v>46053</v>
      </c>
      <c r="C591" s="5">
        <v>0.49556712962962962</v>
      </c>
      <c r="D591" s="8" t="s">
        <v>289</v>
      </c>
      <c r="E591" s="8" t="s">
        <v>11124</v>
      </c>
      <c r="F591" s="8" t="s">
        <v>7167</v>
      </c>
      <c r="G591">
        <v>1</v>
      </c>
      <c r="H591" s="8"/>
      <c r="I591" s="8" t="s">
        <v>11082</v>
      </c>
      <c r="J591" s="8" t="s">
        <v>2985</v>
      </c>
      <c r="K591" t="s">
        <v>11083</v>
      </c>
      <c r="L591" t="s">
        <v>11084</v>
      </c>
      <c r="M591" s="3" t="str">
        <f>HYPERLINK(склад2въезд131920212223[[#This Row],[RelativePath]])</f>
        <v>10 Сушилка навес\E33149364_3_20260131T115337Z.jpg</v>
      </c>
    </row>
    <row r="592" spans="1:13" x14ac:dyDescent="0.25">
      <c r="A592" s="2" t="s">
        <v>18</v>
      </c>
      <c r="B592" s="4">
        <v>46053</v>
      </c>
      <c r="C592" s="5">
        <v>0.49659722222222225</v>
      </c>
      <c r="D592" s="8" t="s">
        <v>289</v>
      </c>
      <c r="E592" s="8" t="s">
        <v>11124</v>
      </c>
      <c r="F592" s="8" t="s">
        <v>7167</v>
      </c>
      <c r="G592">
        <v>1</v>
      </c>
      <c r="H592" s="8"/>
      <c r="I592" s="8" t="s">
        <v>11085</v>
      </c>
      <c r="J592" s="8" t="s">
        <v>2985</v>
      </c>
      <c r="K592" t="s">
        <v>11086</v>
      </c>
      <c r="L592" t="s">
        <v>11087</v>
      </c>
      <c r="M592" s="3" t="str">
        <f>HYPERLINK(склад2въезд131920212223[[#This Row],[RelativePath]])</f>
        <v>10 Сушилка навес\E33149364_3_20260131T115506Z.jpg</v>
      </c>
    </row>
    <row r="593" spans="1:13" x14ac:dyDescent="0.25">
      <c r="A593" s="2" t="s">
        <v>18</v>
      </c>
      <c r="B593" s="4">
        <v>46053</v>
      </c>
      <c r="C593" s="5">
        <v>0.49760416666666668</v>
      </c>
      <c r="D593" s="8" t="s">
        <v>289</v>
      </c>
      <c r="E593" s="8" t="s">
        <v>11124</v>
      </c>
      <c r="F593" s="8" t="s">
        <v>7167</v>
      </c>
      <c r="G593">
        <v>1</v>
      </c>
      <c r="H593" s="8"/>
      <c r="I593" s="8" t="s">
        <v>11088</v>
      </c>
      <c r="J593" s="8" t="s">
        <v>2985</v>
      </c>
      <c r="K593" t="s">
        <v>11089</v>
      </c>
      <c r="L593" t="s">
        <v>11090</v>
      </c>
      <c r="M593" s="3" t="str">
        <f>HYPERLINK(склад2въезд131920212223[[#This Row],[RelativePath]])</f>
        <v>10 Сушилка навес\E33149364_3_20260131T115633Z.jpg</v>
      </c>
    </row>
    <row r="594" spans="1:13" x14ac:dyDescent="0.25">
      <c r="A594" s="2" t="s">
        <v>18</v>
      </c>
      <c r="B594" s="4">
        <v>46053</v>
      </c>
      <c r="C594" s="5">
        <v>0.49864583333333334</v>
      </c>
      <c r="D594" s="8" t="s">
        <v>289</v>
      </c>
      <c r="E594" s="8" t="s">
        <v>11124</v>
      </c>
      <c r="F594" s="8" t="s">
        <v>7167</v>
      </c>
      <c r="G594">
        <v>1</v>
      </c>
      <c r="H594" s="8"/>
      <c r="I594" s="8" t="s">
        <v>11091</v>
      </c>
      <c r="J594" s="8" t="s">
        <v>2985</v>
      </c>
      <c r="K594" t="s">
        <v>11092</v>
      </c>
      <c r="L594" t="s">
        <v>11093</v>
      </c>
      <c r="M594" s="3" t="str">
        <f>HYPERLINK(склад2въезд131920212223[[#This Row],[RelativePath]])</f>
        <v>10 Сушилка навес\E33149364_3_20260131T115803Z.jpg</v>
      </c>
    </row>
    <row r="595" spans="1:13" x14ac:dyDescent="0.25">
      <c r="A595" s="2" t="s">
        <v>18</v>
      </c>
      <c r="B595" s="4">
        <v>46053</v>
      </c>
      <c r="C595" s="5">
        <v>0.49983796296296296</v>
      </c>
      <c r="D595" s="8" t="s">
        <v>289</v>
      </c>
      <c r="E595" s="8" t="s">
        <v>11124</v>
      </c>
      <c r="F595" s="8" t="s">
        <v>7167</v>
      </c>
      <c r="G595">
        <v>1</v>
      </c>
      <c r="H595" s="8"/>
      <c r="I595" s="8" t="s">
        <v>11094</v>
      </c>
      <c r="J595" s="8" t="s">
        <v>2985</v>
      </c>
      <c r="K595" t="s">
        <v>11095</v>
      </c>
      <c r="L595" t="s">
        <v>11096</v>
      </c>
      <c r="M595" s="3" t="str">
        <f>HYPERLINK(склад2въезд131920212223[[#This Row],[RelativePath]])</f>
        <v>10 Сушилка навес\E33149364_3_20260131T115946Z.jpg</v>
      </c>
    </row>
    <row r="596" spans="1:13" x14ac:dyDescent="0.25">
      <c r="A596" s="2" t="s">
        <v>18</v>
      </c>
      <c r="B596" s="4">
        <v>46053</v>
      </c>
      <c r="C596" s="5">
        <v>0.50087962962962962</v>
      </c>
      <c r="D596" s="8" t="s">
        <v>289</v>
      </c>
      <c r="E596" s="8" t="s">
        <v>11124</v>
      </c>
      <c r="F596" s="8" t="s">
        <v>7167</v>
      </c>
      <c r="G596">
        <v>1</v>
      </c>
      <c r="H596" s="8"/>
      <c r="I596" s="8" t="s">
        <v>11097</v>
      </c>
      <c r="J596" s="8" t="s">
        <v>2985</v>
      </c>
      <c r="K596" t="s">
        <v>11098</v>
      </c>
      <c r="L596" t="s">
        <v>11099</v>
      </c>
      <c r="M596" s="3" t="str">
        <f>HYPERLINK(склад2въезд131920212223[[#This Row],[RelativePath]])</f>
        <v>10 Сушилка навес\E33149364_3_20260131T120116Z.jpg</v>
      </c>
    </row>
    <row r="597" spans="1:13" x14ac:dyDescent="0.25">
      <c r="A597" s="2" t="s">
        <v>18</v>
      </c>
      <c r="B597" s="4">
        <v>46053</v>
      </c>
      <c r="C597" s="5">
        <v>0.50236111111111115</v>
      </c>
      <c r="D597" s="8" t="s">
        <v>289</v>
      </c>
      <c r="E597" s="8" t="s">
        <v>11124</v>
      </c>
      <c r="F597" s="8" t="s">
        <v>7167</v>
      </c>
      <c r="G597">
        <v>1</v>
      </c>
      <c r="H597" s="8"/>
      <c r="I597" s="8" t="s">
        <v>11100</v>
      </c>
      <c r="J597" s="8" t="s">
        <v>2985</v>
      </c>
      <c r="K597" t="s">
        <v>11101</v>
      </c>
      <c r="L597" t="s">
        <v>11102</v>
      </c>
      <c r="M597" s="3" t="str">
        <f>HYPERLINK(склад2въезд131920212223[[#This Row],[RelativePath]])</f>
        <v>10 Сушилка навес\E33149364_3_20260131T120324Z.jpg</v>
      </c>
    </row>
    <row r="598" spans="1:13" x14ac:dyDescent="0.25">
      <c r="A598" s="2" t="s">
        <v>18</v>
      </c>
      <c r="B598" s="4">
        <v>46053</v>
      </c>
      <c r="C598" s="5">
        <v>0.50332175925925926</v>
      </c>
      <c r="D598" s="8" t="s">
        <v>289</v>
      </c>
      <c r="E598" s="8" t="s">
        <v>11124</v>
      </c>
      <c r="F598" s="8" t="s">
        <v>7167</v>
      </c>
      <c r="G598">
        <v>1</v>
      </c>
      <c r="H598" s="8"/>
      <c r="I598" s="8" t="s">
        <v>11103</v>
      </c>
      <c r="J598" s="8" t="s">
        <v>2985</v>
      </c>
      <c r="K598" t="s">
        <v>11104</v>
      </c>
      <c r="L598" t="s">
        <v>11105</v>
      </c>
      <c r="M598" s="3" t="str">
        <f>HYPERLINK(склад2въезд131920212223[[#This Row],[RelativePath]])</f>
        <v>10 Сушилка навес\E33149364_3_20260131T120447Z.jpg</v>
      </c>
    </row>
    <row r="599" spans="1:13" x14ac:dyDescent="0.25">
      <c r="A599" s="2" t="s">
        <v>18</v>
      </c>
      <c r="B599" s="4">
        <v>46053</v>
      </c>
      <c r="C599" s="5">
        <v>0.50494212962962959</v>
      </c>
      <c r="D599" s="8" t="s">
        <v>289</v>
      </c>
      <c r="E599" s="8" t="s">
        <v>11124</v>
      </c>
      <c r="F599" s="8" t="s">
        <v>7167</v>
      </c>
      <c r="G599">
        <v>1</v>
      </c>
      <c r="H599" s="8"/>
      <c r="I599" s="8" t="s">
        <v>11106</v>
      </c>
      <c r="J599" s="8" t="s">
        <v>2985</v>
      </c>
      <c r="K599" t="s">
        <v>11107</v>
      </c>
      <c r="L599" t="s">
        <v>11108</v>
      </c>
      <c r="M599" s="3" t="str">
        <f>HYPERLINK(склад2въезд131920212223[[#This Row],[RelativePath]])</f>
        <v>10 Сушилка навес\E33149364_3_20260131T120707Z.jpg</v>
      </c>
    </row>
    <row r="600" spans="1:13" x14ac:dyDescent="0.25">
      <c r="A600" s="2" t="s">
        <v>18</v>
      </c>
      <c r="B600" s="4">
        <v>46053</v>
      </c>
      <c r="C600" s="5">
        <v>0.50526620370370368</v>
      </c>
      <c r="D600" s="8" t="s">
        <v>650</v>
      </c>
      <c r="E600" s="8" t="s">
        <v>11124</v>
      </c>
      <c r="F600" s="8"/>
      <c r="H600" s="8"/>
      <c r="I600" s="8" t="s">
        <v>11109</v>
      </c>
      <c r="J600" s="8" t="s">
        <v>2985</v>
      </c>
      <c r="K600" t="s">
        <v>11110</v>
      </c>
      <c r="L600" t="s">
        <v>11111</v>
      </c>
      <c r="M600" s="3" t="str">
        <f>HYPERLINK(склад2въезд131920212223[[#This Row],[RelativePath]])</f>
        <v>10 Сушилка навес\E33149364_3_20260131T120735Z.jpg</v>
      </c>
    </row>
    <row r="601" spans="1:13" x14ac:dyDescent="0.25">
      <c r="A601" s="2" t="s">
        <v>22</v>
      </c>
      <c r="B601" s="4">
        <v>46054</v>
      </c>
      <c r="C601" s="5">
        <v>0.52239583333333328</v>
      </c>
      <c r="D601" s="8" t="s">
        <v>533</v>
      </c>
      <c r="E601" s="8" t="s">
        <v>1607</v>
      </c>
      <c r="F601" s="8" t="s">
        <v>2929</v>
      </c>
      <c r="H601" s="8"/>
      <c r="I601" s="8" t="s">
        <v>11112</v>
      </c>
      <c r="J601" s="8" t="s">
        <v>2985</v>
      </c>
      <c r="K601" t="s">
        <v>11113</v>
      </c>
      <c r="L601" t="s">
        <v>11114</v>
      </c>
      <c r="M601" s="3" t="str">
        <f>HYPERLINK(склад2въезд131920212223[[#This Row],[RelativePath]])</f>
        <v>10 Сушилка навес\E33149364_3_20260201T123215Z.jpg</v>
      </c>
    </row>
    <row r="602" spans="1:13" x14ac:dyDescent="0.25">
      <c r="A602" s="2" t="s">
        <v>22</v>
      </c>
      <c r="B602" s="4">
        <v>46054</v>
      </c>
      <c r="C602" s="5">
        <v>0.53148148148148144</v>
      </c>
      <c r="D602" s="8" t="s">
        <v>533</v>
      </c>
      <c r="E602" s="8" t="s">
        <v>1607</v>
      </c>
      <c r="F602" s="8" t="s">
        <v>2929</v>
      </c>
      <c r="H602" s="8"/>
      <c r="I602" s="8" t="s">
        <v>11115</v>
      </c>
      <c r="J602" s="8" t="s">
        <v>2985</v>
      </c>
      <c r="K602" t="s">
        <v>11116</v>
      </c>
      <c r="L602" t="s">
        <v>11117</v>
      </c>
      <c r="M602" s="3" t="str">
        <f>HYPERLINK(склад2въезд131920212223[[#This Row],[RelativePath]])</f>
        <v>10 Сушилка навес\E33149364_3_20260201T124520Z.jpg</v>
      </c>
    </row>
    <row r="603" spans="1:13" x14ac:dyDescent="0.25">
      <c r="A603" s="2" t="s">
        <v>13</v>
      </c>
      <c r="B603" s="4">
        <v>46055</v>
      </c>
      <c r="C603" s="5">
        <v>0.39371527777777776</v>
      </c>
      <c r="D603" s="8" t="s">
        <v>533</v>
      </c>
      <c r="E603" s="8" t="s">
        <v>1607</v>
      </c>
      <c r="F603" s="8" t="s">
        <v>2929</v>
      </c>
      <c r="H603" s="8"/>
      <c r="I603" s="8" t="s">
        <v>11253</v>
      </c>
      <c r="J603" s="8" t="s">
        <v>2985</v>
      </c>
      <c r="K603" t="s">
        <v>11254</v>
      </c>
      <c r="L603" t="s">
        <v>11255</v>
      </c>
      <c r="M603" s="3" t="str">
        <f>HYPERLINK(склад2въезд131920212223[[#This Row],[RelativePath]])</f>
        <v>10 Сушилка навес\E33149364_3_20260202T092657Z.jpg</v>
      </c>
    </row>
    <row r="604" spans="1:13" x14ac:dyDescent="0.25">
      <c r="A604" s="2" t="s">
        <v>13</v>
      </c>
      <c r="B604" s="4">
        <v>46055</v>
      </c>
      <c r="C604" s="5">
        <v>0.40539351851851851</v>
      </c>
      <c r="D604" s="8" t="s">
        <v>11420</v>
      </c>
      <c r="E604" s="8" t="s">
        <v>86</v>
      </c>
      <c r="F604" s="8"/>
      <c r="H604" s="8"/>
      <c r="I604" s="8" t="s">
        <v>11256</v>
      </c>
      <c r="J604" s="8" t="s">
        <v>2985</v>
      </c>
      <c r="K604" t="s">
        <v>11257</v>
      </c>
      <c r="L604" t="s">
        <v>11258</v>
      </c>
      <c r="M604" s="3" t="str">
        <f>HYPERLINK(склад2въезд131920212223[[#This Row],[RelativePath]])</f>
        <v>10 Сушилка навес\E33149364_3_20260202T094346Z.jpg</v>
      </c>
    </row>
    <row r="605" spans="1:13" x14ac:dyDescent="0.25">
      <c r="A605" s="2" t="s">
        <v>13</v>
      </c>
      <c r="B605" s="4">
        <v>46055</v>
      </c>
      <c r="C605" s="5">
        <v>0.41719907407407408</v>
      </c>
      <c r="D605" s="8" t="s">
        <v>11421</v>
      </c>
      <c r="E605" s="8" t="s">
        <v>86</v>
      </c>
      <c r="F605" s="8"/>
      <c r="H605" s="8"/>
      <c r="I605" s="8" t="s">
        <v>11259</v>
      </c>
      <c r="J605" s="8" t="s">
        <v>2985</v>
      </c>
      <c r="K605" t="s">
        <v>11260</v>
      </c>
      <c r="L605" t="s">
        <v>11261</v>
      </c>
      <c r="M605" s="3" t="str">
        <f>HYPERLINK(склад2въезд131920212223[[#This Row],[RelativePath]])</f>
        <v>10 Сушилка навес\E33149364_3_20260202T100046Z.jpg</v>
      </c>
    </row>
    <row r="606" spans="1:13" x14ac:dyDescent="0.25">
      <c r="A606" s="2" t="s">
        <v>13</v>
      </c>
      <c r="B606" s="4">
        <v>46055</v>
      </c>
      <c r="C606" s="5">
        <v>0.49484953703703705</v>
      </c>
      <c r="D606" s="8" t="s">
        <v>533</v>
      </c>
      <c r="E606" s="8" t="s">
        <v>1607</v>
      </c>
      <c r="F606" s="8" t="s">
        <v>2929</v>
      </c>
      <c r="H606" s="8"/>
      <c r="I606" s="8" t="s">
        <v>11262</v>
      </c>
      <c r="J606" s="8" t="s">
        <v>2985</v>
      </c>
      <c r="K606" t="s">
        <v>11263</v>
      </c>
      <c r="L606" t="s">
        <v>11264</v>
      </c>
      <c r="M606" s="3" t="str">
        <f>HYPERLINK(склад2въезд131920212223[[#This Row],[RelativePath]])</f>
        <v>10 Сушилка навес\E33149364_3_20260202T115235Z.jpg</v>
      </c>
    </row>
    <row r="607" spans="1:13" x14ac:dyDescent="0.25">
      <c r="A607" s="2" t="s">
        <v>14</v>
      </c>
      <c r="B607" s="4">
        <v>46056</v>
      </c>
      <c r="C607" s="5">
        <v>0.4612384259259259</v>
      </c>
      <c r="D607" s="8" t="s">
        <v>533</v>
      </c>
      <c r="E607" s="8" t="s">
        <v>531</v>
      </c>
      <c r="F607" s="8" t="s">
        <v>9202</v>
      </c>
      <c r="H607" s="8"/>
      <c r="I607" s="8" t="s">
        <v>11265</v>
      </c>
      <c r="J607" s="8" t="s">
        <v>2985</v>
      </c>
      <c r="K607" t="s">
        <v>11266</v>
      </c>
      <c r="L607" t="s">
        <v>11267</v>
      </c>
      <c r="M607" s="3" t="str">
        <f>HYPERLINK(склад2въезд131920212223[[#This Row],[RelativePath]])</f>
        <v>10 Сушилка навес\E33149364_3_20260203T110411Z.jpg</v>
      </c>
    </row>
    <row r="608" spans="1:13" x14ac:dyDescent="0.25">
      <c r="A608" s="2" t="s">
        <v>14</v>
      </c>
      <c r="B608" s="4">
        <v>46056</v>
      </c>
      <c r="C608" s="5">
        <v>0.55513888888888885</v>
      </c>
      <c r="D608" s="8" t="s">
        <v>1606</v>
      </c>
      <c r="E608" s="8" t="s">
        <v>10140</v>
      </c>
      <c r="F608" s="8"/>
      <c r="H608" s="8"/>
      <c r="I608" s="8" t="s">
        <v>11268</v>
      </c>
      <c r="J608" s="8" t="s">
        <v>2985</v>
      </c>
      <c r="K608" t="s">
        <v>11269</v>
      </c>
      <c r="L608" t="s">
        <v>11270</v>
      </c>
      <c r="M608" s="3" t="str">
        <f>HYPERLINK(склад2въезд131920212223[[#This Row],[RelativePath]])</f>
        <v>10 Сушилка навес\E33149364_3_20260203T131924Z.jpg</v>
      </c>
    </row>
    <row r="609" spans="1:13" x14ac:dyDescent="0.25">
      <c r="A609" s="2" t="s">
        <v>14</v>
      </c>
      <c r="B609" s="4">
        <v>46056</v>
      </c>
      <c r="C609" s="5">
        <v>0.60166666666666668</v>
      </c>
      <c r="D609" s="8" t="s">
        <v>11422</v>
      </c>
      <c r="E609" s="8" t="s">
        <v>10140</v>
      </c>
      <c r="F609" s="8"/>
      <c r="H609" s="8"/>
      <c r="I609" s="8" t="s">
        <v>11271</v>
      </c>
      <c r="J609" s="8" t="s">
        <v>2985</v>
      </c>
      <c r="K609" t="s">
        <v>11272</v>
      </c>
      <c r="L609" t="s">
        <v>11273</v>
      </c>
      <c r="M609" s="3" t="str">
        <f>HYPERLINK(склад2въезд131920212223[[#This Row],[RelativePath]])</f>
        <v>10 Сушилка навес\E33149364_3_20260203T142624Z.jpg</v>
      </c>
    </row>
    <row r="610" spans="1:13" x14ac:dyDescent="0.25">
      <c r="A610" s="2" t="s">
        <v>14</v>
      </c>
      <c r="B610" s="4">
        <v>46056</v>
      </c>
      <c r="C610" s="5">
        <v>0.60630787037037037</v>
      </c>
      <c r="D610" s="8" t="s">
        <v>11423</v>
      </c>
      <c r="E610" s="8" t="s">
        <v>86</v>
      </c>
      <c r="F610" s="8"/>
      <c r="H610" s="8"/>
      <c r="I610" s="8" t="s">
        <v>11274</v>
      </c>
      <c r="J610" s="8" t="s">
        <v>2985</v>
      </c>
      <c r="K610" t="s">
        <v>11275</v>
      </c>
      <c r="L610" t="s">
        <v>11276</v>
      </c>
      <c r="M610" s="3" t="str">
        <f>HYPERLINK(склад2въезд131920212223[[#This Row],[RelativePath]])</f>
        <v>10 Сушилка навес\E33149364_3_20260203T143305Z.jpg</v>
      </c>
    </row>
    <row r="611" spans="1:13" x14ac:dyDescent="0.25">
      <c r="A611" s="2" t="s">
        <v>14</v>
      </c>
      <c r="B611" s="4">
        <v>46056</v>
      </c>
      <c r="C611" s="5">
        <v>0.63982638888888888</v>
      </c>
      <c r="D611" s="8" t="s">
        <v>533</v>
      </c>
      <c r="E611" s="8" t="s">
        <v>1607</v>
      </c>
      <c r="F611" s="8" t="s">
        <v>2929</v>
      </c>
      <c r="H611" s="8"/>
      <c r="I611" s="8" t="s">
        <v>11277</v>
      </c>
      <c r="J611" s="8" t="s">
        <v>2985</v>
      </c>
      <c r="K611" t="s">
        <v>11278</v>
      </c>
      <c r="L611" t="s">
        <v>11279</v>
      </c>
      <c r="M611" s="3" t="str">
        <f>HYPERLINK(склад2въезд131920212223[[#This Row],[RelativePath]])</f>
        <v>10 Сушилка навес\E33149364_3_20260203T152121Z.jpg</v>
      </c>
    </row>
    <row r="612" spans="1:13" x14ac:dyDescent="0.25">
      <c r="A612" s="2" t="s">
        <v>14</v>
      </c>
      <c r="B612" s="4">
        <v>46056</v>
      </c>
      <c r="C612" s="5">
        <v>0.67363425925925924</v>
      </c>
      <c r="D612" s="8" t="s">
        <v>650</v>
      </c>
      <c r="E612" s="8" t="s">
        <v>10140</v>
      </c>
      <c r="F612" s="8"/>
      <c r="H612" s="8"/>
      <c r="I612" s="8" t="s">
        <v>11280</v>
      </c>
      <c r="J612" s="8" t="s">
        <v>2985</v>
      </c>
      <c r="K612" t="s">
        <v>11281</v>
      </c>
      <c r="L612" t="s">
        <v>11282</v>
      </c>
      <c r="M612" s="3" t="str">
        <f>HYPERLINK(склад2въезд131920212223[[#This Row],[RelativePath]])</f>
        <v>10 Сушилка навес\E33149364_3_20260203T161002Z.jpg</v>
      </c>
    </row>
    <row r="613" spans="1:13" x14ac:dyDescent="0.25">
      <c r="A613" s="2" t="s">
        <v>15</v>
      </c>
      <c r="B613" s="4">
        <v>46057</v>
      </c>
      <c r="C613" s="5">
        <v>0.59472222222222226</v>
      </c>
      <c r="D613" s="8" t="s">
        <v>4223</v>
      </c>
      <c r="E613" s="8" t="s">
        <v>86</v>
      </c>
      <c r="F613" s="8" t="s">
        <v>11654</v>
      </c>
      <c r="H613" s="8"/>
      <c r="I613" s="8" t="s">
        <v>11517</v>
      </c>
      <c r="J613" s="8" t="s">
        <v>2985</v>
      </c>
      <c r="K613" t="s">
        <v>11518</v>
      </c>
      <c r="L613" t="s">
        <v>11519</v>
      </c>
      <c r="M613" s="3" t="str">
        <f>HYPERLINK(склад2въезд131920212223[[#This Row],[RelativePath]])</f>
        <v>10 Сушилка навес\E33149364_3_20260204T141624Z.jpg</v>
      </c>
    </row>
    <row r="614" spans="1:13" x14ac:dyDescent="0.25">
      <c r="A614" s="2" t="s">
        <v>15</v>
      </c>
      <c r="B614" s="4">
        <v>46057</v>
      </c>
      <c r="C614" s="5">
        <v>0.633275462962963</v>
      </c>
      <c r="D614" s="8" t="s">
        <v>158</v>
      </c>
      <c r="E614" s="8" t="s">
        <v>86</v>
      </c>
      <c r="F614" s="8" t="s">
        <v>58</v>
      </c>
      <c r="H614" s="8" t="s">
        <v>11655</v>
      </c>
      <c r="I614" s="8" t="s">
        <v>11520</v>
      </c>
      <c r="J614" s="8" t="s">
        <v>2985</v>
      </c>
      <c r="K614" t="s">
        <v>11521</v>
      </c>
      <c r="L614" t="s">
        <v>11522</v>
      </c>
      <c r="M614" s="3" t="str">
        <f>HYPERLINK(склад2въезд131920212223[[#This Row],[RelativePath]])</f>
        <v>10 Сушилка навес\E33149364_3_20260204T151155Z.jpg</v>
      </c>
    </row>
    <row r="615" spans="1:13" x14ac:dyDescent="0.25">
      <c r="A615" s="2" t="s">
        <v>15</v>
      </c>
      <c r="B615" s="4">
        <v>46057</v>
      </c>
      <c r="C615" s="5">
        <v>0.64008101851851851</v>
      </c>
      <c r="D615" s="8" t="s">
        <v>11656</v>
      </c>
      <c r="E615" s="8" t="s">
        <v>1607</v>
      </c>
      <c r="F615" s="8"/>
      <c r="H615" s="8"/>
      <c r="I615" s="8" t="s">
        <v>11523</v>
      </c>
      <c r="J615" s="8" t="s">
        <v>2985</v>
      </c>
      <c r="K615" t="s">
        <v>11524</v>
      </c>
      <c r="L615" t="s">
        <v>11525</v>
      </c>
      <c r="M615" s="3" t="str">
        <f>HYPERLINK(склад2въезд131920212223[[#This Row],[RelativePath]])</f>
        <v>10 Сушилка навес\E33149364_3_20260204T152143Z.jpg</v>
      </c>
    </row>
    <row r="616" spans="1:13" x14ac:dyDescent="0.25">
      <c r="A616" s="2" t="s">
        <v>15</v>
      </c>
      <c r="B616" s="4">
        <v>46057</v>
      </c>
      <c r="C616" s="5">
        <v>0.64031249999999995</v>
      </c>
      <c r="D616" s="8" t="s">
        <v>11657</v>
      </c>
      <c r="E616" s="8" t="s">
        <v>1607</v>
      </c>
      <c r="F616" s="8"/>
      <c r="H616" s="8"/>
      <c r="I616" s="8" t="s">
        <v>11526</v>
      </c>
      <c r="J616" s="8" t="s">
        <v>2985</v>
      </c>
      <c r="K616" t="s">
        <v>11527</v>
      </c>
      <c r="L616" t="s">
        <v>11528</v>
      </c>
      <c r="M616" s="3" t="str">
        <f>HYPERLINK(склад2въезд131920212223[[#This Row],[RelativePath]])</f>
        <v>10 Сушилка навес\E33149364_3_20260204T152203Z.jpg</v>
      </c>
    </row>
    <row r="617" spans="1:13" x14ac:dyDescent="0.25">
      <c r="A617" s="2" t="s">
        <v>16</v>
      </c>
      <c r="B617" s="4">
        <v>46058</v>
      </c>
      <c r="C617" s="5">
        <v>0.38155092592592593</v>
      </c>
      <c r="D617" s="8" t="s">
        <v>11658</v>
      </c>
      <c r="E617" s="8" t="s">
        <v>1607</v>
      </c>
      <c r="F617" s="8"/>
      <c r="H617" s="8"/>
      <c r="I617" s="8" t="s">
        <v>11529</v>
      </c>
      <c r="J617" s="8" t="s">
        <v>2985</v>
      </c>
      <c r="K617" t="s">
        <v>11530</v>
      </c>
      <c r="L617" t="s">
        <v>11531</v>
      </c>
      <c r="M617" s="3" t="str">
        <f>HYPERLINK(склад2въезд131920212223[[#This Row],[RelativePath]])</f>
        <v>10 Сушилка навес\E33149364_3_20260205T090926Z.jpg</v>
      </c>
    </row>
    <row r="618" spans="1:13" x14ac:dyDescent="0.25">
      <c r="A618" s="2" t="s">
        <v>16</v>
      </c>
      <c r="B618" s="4">
        <v>46058</v>
      </c>
      <c r="C618" s="5">
        <v>0.66181712962962957</v>
      </c>
      <c r="D618" s="8" t="s">
        <v>11658</v>
      </c>
      <c r="E618" s="8" t="s">
        <v>1607</v>
      </c>
      <c r="F618" s="8"/>
      <c r="H618" s="8"/>
      <c r="I618" s="8" t="s">
        <v>11532</v>
      </c>
      <c r="J618" s="8" t="s">
        <v>2985</v>
      </c>
      <c r="K618" t="s">
        <v>11533</v>
      </c>
      <c r="L618" t="s">
        <v>11534</v>
      </c>
      <c r="M618" s="3" t="str">
        <f>HYPERLINK(склад2въезд131920212223[[#This Row],[RelativePath]])</f>
        <v>10 Сушилка навес\E33149364_3_20260205T155301Z.jpg</v>
      </c>
    </row>
    <row r="619" spans="1:13" x14ac:dyDescent="0.25">
      <c r="A619" s="2" t="s">
        <v>17</v>
      </c>
      <c r="B619" s="4">
        <v>46059</v>
      </c>
      <c r="C619" s="5">
        <v>0.46134259259259258</v>
      </c>
      <c r="D619" s="8" t="s">
        <v>11658</v>
      </c>
      <c r="E619" s="8" t="s">
        <v>1607</v>
      </c>
      <c r="F619" s="8"/>
      <c r="H619" s="8"/>
      <c r="I619" s="8" t="s">
        <v>11535</v>
      </c>
      <c r="J619" s="8" t="s">
        <v>2985</v>
      </c>
      <c r="K619" t="s">
        <v>11536</v>
      </c>
      <c r="L619" t="s">
        <v>11537</v>
      </c>
      <c r="M619" s="3" t="str">
        <f>HYPERLINK(склад2въезд131920212223[[#This Row],[RelativePath]])</f>
        <v>10 Сушилка навес\E33149364_3_20260206T110420Z.jpg</v>
      </c>
    </row>
    <row r="620" spans="1:13" x14ac:dyDescent="0.25">
      <c r="A620" s="2" t="s">
        <v>18</v>
      </c>
      <c r="B620" s="4">
        <v>46060</v>
      </c>
      <c r="C620" s="5">
        <v>0.7</v>
      </c>
      <c r="D620" s="8" t="s">
        <v>2004</v>
      </c>
      <c r="E620" s="8" t="s">
        <v>8</v>
      </c>
      <c r="F620" s="8"/>
      <c r="H620" s="8"/>
      <c r="I620" s="8" t="s">
        <v>11739</v>
      </c>
      <c r="J620" s="8" t="s">
        <v>2985</v>
      </c>
      <c r="K620" t="s">
        <v>11740</v>
      </c>
      <c r="L620" t="s">
        <v>11741</v>
      </c>
      <c r="M620" s="3" t="str">
        <f>HYPERLINK(склад2въезд131920212223[[#This Row],[RelativePath]])</f>
        <v>10 Сушилка навес\E33149364_3_20260207T164800Z.jpg</v>
      </c>
    </row>
    <row r="621" spans="1:13" x14ac:dyDescent="0.25">
      <c r="A621" s="2" t="s">
        <v>22</v>
      </c>
      <c r="B621" s="4">
        <v>46061</v>
      </c>
      <c r="C621" s="5">
        <v>0.48668981481481483</v>
      </c>
      <c r="D621" s="8" t="s">
        <v>533</v>
      </c>
      <c r="E621" s="8" t="s">
        <v>1607</v>
      </c>
      <c r="F621" s="8" t="s">
        <v>58</v>
      </c>
      <c r="H621" s="8"/>
      <c r="I621" s="8" t="s">
        <v>11742</v>
      </c>
      <c r="J621" s="8" t="s">
        <v>2985</v>
      </c>
      <c r="K621" t="s">
        <v>11743</v>
      </c>
      <c r="L621" t="s">
        <v>11744</v>
      </c>
      <c r="M621" s="3" t="str">
        <f>HYPERLINK(склад2въезд131920212223[[#This Row],[RelativePath]])</f>
        <v>10 Сушилка навес\E33149364_3_20260208T114050Z.jpg</v>
      </c>
    </row>
    <row r="622" spans="1:13" x14ac:dyDescent="0.25">
      <c r="A622" s="2" t="s">
        <v>22</v>
      </c>
      <c r="B622" s="4">
        <v>46061</v>
      </c>
      <c r="C622" s="5">
        <v>0.52968749999999998</v>
      </c>
      <c r="D622" s="8" t="s">
        <v>533</v>
      </c>
      <c r="E622" s="8" t="s">
        <v>1607</v>
      </c>
      <c r="F622" s="8" t="s">
        <v>58</v>
      </c>
      <c r="H622" s="8"/>
      <c r="I622" s="8" t="s">
        <v>11745</v>
      </c>
      <c r="J622" s="8" t="s">
        <v>2985</v>
      </c>
      <c r="K622" t="s">
        <v>11746</v>
      </c>
      <c r="L622" t="s">
        <v>11747</v>
      </c>
      <c r="M622" s="3" t="str">
        <f>HYPERLINK(склад2въезд131920212223[[#This Row],[RelativePath]])</f>
        <v>10 Сушилка навес\E33149364_3_20260208T124245Z.jpg</v>
      </c>
    </row>
  </sheetData>
  <conditionalFormatting sqref="D623:D633 E623:E636 G2:H622 D2:E622">
    <cfRule type="containsText" dxfId="641" priority="14" operator="containsText" text="Выезд с территории">
      <formula>NOT(ISERROR(SEARCH("Выезд с территории",D2)))</formula>
    </cfRule>
  </conditionalFormatting>
  <conditionalFormatting sqref="F2:F622">
    <cfRule type="notContainsText" dxfId="640" priority="13" operator="notContains" text="порожний">
      <formula>ISERROR(SEARCH("порожний",F2))</formula>
    </cfRule>
  </conditionalFormatting>
  <conditionalFormatting sqref="E2:E636">
    <cfRule type="containsText" dxfId="639" priority="11" operator="containsText" text="Газель базы">
      <formula>NOT(ISERROR(SEARCH("Газель базы",E2)))</formula>
    </cfRule>
    <cfRule type="containsText" dxfId="638" priority="12" operator="containsText" text="Погрузчик базы">
      <formula>NOT(ISERROR(SEARCH("Погрузчик базы",E2)))</formula>
    </cfRule>
  </conditionalFormatting>
  <conditionalFormatting sqref="E2:E636">
    <cfRule type="containsText" dxfId="637" priority="10" operator="containsText" text="Трактор базы">
      <formula>NOT(ISERROR(SEARCH("Трактор базы",E2)))</formula>
    </cfRule>
  </conditionalFormatting>
  <conditionalFormatting sqref="A2:C622">
    <cfRule type="expression" dxfId="636" priority="9">
      <formula>$A2="пн"</formula>
    </cfRule>
  </conditionalFormatting>
  <conditionalFormatting sqref="A2:C624">
    <cfRule type="expression" dxfId="635" priority="3">
      <formula>$A2="вс"</formula>
    </cfRule>
    <cfRule type="expression" dxfId="634" priority="4">
      <formula>$A2="сб"</formula>
    </cfRule>
    <cfRule type="expression" dxfId="633" priority="5">
      <formula>$A2="пт"</formula>
    </cfRule>
    <cfRule type="expression" dxfId="632" priority="6">
      <formula>$A2="чт"</formula>
    </cfRule>
    <cfRule type="expression" dxfId="631" priority="7">
      <formula>$A2="ср"</formula>
    </cfRule>
    <cfRule type="expression" dxfId="630" priority="8">
      <formula>$A2="вт"</formula>
    </cfRule>
  </conditionalFormatting>
  <conditionalFormatting sqref="D2:D633">
    <cfRule type="containsText" dxfId="62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33">
    <cfRule type="containsText" dxfId="62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303"/>
  <sheetViews>
    <sheetView zoomScale="90" zoomScaleNormal="90" workbookViewId="0">
      <pane ySplit="1" topLeftCell="A290" activePane="bottomLeft" state="frozen"/>
      <selection pane="bottomLeft" activeCell="I302" sqref="I302:I30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42578125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1627</v>
      </c>
      <c r="J2" s="8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s="8" t="s">
        <v>159</v>
      </c>
      <c r="E3" s="8" t="s">
        <v>86</v>
      </c>
      <c r="F3" s="8" t="s">
        <v>60</v>
      </c>
      <c r="H3" s="8"/>
      <c r="I3" s="8" t="s">
        <v>1631</v>
      </c>
      <c r="J3" s="8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s="8" t="s">
        <v>1819</v>
      </c>
      <c r="E4" s="8" t="s">
        <v>86</v>
      </c>
      <c r="F4" s="8" t="s">
        <v>60</v>
      </c>
      <c r="H4" s="8" t="s">
        <v>1818</v>
      </c>
      <c r="I4" s="8" t="s">
        <v>1634</v>
      </c>
      <c r="J4" s="8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s="8" t="s">
        <v>159</v>
      </c>
      <c r="E5" s="8" t="s">
        <v>86</v>
      </c>
      <c r="F5" s="8" t="s">
        <v>60</v>
      </c>
      <c r="H5" s="8"/>
      <c r="I5" s="8" t="s">
        <v>1637</v>
      </c>
      <c r="J5" s="8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s="8" t="s">
        <v>1819</v>
      </c>
      <c r="E6" s="8" t="s">
        <v>86</v>
      </c>
      <c r="F6" s="8" t="s">
        <v>60</v>
      </c>
      <c r="H6" s="8"/>
      <c r="I6" s="8" t="s">
        <v>1640</v>
      </c>
      <c r="J6" s="8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s="8" t="s">
        <v>1819</v>
      </c>
      <c r="E7" s="8" t="s">
        <v>86</v>
      </c>
      <c r="F7" s="8" t="s">
        <v>60</v>
      </c>
      <c r="H7" s="8" t="s">
        <v>1818</v>
      </c>
      <c r="I7" s="8" t="s">
        <v>1643</v>
      </c>
      <c r="J7" s="8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s="8" t="s">
        <v>1819</v>
      </c>
      <c r="E8" s="8" t="s">
        <v>86</v>
      </c>
      <c r="F8" s="8" t="s">
        <v>60</v>
      </c>
      <c r="H8" s="8"/>
      <c r="I8" s="8" t="s">
        <v>1646</v>
      </c>
      <c r="J8" s="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s="8" t="s">
        <v>1819</v>
      </c>
      <c r="E9" s="8" t="s">
        <v>86</v>
      </c>
      <c r="F9" s="8" t="s">
        <v>60</v>
      </c>
      <c r="H9" s="8" t="s">
        <v>1818</v>
      </c>
      <c r="I9" s="8" t="s">
        <v>1649</v>
      </c>
      <c r="J9" s="8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s="8" t="s">
        <v>159</v>
      </c>
      <c r="E10" s="8" t="s">
        <v>86</v>
      </c>
      <c r="F10" s="8" t="s">
        <v>60</v>
      </c>
      <c r="H10" s="8"/>
      <c r="I10" s="8" t="s">
        <v>1652</v>
      </c>
      <c r="J10" s="8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s="8" t="s">
        <v>1819</v>
      </c>
      <c r="E11" s="8" t="s">
        <v>86</v>
      </c>
      <c r="F11" s="8" t="s">
        <v>60</v>
      </c>
      <c r="H11" s="8"/>
      <c r="I11" s="8" t="s">
        <v>1655</v>
      </c>
      <c r="J11" s="8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s="8" t="s">
        <v>1819</v>
      </c>
      <c r="E12" s="8" t="s">
        <v>86</v>
      </c>
      <c r="F12" s="8" t="s">
        <v>60</v>
      </c>
      <c r="H12" s="8" t="s">
        <v>1818</v>
      </c>
      <c r="I12" s="8" t="s">
        <v>1658</v>
      </c>
      <c r="J12" s="8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s="8" t="s">
        <v>159</v>
      </c>
      <c r="E13" s="8" t="s">
        <v>86</v>
      </c>
      <c r="F13" s="8" t="s">
        <v>60</v>
      </c>
      <c r="H13" s="8"/>
      <c r="I13" s="8" t="s">
        <v>1661</v>
      </c>
      <c r="J13" s="8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s="8" t="s">
        <v>1819</v>
      </c>
      <c r="E14" s="8" t="s">
        <v>86</v>
      </c>
      <c r="F14" s="8" t="s">
        <v>60</v>
      </c>
      <c r="H14" s="8" t="s">
        <v>1818</v>
      </c>
      <c r="I14" s="8" t="s">
        <v>1664</v>
      </c>
      <c r="J14" s="8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s="8" t="s">
        <v>159</v>
      </c>
      <c r="E15" s="8" t="s">
        <v>86</v>
      </c>
      <c r="F15" s="8" t="s">
        <v>60</v>
      </c>
      <c r="H15" s="8"/>
      <c r="I15" s="8" t="s">
        <v>1667</v>
      </c>
      <c r="J15" s="8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s="8" t="s">
        <v>1819</v>
      </c>
      <c r="E16" s="8" t="s">
        <v>86</v>
      </c>
      <c r="F16" s="8" t="s">
        <v>60</v>
      </c>
      <c r="H16" s="8" t="s">
        <v>1818</v>
      </c>
      <c r="I16" s="8" t="s">
        <v>1670</v>
      </c>
      <c r="J16" s="8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s="8" t="s">
        <v>159</v>
      </c>
      <c r="E17" s="8" t="s">
        <v>86</v>
      </c>
      <c r="F17" s="8" t="s">
        <v>53</v>
      </c>
      <c r="H17" s="8" t="s">
        <v>1818</v>
      </c>
      <c r="I17" s="8" t="s">
        <v>1673</v>
      </c>
      <c r="J17" s="8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s="8" t="s">
        <v>1606</v>
      </c>
      <c r="E18" s="8" t="s">
        <v>55</v>
      </c>
      <c r="F18" s="8" t="s">
        <v>58</v>
      </c>
      <c r="H18" s="8"/>
      <c r="I18" s="8" t="s">
        <v>1676</v>
      </c>
      <c r="J18" s="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s="8" t="s">
        <v>290</v>
      </c>
      <c r="E19" s="8" t="s">
        <v>55</v>
      </c>
      <c r="F19" s="8" t="s">
        <v>58</v>
      </c>
      <c r="H19" s="8"/>
      <c r="I19" s="8" t="s">
        <v>1679</v>
      </c>
      <c r="J19" s="8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s="8" t="s">
        <v>1820</v>
      </c>
      <c r="E20" s="8" t="s">
        <v>55</v>
      </c>
      <c r="F20" s="8" t="s">
        <v>58</v>
      </c>
      <c r="H20" s="8"/>
      <c r="I20" s="8" t="s">
        <v>1682</v>
      </c>
      <c r="J20" s="8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s="8" t="s">
        <v>1820</v>
      </c>
      <c r="E21" s="8" t="s">
        <v>55</v>
      </c>
      <c r="F21" s="8" t="s">
        <v>58</v>
      </c>
      <c r="H21" s="8"/>
      <c r="I21" s="8" t="s">
        <v>1685</v>
      </c>
      <c r="J21" s="8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s="8" t="s">
        <v>1820</v>
      </c>
      <c r="E22" s="8" t="s">
        <v>55</v>
      </c>
      <c r="F22" s="8" t="s">
        <v>58</v>
      </c>
      <c r="H22" s="8"/>
      <c r="I22" s="8" t="s">
        <v>1688</v>
      </c>
      <c r="J22" s="8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s="8" t="s">
        <v>1820</v>
      </c>
      <c r="E23" s="8" t="s">
        <v>55</v>
      </c>
      <c r="F23" s="8" t="s">
        <v>58</v>
      </c>
      <c r="H23" s="8"/>
      <c r="I23" s="8" t="s">
        <v>1691</v>
      </c>
      <c r="J23" s="8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s="8" t="s">
        <v>1821</v>
      </c>
      <c r="E24" s="8" t="s">
        <v>55</v>
      </c>
      <c r="F24" s="8"/>
      <c r="H24" s="8"/>
      <c r="I24" s="8" t="s">
        <v>1694</v>
      </c>
      <c r="J24" s="8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s="8" t="s">
        <v>290</v>
      </c>
      <c r="E25" s="8" t="s">
        <v>55</v>
      </c>
      <c r="F25" s="8" t="s">
        <v>58</v>
      </c>
      <c r="H25" s="8"/>
      <c r="I25" s="8" t="s">
        <v>1697</v>
      </c>
      <c r="J25" s="8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s="8" t="s">
        <v>1820</v>
      </c>
      <c r="E26" s="8" t="s">
        <v>55</v>
      </c>
      <c r="F26" s="8" t="s">
        <v>58</v>
      </c>
      <c r="H26" s="8"/>
      <c r="I26" s="8" t="s">
        <v>1700</v>
      </c>
      <c r="J26" s="8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s="8" t="s">
        <v>1820</v>
      </c>
      <c r="E27" s="8" t="s">
        <v>55</v>
      </c>
      <c r="F27" s="8" t="s">
        <v>58</v>
      </c>
      <c r="H27" s="8"/>
      <c r="I27" s="8" t="s">
        <v>1703</v>
      </c>
      <c r="J27" s="8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s="8" t="s">
        <v>4</v>
      </c>
      <c r="E28" s="8" t="s">
        <v>8</v>
      </c>
      <c r="F28" s="8"/>
      <c r="H28" s="8" t="s">
        <v>1625</v>
      </c>
      <c r="I28" s="8" t="s">
        <v>1706</v>
      </c>
      <c r="J28" s="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1709</v>
      </c>
      <c r="J29" s="8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s="8" t="s">
        <v>159</v>
      </c>
      <c r="E30" s="8" t="s">
        <v>86</v>
      </c>
      <c r="F30" s="8" t="s">
        <v>1097</v>
      </c>
      <c r="H30" s="8"/>
      <c r="I30" s="8" t="s">
        <v>1712</v>
      </c>
      <c r="J30" s="8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s="8" t="s">
        <v>1819</v>
      </c>
      <c r="E31" s="8" t="s">
        <v>86</v>
      </c>
      <c r="F31" s="8" t="s">
        <v>1097</v>
      </c>
      <c r="H31" s="8" t="s">
        <v>1818</v>
      </c>
      <c r="I31" s="8" t="s">
        <v>1715</v>
      </c>
      <c r="J31" s="8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s="8" t="s">
        <v>4</v>
      </c>
      <c r="E32" s="8" t="s">
        <v>8</v>
      </c>
      <c r="F32" s="8"/>
      <c r="H32" s="8"/>
      <c r="I32" s="8" t="s">
        <v>1718</v>
      </c>
      <c r="J32" s="8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s="8" t="s">
        <v>1615</v>
      </c>
      <c r="E33" s="8" t="s">
        <v>86</v>
      </c>
      <c r="F33" s="8" t="s">
        <v>60</v>
      </c>
      <c r="H33" s="8"/>
      <c r="I33" s="8" t="s">
        <v>1721</v>
      </c>
      <c r="J33" s="8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s="8" t="s">
        <v>1615</v>
      </c>
      <c r="E34" s="8" t="s">
        <v>86</v>
      </c>
      <c r="F34" s="8" t="s">
        <v>60</v>
      </c>
      <c r="H34" s="8"/>
      <c r="I34" s="8" t="s">
        <v>1724</v>
      </c>
      <c r="J34" s="8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s="8" t="s">
        <v>1615</v>
      </c>
      <c r="E35" s="8" t="s">
        <v>86</v>
      </c>
      <c r="F35" s="8" t="s">
        <v>60</v>
      </c>
      <c r="H35" s="8"/>
      <c r="I35" s="8" t="s">
        <v>1727</v>
      </c>
      <c r="J35" s="8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s="8" t="s">
        <v>1615</v>
      </c>
      <c r="E36" s="8" t="s">
        <v>86</v>
      </c>
      <c r="F36" s="8" t="s">
        <v>60</v>
      </c>
      <c r="H36" s="8"/>
      <c r="I36" s="8" t="s">
        <v>1730</v>
      </c>
      <c r="J36" s="8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s="8" t="s">
        <v>1615</v>
      </c>
      <c r="E37" s="8" t="s">
        <v>86</v>
      </c>
      <c r="F37" s="8" t="s">
        <v>60</v>
      </c>
      <c r="H37" s="8"/>
      <c r="I37" s="8" t="s">
        <v>1733</v>
      </c>
      <c r="J37" s="8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s="8" t="s">
        <v>4</v>
      </c>
      <c r="E38" s="8" t="s">
        <v>8</v>
      </c>
      <c r="F38" s="8"/>
      <c r="H38" s="8"/>
      <c r="I38" s="8" t="s">
        <v>1736</v>
      </c>
      <c r="J38" s="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s="8" t="s">
        <v>4</v>
      </c>
      <c r="E39" s="8" t="s">
        <v>8</v>
      </c>
      <c r="F39" s="8"/>
      <c r="H39" s="8" t="s">
        <v>1625</v>
      </c>
      <c r="I39" s="8" t="s">
        <v>1739</v>
      </c>
      <c r="J39" s="8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1742</v>
      </c>
      <c r="J40" s="8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s="8" t="s">
        <v>289</v>
      </c>
      <c r="E41" s="8" t="s">
        <v>86</v>
      </c>
      <c r="F41" s="8" t="s">
        <v>60</v>
      </c>
      <c r="H41" s="8" t="s">
        <v>1822</v>
      </c>
      <c r="I41" s="8" t="s">
        <v>1745</v>
      </c>
      <c r="J41" s="8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s="8" t="s">
        <v>1606</v>
      </c>
      <c r="E42" s="8" t="s">
        <v>66</v>
      </c>
      <c r="F42" s="8" t="s">
        <v>69</v>
      </c>
      <c r="H42" s="8"/>
      <c r="I42" s="8" t="s">
        <v>1748</v>
      </c>
      <c r="J42" s="8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s="8" t="s">
        <v>290</v>
      </c>
      <c r="E43" s="8" t="s">
        <v>66</v>
      </c>
      <c r="F43" s="8" t="s">
        <v>69</v>
      </c>
      <c r="H43" s="8"/>
      <c r="I43" s="8" t="s">
        <v>1751</v>
      </c>
      <c r="J43" s="8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s="8" t="s">
        <v>650</v>
      </c>
      <c r="E44" s="8" t="s">
        <v>66</v>
      </c>
      <c r="F44" s="8" t="s">
        <v>51</v>
      </c>
      <c r="H44" s="8"/>
      <c r="I44" s="8" t="s">
        <v>1754</v>
      </c>
      <c r="J44" s="8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s="8" t="s">
        <v>4</v>
      </c>
      <c r="E45" s="8" t="s">
        <v>8</v>
      </c>
      <c r="F45" s="8"/>
      <c r="H45" s="8" t="s">
        <v>1625</v>
      </c>
      <c r="I45" s="8" t="s">
        <v>1757</v>
      </c>
      <c r="J45" s="8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1760</v>
      </c>
      <c r="J46" s="8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s="8" t="s">
        <v>4</v>
      </c>
      <c r="E47" s="8" t="s">
        <v>70</v>
      </c>
      <c r="F47" s="8"/>
      <c r="H47" s="8" t="s">
        <v>1823</v>
      </c>
      <c r="I47" s="8" t="s">
        <v>1763</v>
      </c>
      <c r="J47" s="8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s="8" t="s">
        <v>4</v>
      </c>
      <c r="E48" s="8" t="s">
        <v>86</v>
      </c>
      <c r="F48" s="8"/>
      <c r="H48" s="8" t="s">
        <v>1824</v>
      </c>
      <c r="I48" s="8" t="s">
        <v>1766</v>
      </c>
      <c r="J48" s="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s="8" t="s">
        <v>159</v>
      </c>
      <c r="E49" s="8" t="s">
        <v>86</v>
      </c>
      <c r="F49" s="8" t="s">
        <v>528</v>
      </c>
      <c r="H49" s="8"/>
      <c r="I49" s="8" t="s">
        <v>1769</v>
      </c>
      <c r="J49" s="8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s="8" t="s">
        <v>4</v>
      </c>
      <c r="E50" s="8" t="s">
        <v>8</v>
      </c>
      <c r="F50" s="8"/>
      <c r="H50" s="8" t="s">
        <v>1625</v>
      </c>
      <c r="I50" s="8" t="s">
        <v>1772</v>
      </c>
      <c r="J50" s="8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1775</v>
      </c>
      <c r="J51" s="8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s="8" t="s">
        <v>159</v>
      </c>
      <c r="E52" s="8" t="s">
        <v>86</v>
      </c>
      <c r="F52" s="8" t="s">
        <v>200</v>
      </c>
      <c r="H52" s="8"/>
      <c r="I52" s="8" t="s">
        <v>1778</v>
      </c>
      <c r="J52" s="8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s="8" t="s">
        <v>1819</v>
      </c>
      <c r="E53" s="8" t="s">
        <v>86</v>
      </c>
      <c r="F53" s="8"/>
      <c r="H53" s="8" t="s">
        <v>1818</v>
      </c>
      <c r="I53" s="8" t="s">
        <v>1781</v>
      </c>
      <c r="J53" s="8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s="8" t="s">
        <v>159</v>
      </c>
      <c r="E54" s="8" t="s">
        <v>86</v>
      </c>
      <c r="F54" s="8" t="s">
        <v>200</v>
      </c>
      <c r="H54" s="8" t="s">
        <v>1818</v>
      </c>
      <c r="I54" s="8" t="s">
        <v>1784</v>
      </c>
      <c r="J54" s="8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s="8" t="s">
        <v>4</v>
      </c>
      <c r="E55" s="8" t="s">
        <v>8</v>
      </c>
      <c r="F55" s="8"/>
      <c r="H55" s="8"/>
      <c r="I55" s="8" t="s">
        <v>1787</v>
      </c>
      <c r="J55" s="8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s="8" t="s">
        <v>159</v>
      </c>
      <c r="E56" s="8" t="s">
        <v>86</v>
      </c>
      <c r="F56" s="8" t="s">
        <v>200</v>
      </c>
      <c r="H56" s="8" t="s">
        <v>1825</v>
      </c>
      <c r="I56" s="8" t="s">
        <v>1790</v>
      </c>
      <c r="J56" s="8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s="8" t="s">
        <v>159</v>
      </c>
      <c r="E57" s="8" t="s">
        <v>86</v>
      </c>
      <c r="F57" s="8" t="s">
        <v>200</v>
      </c>
      <c r="H57" s="8" t="s">
        <v>1825</v>
      </c>
      <c r="I57" s="8" t="s">
        <v>1793</v>
      </c>
      <c r="J57" s="8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s="8" t="s">
        <v>4</v>
      </c>
      <c r="E58" s="8" t="s">
        <v>8</v>
      </c>
      <c r="F58" s="8"/>
      <c r="H58" s="8" t="s">
        <v>1625</v>
      </c>
      <c r="I58" s="8" t="s">
        <v>1796</v>
      </c>
      <c r="J58" s="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1799</v>
      </c>
      <c r="J59" s="8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s="8" t="s">
        <v>4</v>
      </c>
      <c r="E60" s="8" t="s">
        <v>8</v>
      </c>
      <c r="F60" s="8"/>
      <c r="H60" s="8"/>
      <c r="I60" s="8" t="s">
        <v>1802</v>
      </c>
      <c r="J60" s="8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s="8" t="s">
        <v>4</v>
      </c>
      <c r="E61" s="8" t="s">
        <v>8</v>
      </c>
      <c r="F61" s="8"/>
      <c r="H61" s="8" t="s">
        <v>1625</v>
      </c>
      <c r="I61" s="8" t="s">
        <v>1805</v>
      </c>
      <c r="J61" s="8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1808</v>
      </c>
      <c r="J62" s="8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s="8" t="s">
        <v>4</v>
      </c>
      <c r="E63" s="8" t="s">
        <v>8</v>
      </c>
      <c r="F63" s="8"/>
      <c r="H63" s="8"/>
      <c r="I63" s="8" t="s">
        <v>1811</v>
      </c>
      <c r="J63" s="8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s="8" t="s">
        <v>4</v>
      </c>
      <c r="E64" s="8" t="s">
        <v>8</v>
      </c>
      <c r="F64" s="8"/>
      <c r="H64" s="8" t="s">
        <v>1625</v>
      </c>
      <c r="I64" s="8" t="s">
        <v>1814</v>
      </c>
      <c r="J64" s="8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s="8" t="s">
        <v>533</v>
      </c>
      <c r="E65" s="8" t="s">
        <v>1607</v>
      </c>
      <c r="F65" s="8" t="s">
        <v>2962</v>
      </c>
      <c r="H65" s="8" t="s">
        <v>2958</v>
      </c>
      <c r="I65" s="8" t="s">
        <v>2526</v>
      </c>
      <c r="J65" s="8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s="8" t="s">
        <v>533</v>
      </c>
      <c r="E66" s="8" t="s">
        <v>531</v>
      </c>
      <c r="F66" s="8" t="s">
        <v>58</v>
      </c>
      <c r="H66" s="8" t="s">
        <v>2968</v>
      </c>
      <c r="I66" s="8" t="s">
        <v>2529</v>
      </c>
      <c r="J66" s="8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s="8" t="s">
        <v>2980</v>
      </c>
      <c r="E67" s="8" t="s">
        <v>2920</v>
      </c>
      <c r="F67" s="8" t="s">
        <v>58</v>
      </c>
      <c r="H67" s="8" t="s">
        <v>2957</v>
      </c>
      <c r="I67" s="8" t="s">
        <v>2532</v>
      </c>
      <c r="J67" s="8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s="8" t="s">
        <v>1999</v>
      </c>
      <c r="E68" s="8" t="s">
        <v>2920</v>
      </c>
      <c r="F68" s="8" t="s">
        <v>58</v>
      </c>
      <c r="H68" s="8" t="s">
        <v>2957</v>
      </c>
      <c r="I68" s="8" t="s">
        <v>2535</v>
      </c>
      <c r="J68" s="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s="8" t="s">
        <v>1999</v>
      </c>
      <c r="E69" s="8" t="s">
        <v>2920</v>
      </c>
      <c r="F69" s="8" t="s">
        <v>58</v>
      </c>
      <c r="H69" s="8" t="s">
        <v>2957</v>
      </c>
      <c r="I69" s="8" t="s">
        <v>2538</v>
      </c>
      <c r="J69" s="8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s="8" t="s">
        <v>1999</v>
      </c>
      <c r="E70" s="8" t="s">
        <v>2920</v>
      </c>
      <c r="F70" s="8" t="s">
        <v>58</v>
      </c>
      <c r="H70" s="8" t="s">
        <v>2957</v>
      </c>
      <c r="I70" s="8" t="s">
        <v>2541</v>
      </c>
      <c r="J70" s="8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s="8" t="s">
        <v>1999</v>
      </c>
      <c r="E71" s="8" t="s">
        <v>2920</v>
      </c>
      <c r="F71" s="8" t="s">
        <v>58</v>
      </c>
      <c r="H71" s="8" t="s">
        <v>2957</v>
      </c>
      <c r="I71" s="8" t="s">
        <v>2544</v>
      </c>
      <c r="J71" s="8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s="8" t="s">
        <v>1999</v>
      </c>
      <c r="E72" s="8" t="s">
        <v>2920</v>
      </c>
      <c r="F72" s="8" t="s">
        <v>58</v>
      </c>
      <c r="H72" s="8" t="s">
        <v>2957</v>
      </c>
      <c r="I72" s="8" t="s">
        <v>2547</v>
      </c>
      <c r="J72" s="8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s="8" t="s">
        <v>1999</v>
      </c>
      <c r="E73" s="8" t="s">
        <v>2920</v>
      </c>
      <c r="F73" s="8" t="s">
        <v>58</v>
      </c>
      <c r="H73" s="8" t="s">
        <v>2957</v>
      </c>
      <c r="I73" s="8" t="s">
        <v>2550</v>
      </c>
      <c r="J73" s="8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s="8" t="s">
        <v>4</v>
      </c>
      <c r="E74" s="8" t="s">
        <v>8</v>
      </c>
      <c r="F74" s="8"/>
      <c r="H74" s="8"/>
      <c r="I74" s="8" t="s">
        <v>2553</v>
      </c>
      <c r="J74" s="8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s="8" t="s">
        <v>533</v>
      </c>
      <c r="E75" s="8" t="s">
        <v>531</v>
      </c>
      <c r="F75" s="8" t="s">
        <v>58</v>
      </c>
      <c r="H75" s="8" t="s">
        <v>2958</v>
      </c>
      <c r="I75" s="8" t="s">
        <v>2556</v>
      </c>
      <c r="J75" s="8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s="8" t="s">
        <v>533</v>
      </c>
      <c r="E76" s="8" t="s">
        <v>1607</v>
      </c>
      <c r="F76" s="8" t="s">
        <v>58</v>
      </c>
      <c r="H76" s="8" t="s">
        <v>2958</v>
      </c>
      <c r="I76" s="8" t="s">
        <v>2559</v>
      </c>
      <c r="J76" s="8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s="8" t="s">
        <v>533</v>
      </c>
      <c r="E77" s="8" t="s">
        <v>1607</v>
      </c>
      <c r="F77" s="8" t="s">
        <v>58</v>
      </c>
      <c r="H77" s="8" t="s">
        <v>2958</v>
      </c>
      <c r="I77" s="8" t="s">
        <v>2562</v>
      </c>
      <c r="J77" s="8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s="8" t="s">
        <v>4</v>
      </c>
      <c r="E78" s="8" t="s">
        <v>8</v>
      </c>
      <c r="F78" s="8"/>
      <c r="H78" s="8"/>
      <c r="I78" s="8" t="s">
        <v>2565</v>
      </c>
      <c r="J78" s="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s="8" t="s">
        <v>533</v>
      </c>
      <c r="E79" s="8" t="s">
        <v>1607</v>
      </c>
      <c r="F79" s="8" t="s">
        <v>58</v>
      </c>
      <c r="H79" s="8" t="s">
        <v>2958</v>
      </c>
      <c r="I79" s="8" t="s">
        <v>2568</v>
      </c>
      <c r="J79" s="8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s="8" t="s">
        <v>4</v>
      </c>
      <c r="E80" s="8" t="s">
        <v>8</v>
      </c>
      <c r="F80" s="8"/>
      <c r="H80" s="8"/>
      <c r="I80" s="8" t="s">
        <v>2571</v>
      </c>
      <c r="J80" s="8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s="8" t="s">
        <v>2004</v>
      </c>
      <c r="E81" s="8"/>
      <c r="F81" s="8"/>
      <c r="H81" s="8"/>
      <c r="I81" s="8" t="s">
        <v>2574</v>
      </c>
      <c r="J81" s="8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s="8" t="s">
        <v>4</v>
      </c>
      <c r="E82" s="8" t="s">
        <v>8</v>
      </c>
      <c r="F82" s="8"/>
      <c r="H82" s="8"/>
      <c r="I82" s="8" t="s">
        <v>2969</v>
      </c>
      <c r="J82" s="8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s="8" t="s">
        <v>4</v>
      </c>
      <c r="E83" s="8" t="s">
        <v>8</v>
      </c>
      <c r="F83" s="8"/>
      <c r="H83" s="8" t="s">
        <v>2975</v>
      </c>
      <c r="I83" s="8" t="s">
        <v>2972</v>
      </c>
      <c r="J83" s="8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s="8" t="s">
        <v>4</v>
      </c>
      <c r="E84" s="8" t="s">
        <v>8</v>
      </c>
      <c r="F84" s="8"/>
      <c r="H84" s="8" t="s">
        <v>2975</v>
      </c>
      <c r="I84" s="8" t="s">
        <v>2577</v>
      </c>
      <c r="J84" s="8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s="8" t="s">
        <v>4</v>
      </c>
      <c r="E85" s="8" t="s">
        <v>8</v>
      </c>
      <c r="F85" s="8"/>
      <c r="H85" s="8"/>
      <c r="I85" s="8" t="s">
        <v>2580</v>
      </c>
      <c r="J85" s="8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s="8" t="s">
        <v>2004</v>
      </c>
      <c r="E86" s="8"/>
      <c r="F86" s="8"/>
      <c r="H86" s="8"/>
      <c r="I86" s="8" t="s">
        <v>2583</v>
      </c>
      <c r="J86" s="8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s="8" t="s">
        <v>2004</v>
      </c>
      <c r="E87" s="8"/>
      <c r="F87" s="8"/>
      <c r="H87" s="8"/>
      <c r="I87" s="8" t="s">
        <v>2586</v>
      </c>
      <c r="J87" s="8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s="8" t="s">
        <v>4</v>
      </c>
      <c r="E88" s="8" t="s">
        <v>8</v>
      </c>
      <c r="F88" s="8"/>
      <c r="H88" s="8"/>
      <c r="I88" s="8" t="s">
        <v>4070</v>
      </c>
      <c r="J88" s="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s="8" t="s">
        <v>533</v>
      </c>
      <c r="E89" s="8" t="s">
        <v>531</v>
      </c>
      <c r="F89" s="8" t="s">
        <v>4242</v>
      </c>
      <c r="G89">
        <v>2</v>
      </c>
      <c r="H89" s="8" t="s">
        <v>4243</v>
      </c>
      <c r="I89" s="8" t="s">
        <v>4073</v>
      </c>
      <c r="J89" s="8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s="8" t="s">
        <v>533</v>
      </c>
      <c r="E90" s="8" t="s">
        <v>531</v>
      </c>
      <c r="F90" s="8" t="s">
        <v>4242</v>
      </c>
      <c r="G90">
        <v>2</v>
      </c>
      <c r="H90" s="8" t="s">
        <v>4243</v>
      </c>
      <c r="I90" s="8" t="s">
        <v>4076</v>
      </c>
      <c r="J90" s="8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s="8" t="s">
        <v>4216</v>
      </c>
      <c r="E91" s="8" t="s">
        <v>531</v>
      </c>
      <c r="F91" s="8" t="s">
        <v>58</v>
      </c>
      <c r="H91" s="8" t="s">
        <v>4244</v>
      </c>
      <c r="I91" s="8" t="s">
        <v>4079</v>
      </c>
      <c r="J91" s="8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s="8" t="s">
        <v>4216</v>
      </c>
      <c r="E92" s="8" t="s">
        <v>531</v>
      </c>
      <c r="F92" s="8" t="s">
        <v>58</v>
      </c>
      <c r="H92" s="8" t="s">
        <v>2936</v>
      </c>
      <c r="I92" s="8" t="s">
        <v>4082</v>
      </c>
      <c r="J92" s="8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s="8" t="s">
        <v>4216</v>
      </c>
      <c r="E93" s="8" t="s">
        <v>531</v>
      </c>
      <c r="F93" s="8" t="s">
        <v>58</v>
      </c>
      <c r="H93" s="8" t="s">
        <v>2936</v>
      </c>
      <c r="I93" s="8" t="s">
        <v>4085</v>
      </c>
      <c r="J93" s="8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s="8" t="s">
        <v>4216</v>
      </c>
      <c r="E94" s="8" t="s">
        <v>531</v>
      </c>
      <c r="F94" s="8" t="s">
        <v>58</v>
      </c>
      <c r="H94" s="8" t="s">
        <v>2936</v>
      </c>
      <c r="I94" s="8" t="s">
        <v>4088</v>
      </c>
      <c r="J94" s="8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s="8" t="s">
        <v>4216</v>
      </c>
      <c r="E95" s="8" t="s">
        <v>531</v>
      </c>
      <c r="F95" s="8" t="s">
        <v>58</v>
      </c>
      <c r="H95" s="8" t="s">
        <v>2936</v>
      </c>
      <c r="I95" s="8" t="s">
        <v>4091</v>
      </c>
      <c r="J95" s="8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s="8" t="s">
        <v>289</v>
      </c>
      <c r="E96" s="8" t="s">
        <v>4192</v>
      </c>
      <c r="F96" s="8" t="s">
        <v>58</v>
      </c>
      <c r="H96" s="8"/>
      <c r="I96" s="8" t="s">
        <v>4094</v>
      </c>
      <c r="J96" s="8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s="8" t="s">
        <v>289</v>
      </c>
      <c r="E97" s="8" t="s">
        <v>4192</v>
      </c>
      <c r="F97" s="8" t="s">
        <v>58</v>
      </c>
      <c r="H97" s="8" t="s">
        <v>2936</v>
      </c>
      <c r="I97" s="8" t="s">
        <v>4097</v>
      </c>
      <c r="J97" s="8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s="8" t="s">
        <v>289</v>
      </c>
      <c r="E98" s="8" t="s">
        <v>4192</v>
      </c>
      <c r="F98" s="8" t="s">
        <v>58</v>
      </c>
      <c r="H98" s="8" t="s">
        <v>2936</v>
      </c>
      <c r="I98" s="8" t="s">
        <v>4100</v>
      </c>
      <c r="J98" s="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s="8" t="s">
        <v>289</v>
      </c>
      <c r="E99" s="8" t="s">
        <v>4192</v>
      </c>
      <c r="F99" s="8" t="s">
        <v>58</v>
      </c>
      <c r="H99" s="8" t="s">
        <v>2936</v>
      </c>
      <c r="I99" s="8" t="s">
        <v>4103</v>
      </c>
      <c r="J99" s="8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s="8" t="s">
        <v>4</v>
      </c>
      <c r="E100" s="8" t="s">
        <v>8</v>
      </c>
      <c r="F100" s="8"/>
      <c r="H100" s="8"/>
      <c r="I100" s="8" t="s">
        <v>4106</v>
      </c>
      <c r="J100" s="8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s="8" t="s">
        <v>1094</v>
      </c>
      <c r="E101" s="8" t="s">
        <v>86</v>
      </c>
      <c r="F101" s="8" t="s">
        <v>58</v>
      </c>
      <c r="H101" s="8" t="s">
        <v>1620</v>
      </c>
      <c r="I101" s="8" t="s">
        <v>4109</v>
      </c>
      <c r="J101" s="8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s="8" t="s">
        <v>1094</v>
      </c>
      <c r="E102" s="8" t="s">
        <v>86</v>
      </c>
      <c r="F102" s="8" t="s">
        <v>58</v>
      </c>
      <c r="H102" s="8" t="s">
        <v>4245</v>
      </c>
      <c r="I102" s="8" t="s">
        <v>4112</v>
      </c>
      <c r="J102" s="8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s="8" t="s">
        <v>1094</v>
      </c>
      <c r="E103" s="8" t="s">
        <v>86</v>
      </c>
      <c r="F103" s="8" t="s">
        <v>58</v>
      </c>
      <c r="H103" s="8" t="s">
        <v>4245</v>
      </c>
      <c r="I103" s="8" t="s">
        <v>4115</v>
      </c>
      <c r="J103" s="8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s="8" t="s">
        <v>533</v>
      </c>
      <c r="E104" s="8" t="s">
        <v>1607</v>
      </c>
      <c r="F104" s="8" t="s">
        <v>58</v>
      </c>
      <c r="H104" s="8"/>
      <c r="I104" s="8" t="s">
        <v>4118</v>
      </c>
      <c r="J104" s="8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s="8" t="s">
        <v>4</v>
      </c>
      <c r="E105" s="8" t="s">
        <v>8</v>
      </c>
      <c r="F105" s="8"/>
      <c r="H105" s="8"/>
      <c r="I105" s="8" t="s">
        <v>4121</v>
      </c>
      <c r="J105" s="8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s="8" t="s">
        <v>4</v>
      </c>
      <c r="E106" s="8" t="s">
        <v>8</v>
      </c>
      <c r="F106" s="8"/>
      <c r="H106" s="8"/>
      <c r="I106" s="8" t="s">
        <v>4124</v>
      </c>
      <c r="J106" s="8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s="8" t="s">
        <v>2004</v>
      </c>
      <c r="E107" s="8"/>
      <c r="F107" s="8"/>
      <c r="H107" s="8"/>
      <c r="I107" s="8" t="s">
        <v>4288</v>
      </c>
      <c r="J107" s="8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s="8" t="s">
        <v>2004</v>
      </c>
      <c r="E108" s="8"/>
      <c r="F108" s="8"/>
      <c r="H108" s="8"/>
      <c r="I108" s="8" t="s">
        <v>4900</v>
      </c>
      <c r="J108" s="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s="8" t="s">
        <v>2004</v>
      </c>
      <c r="E109" s="8"/>
      <c r="F109" s="8"/>
      <c r="H109" s="8"/>
      <c r="I109" s="8" t="s">
        <v>4903</v>
      </c>
      <c r="J109" s="8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s="8" t="s">
        <v>159</v>
      </c>
      <c r="E110" s="8" t="s">
        <v>86</v>
      </c>
      <c r="F110" s="8" t="s">
        <v>5103</v>
      </c>
      <c r="H110" s="8"/>
      <c r="I110" s="8" t="s">
        <v>4906</v>
      </c>
      <c r="J110" s="8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s="8" t="s">
        <v>3073</v>
      </c>
      <c r="E111" s="8" t="s">
        <v>86</v>
      </c>
      <c r="F111" s="8" t="s">
        <v>5103</v>
      </c>
      <c r="H111" s="8"/>
      <c r="I111" s="8" t="s">
        <v>4909</v>
      </c>
      <c r="J111" s="8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s="8" t="s">
        <v>2004</v>
      </c>
      <c r="E112" s="8"/>
      <c r="F112" s="8"/>
      <c r="H112" s="8"/>
      <c r="I112" s="8" t="s">
        <v>4912</v>
      </c>
      <c r="J112" s="8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s="8" t="s">
        <v>4</v>
      </c>
      <c r="E113" s="8" t="s">
        <v>5139</v>
      </c>
      <c r="F113" s="8"/>
      <c r="H113" s="8" t="s">
        <v>5140</v>
      </c>
      <c r="I113" s="8" t="s">
        <v>4915</v>
      </c>
      <c r="J113" s="8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s="8" t="s">
        <v>2004</v>
      </c>
      <c r="E114" s="8"/>
      <c r="F114" s="8"/>
      <c r="H114" s="8"/>
      <c r="I114" s="8" t="s">
        <v>4918</v>
      </c>
      <c r="J114" s="8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s="8" t="s">
        <v>5265</v>
      </c>
      <c r="E115" s="8" t="s">
        <v>5263</v>
      </c>
      <c r="F115" s="8" t="s">
        <v>4233</v>
      </c>
      <c r="H115" s="8"/>
      <c r="I115" s="8" t="s">
        <v>5199</v>
      </c>
      <c r="J115" s="8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s="8" t="s">
        <v>5265</v>
      </c>
      <c r="E116" s="8" t="s">
        <v>5263</v>
      </c>
      <c r="F116" s="8" t="s">
        <v>4233</v>
      </c>
      <c r="H116" s="8" t="s">
        <v>2936</v>
      </c>
      <c r="I116" s="8" t="s">
        <v>5202</v>
      </c>
      <c r="J116" s="8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s="8" t="s">
        <v>5265</v>
      </c>
      <c r="E117" s="8" t="s">
        <v>5263</v>
      </c>
      <c r="F117" s="8" t="s">
        <v>4233</v>
      </c>
      <c r="H117" s="8" t="s">
        <v>2936</v>
      </c>
      <c r="I117" s="8" t="s">
        <v>5205</v>
      </c>
      <c r="J117" s="8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s="8" t="s">
        <v>5265</v>
      </c>
      <c r="E118" s="8" t="s">
        <v>5263</v>
      </c>
      <c r="F118" s="8" t="s">
        <v>4233</v>
      </c>
      <c r="H118" s="8" t="s">
        <v>2936</v>
      </c>
      <c r="I118" s="8" t="s">
        <v>5208</v>
      </c>
      <c r="J118" s="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s="8" t="s">
        <v>5265</v>
      </c>
      <c r="E119" s="8" t="s">
        <v>5263</v>
      </c>
      <c r="F119" s="8" t="s">
        <v>4233</v>
      </c>
      <c r="H119" s="8" t="s">
        <v>2936</v>
      </c>
      <c r="I119" s="8" t="s">
        <v>5211</v>
      </c>
      <c r="J119" s="8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s="8" t="s">
        <v>4235</v>
      </c>
      <c r="E120" s="8" t="s">
        <v>5263</v>
      </c>
      <c r="F120" s="8" t="s">
        <v>4233</v>
      </c>
      <c r="H120" s="8"/>
      <c r="I120" s="8" t="s">
        <v>5214</v>
      </c>
      <c r="J120" s="8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s="8" t="s">
        <v>1094</v>
      </c>
      <c r="E121" s="8" t="s">
        <v>86</v>
      </c>
      <c r="F121" s="8" t="s">
        <v>58</v>
      </c>
      <c r="H121" s="8" t="s">
        <v>1620</v>
      </c>
      <c r="I121" s="8" t="s">
        <v>5453</v>
      </c>
      <c r="J121" s="8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s="8" t="s">
        <v>1094</v>
      </c>
      <c r="E122" s="8" t="s">
        <v>86</v>
      </c>
      <c r="F122" s="8" t="s">
        <v>58</v>
      </c>
      <c r="H122" s="8" t="s">
        <v>1620</v>
      </c>
      <c r="I122" s="8" t="s">
        <v>5456</v>
      </c>
      <c r="J122" s="8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s="8" t="s">
        <v>4</v>
      </c>
      <c r="E123" s="8" t="s">
        <v>86</v>
      </c>
      <c r="F123" s="8" t="s">
        <v>528</v>
      </c>
      <c r="H123" s="8" t="s">
        <v>5104</v>
      </c>
      <c r="I123" s="8" t="s">
        <v>5632</v>
      </c>
      <c r="J123" s="8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s="8" t="s">
        <v>4</v>
      </c>
      <c r="E124" s="8" t="s">
        <v>86</v>
      </c>
      <c r="F124" s="8" t="s">
        <v>528</v>
      </c>
      <c r="H124" s="8" t="s">
        <v>5104</v>
      </c>
      <c r="I124" s="8" t="s">
        <v>5636</v>
      </c>
      <c r="J124" s="8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s="8" t="s">
        <v>4</v>
      </c>
      <c r="E125" s="8" t="s">
        <v>86</v>
      </c>
      <c r="F125" s="8" t="s">
        <v>528</v>
      </c>
      <c r="H125" s="8" t="s">
        <v>5104</v>
      </c>
      <c r="I125" s="8" t="s">
        <v>5639</v>
      </c>
      <c r="J125" s="8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s="8" t="s">
        <v>4</v>
      </c>
      <c r="E126" s="8" t="s">
        <v>86</v>
      </c>
      <c r="F126" s="8" t="s">
        <v>528</v>
      </c>
      <c r="H126" s="8" t="s">
        <v>5104</v>
      </c>
      <c r="I126" s="8" t="s">
        <v>5642</v>
      </c>
      <c r="J126" s="8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s="8" t="s">
        <v>6184</v>
      </c>
      <c r="E127" s="8" t="s">
        <v>58</v>
      </c>
      <c r="F127" s="8"/>
      <c r="H127" s="8" t="s">
        <v>6185</v>
      </c>
      <c r="I127" s="8" t="s">
        <v>5645</v>
      </c>
      <c r="J127" s="8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s="8" t="s">
        <v>6184</v>
      </c>
      <c r="E128" s="8" t="s">
        <v>58</v>
      </c>
      <c r="F128" s="8"/>
      <c r="H128" s="8" t="s">
        <v>2936</v>
      </c>
      <c r="I128" s="8" t="s">
        <v>5648</v>
      </c>
      <c r="J128" s="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s="8" t="s">
        <v>6184</v>
      </c>
      <c r="E129" s="8" t="s">
        <v>58</v>
      </c>
      <c r="F129" s="8"/>
      <c r="H129" s="8" t="s">
        <v>2936</v>
      </c>
      <c r="I129" s="8" t="s">
        <v>5651</v>
      </c>
      <c r="J129" s="8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s="8" t="s">
        <v>6184</v>
      </c>
      <c r="E130" s="8" t="s">
        <v>58</v>
      </c>
      <c r="F130" s="8"/>
      <c r="H130" s="8" t="s">
        <v>2936</v>
      </c>
      <c r="I130" s="8" t="s">
        <v>5654</v>
      </c>
      <c r="J130" s="8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s="8" t="s">
        <v>1094</v>
      </c>
      <c r="E131" s="8" t="s">
        <v>86</v>
      </c>
      <c r="F131" s="8" t="s">
        <v>58</v>
      </c>
      <c r="H131" s="8" t="s">
        <v>1620</v>
      </c>
      <c r="I131" s="8" t="s">
        <v>5924</v>
      </c>
      <c r="J131" s="8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s="8" t="s">
        <v>4</v>
      </c>
      <c r="E132" s="8" t="s">
        <v>8</v>
      </c>
      <c r="F132" s="8"/>
      <c r="H132" s="8"/>
      <c r="I132" s="8" t="s">
        <v>5927</v>
      </c>
      <c r="J132" s="8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s="8" t="s">
        <v>4</v>
      </c>
      <c r="E133" s="8" t="s">
        <v>8</v>
      </c>
      <c r="F133" s="8"/>
      <c r="H133" s="8"/>
      <c r="I133" s="8" t="s">
        <v>5930</v>
      </c>
      <c r="J133" s="8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s="8" t="s">
        <v>1606</v>
      </c>
      <c r="E134" s="8" t="s">
        <v>6167</v>
      </c>
      <c r="F134" s="8" t="s">
        <v>6186</v>
      </c>
      <c r="H134" s="8" t="s">
        <v>6164</v>
      </c>
      <c r="I134" s="8" t="s">
        <v>6107</v>
      </c>
      <c r="J134" s="8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s="8" t="s">
        <v>6187</v>
      </c>
      <c r="E135" s="8" t="s">
        <v>6167</v>
      </c>
      <c r="F135" s="8"/>
      <c r="H135" s="8"/>
      <c r="I135" s="8" t="s">
        <v>6110</v>
      </c>
      <c r="J135" s="8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s="8" t="s">
        <v>289</v>
      </c>
      <c r="E136" s="8" t="s">
        <v>6167</v>
      </c>
      <c r="F136" s="8" t="s">
        <v>6188</v>
      </c>
      <c r="H136" s="8" t="s">
        <v>2936</v>
      </c>
      <c r="I136" s="8" t="s">
        <v>6113</v>
      </c>
      <c r="J136" s="8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s="8" t="s">
        <v>289</v>
      </c>
      <c r="E137" s="8" t="s">
        <v>6167</v>
      </c>
      <c r="F137" s="8" t="s">
        <v>6188</v>
      </c>
      <c r="H137" s="8" t="s">
        <v>2936</v>
      </c>
      <c r="I137" s="8" t="s">
        <v>6116</v>
      </c>
      <c r="J137" s="8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s="8" t="s">
        <v>289</v>
      </c>
      <c r="E138" s="8" t="s">
        <v>6167</v>
      </c>
      <c r="F138" s="8" t="s">
        <v>6188</v>
      </c>
      <c r="H138" s="8" t="s">
        <v>2936</v>
      </c>
      <c r="I138" s="8" t="s">
        <v>6119</v>
      </c>
      <c r="J138" s="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s="8" t="s">
        <v>289</v>
      </c>
      <c r="E139" s="8" t="s">
        <v>6167</v>
      </c>
      <c r="F139" s="8" t="s">
        <v>6188</v>
      </c>
      <c r="H139" s="8" t="s">
        <v>2936</v>
      </c>
      <c r="I139" s="8" t="s">
        <v>6122</v>
      </c>
      <c r="J139" s="8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s="8" t="s">
        <v>289</v>
      </c>
      <c r="E140" s="8" t="s">
        <v>6167</v>
      </c>
      <c r="F140" s="8" t="s">
        <v>6188</v>
      </c>
      <c r="H140" s="8" t="s">
        <v>2936</v>
      </c>
      <c r="I140" s="8" t="s">
        <v>6125</v>
      </c>
      <c r="J140" s="8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s="8" t="s">
        <v>289</v>
      </c>
      <c r="E141" s="8" t="s">
        <v>6167</v>
      </c>
      <c r="F141" s="8" t="s">
        <v>6188</v>
      </c>
      <c r="H141" s="8" t="s">
        <v>2936</v>
      </c>
      <c r="I141" s="8" t="s">
        <v>6128</v>
      </c>
      <c r="J141" s="8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s="8" t="s">
        <v>289</v>
      </c>
      <c r="E142" s="8" t="s">
        <v>6167</v>
      </c>
      <c r="F142" s="8" t="s">
        <v>6188</v>
      </c>
      <c r="H142" s="8" t="s">
        <v>2936</v>
      </c>
      <c r="I142" s="8" t="s">
        <v>6131</v>
      </c>
      <c r="J142" s="8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s="8" t="s">
        <v>289</v>
      </c>
      <c r="E143" s="8" t="s">
        <v>6167</v>
      </c>
      <c r="F143" s="8" t="s">
        <v>6188</v>
      </c>
      <c r="H143" s="8" t="s">
        <v>2936</v>
      </c>
      <c r="I143" s="8" t="s">
        <v>6134</v>
      </c>
      <c r="J143" s="8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s="8" t="s">
        <v>650</v>
      </c>
      <c r="E144" s="8" t="s">
        <v>6167</v>
      </c>
      <c r="F144" s="8" t="s">
        <v>6188</v>
      </c>
      <c r="H144" s="8"/>
      <c r="I144" s="8" t="s">
        <v>6137</v>
      </c>
      <c r="J144" s="8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s="8" t="s">
        <v>1606</v>
      </c>
      <c r="E145" s="8" t="s">
        <v>6167</v>
      </c>
      <c r="F145" s="8" t="s">
        <v>1609</v>
      </c>
      <c r="H145" s="8"/>
      <c r="I145" s="8" t="s">
        <v>6140</v>
      </c>
      <c r="J145" s="8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s="8" t="s">
        <v>290</v>
      </c>
      <c r="E146" s="8" t="s">
        <v>6167</v>
      </c>
      <c r="F146" s="8" t="s">
        <v>58</v>
      </c>
      <c r="H146" s="8"/>
      <c r="I146" s="8" t="s">
        <v>6143</v>
      </c>
      <c r="J146" s="8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s="8" t="s">
        <v>290</v>
      </c>
      <c r="E147" s="8" t="s">
        <v>6167</v>
      </c>
      <c r="F147" s="8" t="s">
        <v>58</v>
      </c>
      <c r="H147" s="8" t="s">
        <v>2936</v>
      </c>
      <c r="I147" s="8" t="s">
        <v>6146</v>
      </c>
      <c r="J147" s="8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s="8" t="s">
        <v>290</v>
      </c>
      <c r="E148" s="8" t="s">
        <v>6167</v>
      </c>
      <c r="F148" s="8" t="s">
        <v>58</v>
      </c>
      <c r="H148" s="8" t="s">
        <v>2936</v>
      </c>
      <c r="I148" s="8" t="s">
        <v>6149</v>
      </c>
      <c r="J148" s="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s="8" t="s">
        <v>290</v>
      </c>
      <c r="E149" s="8" t="s">
        <v>6167</v>
      </c>
      <c r="F149" s="8" t="s">
        <v>58</v>
      </c>
      <c r="H149" s="8" t="s">
        <v>2936</v>
      </c>
      <c r="I149" s="8" t="s">
        <v>6152</v>
      </c>
      <c r="J149" s="8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s="8" t="s">
        <v>650</v>
      </c>
      <c r="E150" s="8" t="s">
        <v>6167</v>
      </c>
      <c r="F150" s="8" t="s">
        <v>6189</v>
      </c>
      <c r="H150" s="8"/>
      <c r="I150" s="8" t="s">
        <v>6155</v>
      </c>
      <c r="J150" s="8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s="8" t="s">
        <v>4</v>
      </c>
      <c r="E151" s="8" t="s">
        <v>8</v>
      </c>
      <c r="F151" s="8"/>
      <c r="H151" s="8"/>
      <c r="I151" s="8" t="s">
        <v>6158</v>
      </c>
      <c r="J151" s="8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s="8" t="s">
        <v>2004</v>
      </c>
      <c r="E152" s="8" t="s">
        <v>8</v>
      </c>
      <c r="F152" s="8"/>
      <c r="H152" s="8"/>
      <c r="I152" s="8" t="s">
        <v>6258</v>
      </c>
      <c r="J152" s="8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s="8" t="s">
        <v>159</v>
      </c>
      <c r="E153" s="8" t="s">
        <v>6329</v>
      </c>
      <c r="F153" s="8" t="s">
        <v>51</v>
      </c>
      <c r="H153" s="8"/>
      <c r="I153" s="8" t="s">
        <v>6506</v>
      </c>
      <c r="J153" s="8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s="8" t="s">
        <v>159</v>
      </c>
      <c r="E154" s="8" t="s">
        <v>86</v>
      </c>
      <c r="F154" s="8" t="s">
        <v>58</v>
      </c>
      <c r="H154" s="8" t="s">
        <v>6532</v>
      </c>
      <c r="I154" s="8" t="s">
        <v>6509</v>
      </c>
      <c r="J154" s="8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s="8" t="s">
        <v>4</v>
      </c>
      <c r="E155" s="8" t="s">
        <v>8</v>
      </c>
      <c r="F155" s="8"/>
      <c r="H155" s="8"/>
      <c r="I155" s="8" t="s">
        <v>6512</v>
      </c>
      <c r="J155" s="8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s="8" t="s">
        <v>2004</v>
      </c>
      <c r="E156" s="8" t="s">
        <v>8</v>
      </c>
      <c r="F156" s="8"/>
      <c r="H156" s="8"/>
      <c r="I156" s="8" t="s">
        <v>6638</v>
      </c>
      <c r="J156" s="8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s="8" t="s">
        <v>2004</v>
      </c>
      <c r="E157" s="8" t="s">
        <v>8</v>
      </c>
      <c r="F157" s="8"/>
      <c r="H157" s="8"/>
      <c r="I157" s="8" t="s">
        <v>6820</v>
      </c>
      <c r="J157" s="8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s="8" t="s">
        <v>158</v>
      </c>
      <c r="E158" s="8" t="s">
        <v>5480</v>
      </c>
      <c r="F158" s="8" t="s">
        <v>2944</v>
      </c>
      <c r="H158" s="8" t="s">
        <v>2954</v>
      </c>
      <c r="I158" s="8" t="s">
        <v>7106</v>
      </c>
      <c r="J158" s="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s="8" t="s">
        <v>158</v>
      </c>
      <c r="E159" s="8" t="s">
        <v>5480</v>
      </c>
      <c r="F159" s="8" t="s">
        <v>2944</v>
      </c>
      <c r="H159" s="8" t="s">
        <v>2936</v>
      </c>
      <c r="I159" s="8" t="s">
        <v>7109</v>
      </c>
      <c r="J159" s="8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s="8" t="s">
        <v>7171</v>
      </c>
      <c r="E160" s="8" t="s">
        <v>5480</v>
      </c>
      <c r="F160" s="8" t="s">
        <v>6872</v>
      </c>
      <c r="H160" s="8"/>
      <c r="I160" s="8" t="s">
        <v>7112</v>
      </c>
      <c r="J160" s="8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s="8" t="s">
        <v>158</v>
      </c>
      <c r="E161" s="8" t="s">
        <v>5480</v>
      </c>
      <c r="F161" s="8" t="s">
        <v>2962</v>
      </c>
      <c r="H161" s="8" t="s">
        <v>2954</v>
      </c>
      <c r="I161" s="8" t="s">
        <v>7115</v>
      </c>
      <c r="J161" s="8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s="8" t="s">
        <v>158</v>
      </c>
      <c r="E162" s="8" t="s">
        <v>5480</v>
      </c>
      <c r="F162" s="8" t="s">
        <v>2962</v>
      </c>
      <c r="H162" s="8" t="s">
        <v>2936</v>
      </c>
      <c r="I162" s="8" t="s">
        <v>7118</v>
      </c>
      <c r="J162" s="8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s="8" t="s">
        <v>4</v>
      </c>
      <c r="E163" s="8" t="s">
        <v>8</v>
      </c>
      <c r="F163" s="8"/>
      <c r="H163" s="8"/>
      <c r="I163" s="8" t="s">
        <v>7121</v>
      </c>
      <c r="J163" s="8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s="8" t="s">
        <v>2004</v>
      </c>
      <c r="E164" s="8" t="s">
        <v>8</v>
      </c>
      <c r="F164" s="8"/>
      <c r="H164" s="8"/>
      <c r="I164" s="8" t="s">
        <v>7124</v>
      </c>
      <c r="J164" s="8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s="8" t="s">
        <v>2004</v>
      </c>
      <c r="E165" s="8" t="s">
        <v>8</v>
      </c>
      <c r="F165" s="8"/>
      <c r="H165" s="8"/>
      <c r="I165" s="8" t="s">
        <v>7205</v>
      </c>
      <c r="J165" s="8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s="8" t="s">
        <v>2004</v>
      </c>
      <c r="E166" s="8" t="s">
        <v>8</v>
      </c>
      <c r="F166" s="8"/>
      <c r="H166" s="8"/>
      <c r="I166" s="8" t="s">
        <v>7305</v>
      </c>
      <c r="J166" s="8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s="8" t="s">
        <v>2004</v>
      </c>
      <c r="E167" s="8" t="s">
        <v>8</v>
      </c>
      <c r="F167" s="8"/>
      <c r="H167" s="8"/>
      <c r="I167" s="8" t="s">
        <v>7308</v>
      </c>
      <c r="J167" s="8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s="8" t="s">
        <v>290</v>
      </c>
      <c r="E168" s="8" t="s">
        <v>86</v>
      </c>
      <c r="F168" s="8" t="s">
        <v>60</v>
      </c>
      <c r="H168" s="8" t="s">
        <v>5104</v>
      </c>
      <c r="I168" s="8" t="s">
        <v>7538</v>
      </c>
      <c r="J168" s="8" t="s">
        <v>2986</v>
      </c>
      <c r="K168" t="s">
        <v>7539</v>
      </c>
      <c r="L168" t="s">
        <v>7540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s="8" t="s">
        <v>290</v>
      </c>
      <c r="E169" s="8" t="s">
        <v>86</v>
      </c>
      <c r="F169" s="8" t="s">
        <v>60</v>
      </c>
      <c r="H169" s="8" t="s">
        <v>5104</v>
      </c>
      <c r="I169" s="8" t="s">
        <v>7541</v>
      </c>
      <c r="J169" s="8" t="s">
        <v>2986</v>
      </c>
      <c r="K169" t="s">
        <v>7542</v>
      </c>
      <c r="L169" t="s">
        <v>7543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s="8" t="s">
        <v>290</v>
      </c>
      <c r="E170" s="8" t="s">
        <v>86</v>
      </c>
      <c r="F170" s="8" t="s">
        <v>60</v>
      </c>
      <c r="H170" s="8" t="s">
        <v>5104</v>
      </c>
      <c r="I170" s="8" t="s">
        <v>7544</v>
      </c>
      <c r="J170" s="8" t="s">
        <v>2986</v>
      </c>
      <c r="K170" t="s">
        <v>7545</v>
      </c>
      <c r="L170" t="s">
        <v>7546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s="8" t="s">
        <v>4</v>
      </c>
      <c r="E171" s="8" t="s">
        <v>8</v>
      </c>
      <c r="F171" s="8"/>
      <c r="H171" s="8"/>
      <c r="I171" s="8" t="s">
        <v>7547</v>
      </c>
      <c r="J171" s="8" t="s">
        <v>2986</v>
      </c>
      <c r="K171" t="s">
        <v>7548</v>
      </c>
      <c r="L171" t="s">
        <v>7549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s="8" t="s">
        <v>4</v>
      </c>
      <c r="E172" s="8" t="s">
        <v>86</v>
      </c>
      <c r="F172" s="8" t="s">
        <v>7713</v>
      </c>
      <c r="H172" s="8"/>
      <c r="I172" s="8" t="s">
        <v>7550</v>
      </c>
      <c r="J172" s="8" t="s">
        <v>2986</v>
      </c>
      <c r="K172" t="s">
        <v>7551</v>
      </c>
      <c r="L172" t="s">
        <v>7552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s="8" t="s">
        <v>4</v>
      </c>
      <c r="E173" s="8" t="s">
        <v>86</v>
      </c>
      <c r="F173" s="8" t="s">
        <v>7713</v>
      </c>
      <c r="H173" s="8" t="s">
        <v>2936</v>
      </c>
      <c r="I173" s="8" t="s">
        <v>7553</v>
      </c>
      <c r="J173" s="8" t="s">
        <v>2986</v>
      </c>
      <c r="K173" t="s">
        <v>7554</v>
      </c>
      <c r="L173" t="s">
        <v>7555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0.52581018518518519</v>
      </c>
      <c r="D174" s="8" t="s">
        <v>4</v>
      </c>
      <c r="E174" s="8" t="s">
        <v>86</v>
      </c>
      <c r="F174" s="8" t="s">
        <v>7713</v>
      </c>
      <c r="H174" s="8"/>
      <c r="I174" s="8" t="s">
        <v>7556</v>
      </c>
      <c r="J174" s="8" t="s">
        <v>2986</v>
      </c>
      <c r="K174" t="s">
        <v>7557</v>
      </c>
      <c r="L174" t="s">
        <v>7558</v>
      </c>
      <c r="M174" s="3" t="str">
        <f>HYPERLINK(склад2въезд1319202122237[[#This Row],[RelativePath]])</f>
        <v>11 С ангара на базу\E33149364_4_20251225T123710Z.jpg</v>
      </c>
    </row>
    <row r="175" spans="1:13" x14ac:dyDescent="0.25">
      <c r="A175" s="2" t="s">
        <v>16</v>
      </c>
      <c r="B175" s="4">
        <v>46016</v>
      </c>
      <c r="C175" s="5">
        <v>0.54217592592592589</v>
      </c>
      <c r="D175" s="8" t="s">
        <v>4</v>
      </c>
      <c r="E175" s="8" t="s">
        <v>86</v>
      </c>
      <c r="F175" s="8" t="s">
        <v>7714</v>
      </c>
      <c r="H175" s="8"/>
      <c r="I175" s="8" t="s">
        <v>7559</v>
      </c>
      <c r="J175" s="8" t="s">
        <v>2986</v>
      </c>
      <c r="K175" t="s">
        <v>7560</v>
      </c>
      <c r="L175" t="s">
        <v>7561</v>
      </c>
      <c r="M175" s="3" t="str">
        <f>HYPERLINK(склад2въезд1319202122237[[#This Row],[RelativePath]])</f>
        <v>11 С ангара на базу\E33149364_4_20251225T130044Z.jpg</v>
      </c>
    </row>
    <row r="176" spans="1:13" x14ac:dyDescent="0.25">
      <c r="A176" s="2" t="s">
        <v>16</v>
      </c>
      <c r="B176" s="4">
        <v>46016</v>
      </c>
      <c r="C176" s="5">
        <v>0.61910879629629634</v>
      </c>
      <c r="D176" s="8" t="s">
        <v>4</v>
      </c>
      <c r="E176" s="8" t="s">
        <v>4193</v>
      </c>
      <c r="F176" s="8" t="s">
        <v>4240</v>
      </c>
      <c r="H176" s="8"/>
      <c r="I176" s="8" t="s">
        <v>7562</v>
      </c>
      <c r="J176" s="8" t="s">
        <v>2986</v>
      </c>
      <c r="K176" t="s">
        <v>7563</v>
      </c>
      <c r="L176" t="s">
        <v>7564</v>
      </c>
      <c r="M176" s="3" t="str">
        <f>HYPERLINK(склад2въезд1319202122237[[#This Row],[RelativePath]])</f>
        <v>11 С ангара на базу\E33149364_4_20251225T145131Z.jpg</v>
      </c>
    </row>
    <row r="177" spans="1:13" x14ac:dyDescent="0.25">
      <c r="A177" s="2" t="s">
        <v>16</v>
      </c>
      <c r="B177" s="4">
        <v>46016</v>
      </c>
      <c r="C177" s="5">
        <v>0.62233796296296295</v>
      </c>
      <c r="D177" s="8" t="s">
        <v>650</v>
      </c>
      <c r="E177" s="8" t="s">
        <v>4193</v>
      </c>
      <c r="F177" s="8" t="s">
        <v>4240</v>
      </c>
      <c r="H177" s="8"/>
      <c r="I177" s="8" t="s">
        <v>7565</v>
      </c>
      <c r="J177" s="8" t="s">
        <v>2986</v>
      </c>
      <c r="K177" t="s">
        <v>7566</v>
      </c>
      <c r="L177" t="s">
        <v>7567</v>
      </c>
      <c r="M177" s="3" t="str">
        <f>HYPERLINK(склад2въезд1319202122237[[#This Row],[RelativePath]])</f>
        <v>11 С ангара на базу\E33149364_4_20251225T145610Z.jpg</v>
      </c>
    </row>
    <row r="178" spans="1:13" x14ac:dyDescent="0.25">
      <c r="A178" s="2" t="s">
        <v>17</v>
      </c>
      <c r="B178" s="4">
        <v>46017</v>
      </c>
      <c r="C178" s="5">
        <v>0.40554398148148146</v>
      </c>
      <c r="D178" s="8" t="s">
        <v>289</v>
      </c>
      <c r="E178" s="8" t="s">
        <v>86</v>
      </c>
      <c r="F178" s="8" t="s">
        <v>7719</v>
      </c>
      <c r="H178" s="8"/>
      <c r="I178" s="8" t="s">
        <v>7747</v>
      </c>
      <c r="J178" s="8" t="s">
        <v>2986</v>
      </c>
      <c r="K178" t="s">
        <v>7748</v>
      </c>
      <c r="L178" t="s">
        <v>7749</v>
      </c>
      <c r="M178" s="3" t="str">
        <f>HYPERLINK(склад2въезд1319202122237[[#This Row],[RelativePath]])</f>
        <v>11 С ангара на базу\E33149364_4_20251226T094359Z.jpg</v>
      </c>
    </row>
    <row r="179" spans="1:13" x14ac:dyDescent="0.25">
      <c r="A179" s="2" t="s">
        <v>17</v>
      </c>
      <c r="B179" s="4">
        <v>46017</v>
      </c>
      <c r="C179" s="5">
        <v>0.41116898148148145</v>
      </c>
      <c r="D179" s="8" t="s">
        <v>158</v>
      </c>
      <c r="E179" s="8" t="s">
        <v>86</v>
      </c>
      <c r="F179" s="8" t="s">
        <v>7714</v>
      </c>
      <c r="H179" s="8"/>
      <c r="I179" s="8" t="s">
        <v>7750</v>
      </c>
      <c r="J179" s="8" t="s">
        <v>2986</v>
      </c>
      <c r="K179" t="s">
        <v>7751</v>
      </c>
      <c r="L179" t="s">
        <v>7752</v>
      </c>
      <c r="M179" s="3" t="str">
        <f>HYPERLINK(склад2въезд1319202122237[[#This Row],[RelativePath]])</f>
        <v>11 С ангара на базу\E33149364_4_20251226T095205Z.jpg</v>
      </c>
    </row>
    <row r="180" spans="1:13" x14ac:dyDescent="0.25">
      <c r="A180" s="2" t="s">
        <v>17</v>
      </c>
      <c r="B180" s="4">
        <v>46017</v>
      </c>
      <c r="C180" s="5">
        <v>0.41968749999999999</v>
      </c>
      <c r="D180" s="8" t="s">
        <v>1606</v>
      </c>
      <c r="E180" s="8" t="s">
        <v>4193</v>
      </c>
      <c r="F180" s="8" t="s">
        <v>5076</v>
      </c>
      <c r="H180" s="8"/>
      <c r="I180" s="8" t="s">
        <v>7753</v>
      </c>
      <c r="J180" s="8" t="s">
        <v>2986</v>
      </c>
      <c r="K180" t="s">
        <v>7754</v>
      </c>
      <c r="L180" t="s">
        <v>7755</v>
      </c>
      <c r="M180" s="3" t="str">
        <f>HYPERLINK(склад2въезд1319202122237[[#This Row],[RelativePath]])</f>
        <v>11 С ангара на базу\E33149364_4_20251226T100421Z.jpg</v>
      </c>
    </row>
    <row r="181" spans="1:13" x14ac:dyDescent="0.25">
      <c r="A181" s="2" t="s">
        <v>17</v>
      </c>
      <c r="B181" s="4">
        <v>46017</v>
      </c>
      <c r="C181" s="5">
        <v>0.42020833333333335</v>
      </c>
      <c r="D181" s="8" t="s">
        <v>1606</v>
      </c>
      <c r="E181" s="8" t="s">
        <v>4193</v>
      </c>
      <c r="F181" s="8" t="s">
        <v>5076</v>
      </c>
      <c r="H181" s="8" t="s">
        <v>2936</v>
      </c>
      <c r="I181" s="8" t="s">
        <v>7756</v>
      </c>
      <c r="J181" s="8" t="s">
        <v>2986</v>
      </c>
      <c r="K181" t="s">
        <v>7757</v>
      </c>
      <c r="L181" t="s">
        <v>7758</v>
      </c>
      <c r="M181" s="3" t="str">
        <f>HYPERLINK(склад2въезд1319202122237[[#This Row],[RelativePath]])</f>
        <v>11 С ангара на базу\E33149364_4_20251226T100506Z.jpg</v>
      </c>
    </row>
    <row r="182" spans="1:13" x14ac:dyDescent="0.25">
      <c r="A182" s="2" t="s">
        <v>17</v>
      </c>
      <c r="B182" s="4">
        <v>46017</v>
      </c>
      <c r="C182" s="5">
        <v>0.43497685185185186</v>
      </c>
      <c r="D182" s="8" t="s">
        <v>4223</v>
      </c>
      <c r="E182" s="8" t="s">
        <v>86</v>
      </c>
      <c r="F182" s="8" t="s">
        <v>528</v>
      </c>
      <c r="H182" s="8"/>
      <c r="I182" s="8" t="s">
        <v>7759</v>
      </c>
      <c r="J182" s="8" t="s">
        <v>2986</v>
      </c>
      <c r="K182" t="s">
        <v>7760</v>
      </c>
      <c r="L182" t="s">
        <v>7761</v>
      </c>
      <c r="M182" s="3" t="str">
        <f>HYPERLINK(склад2въезд1319202122237[[#This Row],[RelativePath]])</f>
        <v>11 С ангара на базу\E33149364_4_20251226T102622Z.jpg</v>
      </c>
    </row>
    <row r="183" spans="1:13" x14ac:dyDescent="0.25">
      <c r="A183" s="2" t="s">
        <v>17</v>
      </c>
      <c r="B183" s="4">
        <v>46017</v>
      </c>
      <c r="C183" s="5">
        <v>0.43549768518518517</v>
      </c>
      <c r="D183" s="8" t="s">
        <v>4223</v>
      </c>
      <c r="E183" s="8" t="s">
        <v>86</v>
      </c>
      <c r="F183" s="8" t="s">
        <v>528</v>
      </c>
      <c r="H183" s="8" t="s">
        <v>2936</v>
      </c>
      <c r="I183" s="8" t="s">
        <v>7762</v>
      </c>
      <c r="J183" s="8" t="s">
        <v>2986</v>
      </c>
      <c r="K183" t="s">
        <v>7763</v>
      </c>
      <c r="L183" t="s">
        <v>7764</v>
      </c>
      <c r="M183" s="3" t="str">
        <f>HYPERLINK(склад2въезд1319202122237[[#This Row],[RelativePath]])</f>
        <v>11 С ангара на базу\E33149364_4_20251226T102707Z.jpg</v>
      </c>
    </row>
    <row r="184" spans="1:13" x14ac:dyDescent="0.25">
      <c r="A184" s="2" t="s">
        <v>17</v>
      </c>
      <c r="B184" s="4">
        <v>46017</v>
      </c>
      <c r="C184" s="5">
        <v>0.44907407407407407</v>
      </c>
      <c r="D184" s="8" t="s">
        <v>7871</v>
      </c>
      <c r="E184" s="8" t="s">
        <v>531</v>
      </c>
      <c r="F184" s="8"/>
      <c r="H184" s="8"/>
      <c r="I184" s="8" t="s">
        <v>7765</v>
      </c>
      <c r="J184" s="8" t="s">
        <v>2986</v>
      </c>
      <c r="K184" t="s">
        <v>7766</v>
      </c>
      <c r="L184" t="s">
        <v>7767</v>
      </c>
      <c r="M184" s="3" t="str">
        <f>HYPERLINK(склад2въезд1319202122237[[#This Row],[RelativePath]])</f>
        <v>11 С ангара на базу\E33149364_4_20251226T104640Z.jpg</v>
      </c>
    </row>
    <row r="185" spans="1:13" x14ac:dyDescent="0.25">
      <c r="A185" s="2" t="s">
        <v>17</v>
      </c>
      <c r="B185" s="4">
        <v>46017</v>
      </c>
      <c r="C185" s="5">
        <v>0.49148148148148146</v>
      </c>
      <c r="D185" s="8" t="s">
        <v>650</v>
      </c>
      <c r="E185" s="8" t="s">
        <v>4193</v>
      </c>
      <c r="F185" s="8" t="s">
        <v>5076</v>
      </c>
      <c r="H185" s="8"/>
      <c r="I185" s="8" t="s">
        <v>7768</v>
      </c>
      <c r="J185" s="8" t="s">
        <v>2986</v>
      </c>
      <c r="K185" t="s">
        <v>7769</v>
      </c>
      <c r="L185" t="s">
        <v>7770</v>
      </c>
      <c r="M185" s="3" t="str">
        <f>HYPERLINK(склад2въезд1319202122237[[#This Row],[RelativePath]])</f>
        <v>11 С ангара на базу\E33149364_4_20251226T114744Z.jpg</v>
      </c>
    </row>
    <row r="186" spans="1:13" x14ac:dyDescent="0.25">
      <c r="A186" s="2" t="s">
        <v>17</v>
      </c>
      <c r="B186" s="4">
        <v>46017</v>
      </c>
      <c r="C186" s="5">
        <v>0.50893518518518521</v>
      </c>
      <c r="D186" s="8" t="s">
        <v>4223</v>
      </c>
      <c r="E186" s="8" t="s">
        <v>86</v>
      </c>
      <c r="F186" s="8" t="s">
        <v>528</v>
      </c>
      <c r="H186" s="8"/>
      <c r="I186" s="8" t="s">
        <v>7771</v>
      </c>
      <c r="J186" s="8" t="s">
        <v>2986</v>
      </c>
      <c r="K186" t="s">
        <v>7772</v>
      </c>
      <c r="L186" t="s">
        <v>7773</v>
      </c>
      <c r="M186" s="3" t="str">
        <f>HYPERLINK(склад2въезд1319202122237[[#This Row],[RelativePath]])</f>
        <v>11 С ангара на базу\E33149364_4_20251226T121252Z.jpg</v>
      </c>
    </row>
    <row r="187" spans="1:13" x14ac:dyDescent="0.25">
      <c r="A187" s="2" t="s">
        <v>17</v>
      </c>
      <c r="B187" s="4">
        <v>46017</v>
      </c>
      <c r="C187" s="5">
        <v>0.61464120370370368</v>
      </c>
      <c r="D187" s="8" t="s">
        <v>4</v>
      </c>
      <c r="E187" s="8" t="s">
        <v>8</v>
      </c>
      <c r="F187" s="8"/>
      <c r="H187" s="8"/>
      <c r="I187" s="8" t="s">
        <v>7774</v>
      </c>
      <c r="J187" s="8" t="s">
        <v>2986</v>
      </c>
      <c r="K187" t="s">
        <v>7775</v>
      </c>
      <c r="L187" t="s">
        <v>7776</v>
      </c>
      <c r="M187" s="3" t="str">
        <f>HYPERLINK(склад2въезд1319202122237[[#This Row],[RelativePath]])</f>
        <v>11 С ангара на базу\E33149364_4_20251226T144505Z.jpg</v>
      </c>
    </row>
    <row r="188" spans="1:13" x14ac:dyDescent="0.25">
      <c r="A188" s="2" t="s">
        <v>18</v>
      </c>
      <c r="B188" s="4">
        <v>46018</v>
      </c>
      <c r="C188" s="5">
        <v>0.6081481481481481</v>
      </c>
      <c r="D188" s="8" t="s">
        <v>8042</v>
      </c>
      <c r="E188" s="8" t="s">
        <v>6656</v>
      </c>
      <c r="F188" s="8" t="s">
        <v>5076</v>
      </c>
      <c r="H188" s="8"/>
      <c r="I188" s="8" t="s">
        <v>7962</v>
      </c>
      <c r="J188" s="8" t="s">
        <v>2986</v>
      </c>
      <c r="K188" t="s">
        <v>7963</v>
      </c>
      <c r="L188" t="s">
        <v>7964</v>
      </c>
      <c r="M188" s="3" t="str">
        <f>HYPERLINK(склад2въезд1319202122237[[#This Row],[RelativePath]])</f>
        <v>11 С ангара на базу\E33149364_4_20251227T143544Z.jpg</v>
      </c>
    </row>
    <row r="189" spans="1:13" x14ac:dyDescent="0.25">
      <c r="A189" s="2" t="s">
        <v>22</v>
      </c>
      <c r="B189" s="4">
        <v>46019</v>
      </c>
      <c r="C189" s="5">
        <v>0.66373842592592591</v>
      </c>
      <c r="D189" s="8" t="s">
        <v>4</v>
      </c>
      <c r="E189" s="8" t="s">
        <v>8045</v>
      </c>
      <c r="F189" s="8"/>
      <c r="H189" s="8"/>
      <c r="I189" s="8" t="s">
        <v>7965</v>
      </c>
      <c r="J189" s="8" t="s">
        <v>2986</v>
      </c>
      <c r="K189" t="s">
        <v>7966</v>
      </c>
      <c r="L189" t="s">
        <v>7967</v>
      </c>
      <c r="M189" s="3" t="str">
        <f>HYPERLINK(склад2въезд1319202122237[[#This Row],[RelativePath]])</f>
        <v>11 С ангара на базу\E33149364_4_20251228T155547Z.jpg</v>
      </c>
    </row>
    <row r="190" spans="1:13" x14ac:dyDescent="0.25">
      <c r="A190" s="2" t="s">
        <v>22</v>
      </c>
      <c r="B190" s="4">
        <v>46019</v>
      </c>
      <c r="C190" s="5">
        <v>0.72548611111111116</v>
      </c>
      <c r="D190" s="8" t="s">
        <v>4</v>
      </c>
      <c r="E190" s="8" t="s">
        <v>8</v>
      </c>
      <c r="F190" s="8"/>
      <c r="H190" s="8"/>
      <c r="I190" s="8" t="s">
        <v>7968</v>
      </c>
      <c r="J190" s="8" t="s">
        <v>2986</v>
      </c>
      <c r="K190" t="s">
        <v>7969</v>
      </c>
      <c r="L190" t="s">
        <v>7970</v>
      </c>
      <c r="M190" s="3" t="str">
        <f>HYPERLINK(склад2въезд1319202122237[[#This Row],[RelativePath]])</f>
        <v>11 С ангара на базу\E33149364_4_20251228T172442Z.jpg</v>
      </c>
    </row>
    <row r="191" spans="1:13" x14ac:dyDescent="0.25">
      <c r="A191" s="2" t="s">
        <v>13</v>
      </c>
      <c r="B191" s="4">
        <v>46020</v>
      </c>
      <c r="C191" s="5">
        <v>0.50361111111111112</v>
      </c>
      <c r="D191" s="8" t="s">
        <v>290</v>
      </c>
      <c r="E191" s="8" t="s">
        <v>70</v>
      </c>
      <c r="F191" s="8" t="s">
        <v>58</v>
      </c>
      <c r="H191" s="8" t="s">
        <v>8359</v>
      </c>
      <c r="I191" s="8" t="s">
        <v>8159</v>
      </c>
      <c r="J191" s="8" t="s">
        <v>2986</v>
      </c>
      <c r="K191" t="s">
        <v>8160</v>
      </c>
      <c r="L191" t="s">
        <v>8161</v>
      </c>
      <c r="M191" s="3" t="str">
        <f>HYPERLINK(склад2въезд1319202122237[[#This Row],[RelativePath]])</f>
        <v>11 С ангара на базу\E33149364_4_20251229T120512Z.jpg</v>
      </c>
    </row>
    <row r="192" spans="1:13" x14ac:dyDescent="0.25">
      <c r="A192" s="2" t="s">
        <v>13</v>
      </c>
      <c r="B192" s="4">
        <v>46020</v>
      </c>
      <c r="C192" s="5">
        <v>0.50914351851851847</v>
      </c>
      <c r="D192" s="8" t="s">
        <v>290</v>
      </c>
      <c r="E192" s="8" t="s">
        <v>70</v>
      </c>
      <c r="F192" s="8" t="s">
        <v>58</v>
      </c>
      <c r="H192" s="8" t="s">
        <v>2936</v>
      </c>
      <c r="I192" s="8" t="s">
        <v>8162</v>
      </c>
      <c r="J192" s="8" t="s">
        <v>2986</v>
      </c>
      <c r="K192" t="s">
        <v>8163</v>
      </c>
      <c r="L192" t="s">
        <v>8164</v>
      </c>
      <c r="M192" s="3" t="str">
        <f>HYPERLINK(склад2въезд1319202122237[[#This Row],[RelativePath]])</f>
        <v>11 С ангара на базу\E33149364_4_20251229T121310Z.jpg</v>
      </c>
    </row>
    <row r="193" spans="1:13" x14ac:dyDescent="0.25">
      <c r="A193" s="2" t="s">
        <v>13</v>
      </c>
      <c r="B193" s="4">
        <v>46020</v>
      </c>
      <c r="C193" s="5">
        <v>0.50972222222222219</v>
      </c>
      <c r="D193" s="8" t="s">
        <v>290</v>
      </c>
      <c r="E193" s="8" t="s">
        <v>70</v>
      </c>
      <c r="F193" s="8" t="s">
        <v>58</v>
      </c>
      <c r="H193" s="8" t="s">
        <v>2936</v>
      </c>
      <c r="I193" s="8" t="s">
        <v>8165</v>
      </c>
      <c r="J193" s="8" t="s">
        <v>2986</v>
      </c>
      <c r="K193" t="s">
        <v>8166</v>
      </c>
      <c r="L193" t="s">
        <v>8167</v>
      </c>
      <c r="M193" s="3" t="str">
        <f>HYPERLINK(склад2въезд1319202122237[[#This Row],[RelativePath]])</f>
        <v>11 С ангара на базу\E33149364_4_20251229T121400Z.jpg</v>
      </c>
    </row>
    <row r="194" spans="1:13" x14ac:dyDescent="0.25">
      <c r="A194" s="2" t="s">
        <v>13</v>
      </c>
      <c r="B194" s="4">
        <v>46020</v>
      </c>
      <c r="C194" s="5">
        <v>0.51461805555555551</v>
      </c>
      <c r="D194" s="8" t="s">
        <v>290</v>
      </c>
      <c r="E194" s="8" t="s">
        <v>70</v>
      </c>
      <c r="F194" s="8" t="s">
        <v>58</v>
      </c>
      <c r="H194" s="8" t="s">
        <v>2936</v>
      </c>
      <c r="I194" s="8" t="s">
        <v>8168</v>
      </c>
      <c r="J194" s="8" t="s">
        <v>2986</v>
      </c>
      <c r="K194" t="s">
        <v>8169</v>
      </c>
      <c r="L194" t="s">
        <v>8170</v>
      </c>
      <c r="M194" s="3" t="str">
        <f>HYPERLINK(склад2въезд1319202122237[[#This Row],[RelativePath]])</f>
        <v>11 С ангара на базу\E33149364_4_20251229T122103Z.jpg</v>
      </c>
    </row>
    <row r="195" spans="1:13" x14ac:dyDescent="0.25">
      <c r="A195" s="2" t="s">
        <v>13</v>
      </c>
      <c r="B195" s="4">
        <v>46020</v>
      </c>
      <c r="C195" s="5">
        <v>0.51518518518518519</v>
      </c>
      <c r="D195" s="8" t="s">
        <v>290</v>
      </c>
      <c r="E195" s="8" t="s">
        <v>70</v>
      </c>
      <c r="F195" s="8" t="s">
        <v>58</v>
      </c>
      <c r="H195" s="8" t="s">
        <v>2936</v>
      </c>
      <c r="I195" s="8" t="s">
        <v>8171</v>
      </c>
      <c r="J195" s="8" t="s">
        <v>2986</v>
      </c>
      <c r="K195" t="s">
        <v>8172</v>
      </c>
      <c r="L195" t="s">
        <v>8173</v>
      </c>
      <c r="M195" s="3" t="str">
        <f>HYPERLINK(склад2въезд1319202122237[[#This Row],[RelativePath]])</f>
        <v>11 С ангара на базу\E33149364_4_20251229T122152Z.jpg</v>
      </c>
    </row>
    <row r="196" spans="1:13" x14ac:dyDescent="0.25">
      <c r="A196" s="2" t="s">
        <v>13</v>
      </c>
      <c r="B196" s="4">
        <v>46020</v>
      </c>
      <c r="C196" s="5">
        <v>0.51549768518518524</v>
      </c>
      <c r="D196" s="8" t="s">
        <v>290</v>
      </c>
      <c r="E196" s="8" t="s">
        <v>70</v>
      </c>
      <c r="F196" s="8" t="s">
        <v>58</v>
      </c>
      <c r="H196" s="8" t="s">
        <v>2936</v>
      </c>
      <c r="I196" s="8" t="s">
        <v>8174</v>
      </c>
      <c r="J196" s="8" t="s">
        <v>2986</v>
      </c>
      <c r="K196" t="s">
        <v>8175</v>
      </c>
      <c r="L196" t="s">
        <v>8176</v>
      </c>
      <c r="M196" s="3" t="str">
        <f>HYPERLINK(склад2въезд1319202122237[[#This Row],[RelativePath]])</f>
        <v>11 С ангара на базу\E33149364_4_20251229T122219Z.jpg</v>
      </c>
    </row>
    <row r="197" spans="1:13" x14ac:dyDescent="0.25">
      <c r="A197" s="2" t="s">
        <v>13</v>
      </c>
      <c r="B197" s="4">
        <v>46020</v>
      </c>
      <c r="C197" s="5">
        <v>0.51731481481481478</v>
      </c>
      <c r="D197" s="8" t="s">
        <v>650</v>
      </c>
      <c r="E197" s="8" t="s">
        <v>70</v>
      </c>
      <c r="F197" s="8" t="s">
        <v>51</v>
      </c>
      <c r="H197" s="8"/>
      <c r="I197" s="8" t="s">
        <v>8177</v>
      </c>
      <c r="J197" s="8" t="s">
        <v>2986</v>
      </c>
      <c r="K197" t="s">
        <v>8178</v>
      </c>
      <c r="L197" t="s">
        <v>8179</v>
      </c>
      <c r="M197" s="3" t="str">
        <f>HYPERLINK(склад2въезд1319202122237[[#This Row],[RelativePath]])</f>
        <v>11 С ангара на базу\E33149364_4_20251229T122456Z.jpg</v>
      </c>
    </row>
    <row r="198" spans="1:13" x14ac:dyDescent="0.25">
      <c r="A198" s="2" t="s">
        <v>13</v>
      </c>
      <c r="B198" s="4">
        <v>46020</v>
      </c>
      <c r="C198" s="5">
        <v>0.64732638888888894</v>
      </c>
      <c r="D198" s="8" t="s">
        <v>650</v>
      </c>
      <c r="E198" s="8" t="s">
        <v>8360</v>
      </c>
      <c r="F198" s="8" t="s">
        <v>1621</v>
      </c>
      <c r="H198" s="8"/>
      <c r="I198" s="8" t="s">
        <v>8180</v>
      </c>
      <c r="J198" s="8" t="s">
        <v>2986</v>
      </c>
      <c r="K198" t="s">
        <v>8181</v>
      </c>
      <c r="L198" t="s">
        <v>8182</v>
      </c>
      <c r="M198" s="3" t="str">
        <f>HYPERLINK(склад2въезд1319202122237[[#This Row],[RelativePath]])</f>
        <v>11 С ангара на базу\E33149364_4_20251229T153209Z.jpg</v>
      </c>
    </row>
    <row r="199" spans="1:13" x14ac:dyDescent="0.25">
      <c r="A199" s="2" t="s">
        <v>14</v>
      </c>
      <c r="B199" s="4">
        <v>46021</v>
      </c>
      <c r="C199" s="5">
        <v>0.42348379629629629</v>
      </c>
      <c r="D199" s="8" t="s">
        <v>4</v>
      </c>
      <c r="E199" s="8" t="s">
        <v>8045</v>
      </c>
      <c r="F199" s="8"/>
      <c r="H199" s="8"/>
      <c r="I199" s="8" t="s">
        <v>8183</v>
      </c>
      <c r="J199" s="8" t="s">
        <v>2986</v>
      </c>
      <c r="K199" t="s">
        <v>8184</v>
      </c>
      <c r="L199" t="s">
        <v>8185</v>
      </c>
      <c r="M199" s="3" t="str">
        <f>HYPERLINK(склад2въезд1319202122237[[#This Row],[RelativePath]])</f>
        <v>11 С ангара на базу\E33149364_4_20251230T100949Z.jpg</v>
      </c>
    </row>
    <row r="200" spans="1:13" x14ac:dyDescent="0.25">
      <c r="A200" s="2" t="s">
        <v>14</v>
      </c>
      <c r="B200" s="4">
        <v>46021</v>
      </c>
      <c r="C200" s="5">
        <v>0.49765046296296295</v>
      </c>
      <c r="D200" s="8" t="s">
        <v>4</v>
      </c>
      <c r="E200" s="8" t="s">
        <v>8045</v>
      </c>
      <c r="F200" s="8"/>
      <c r="H200" s="8"/>
      <c r="I200" s="8" t="s">
        <v>8186</v>
      </c>
      <c r="J200" s="8" t="s">
        <v>2986</v>
      </c>
      <c r="K200" t="s">
        <v>8187</v>
      </c>
      <c r="L200" t="s">
        <v>8188</v>
      </c>
      <c r="M200" s="3" t="str">
        <f>HYPERLINK(склад2въезд1319202122237[[#This Row],[RelativePath]])</f>
        <v>11 С ангара на базу\E33149364_4_20251230T115637Z.jpg</v>
      </c>
    </row>
    <row r="201" spans="1:13" x14ac:dyDescent="0.25">
      <c r="A201" s="2" t="s">
        <v>15</v>
      </c>
      <c r="B201" s="4">
        <v>46022</v>
      </c>
      <c r="C201" s="5">
        <v>0.69421296296296298</v>
      </c>
      <c r="D201" s="8" t="s">
        <v>2004</v>
      </c>
      <c r="E201" s="8" t="s">
        <v>8</v>
      </c>
      <c r="F201" s="8"/>
      <c r="H201" s="8"/>
      <c r="I201" s="8" t="s">
        <v>8189</v>
      </c>
      <c r="J201" s="8" t="s">
        <v>2986</v>
      </c>
      <c r="K201" t="s">
        <v>8190</v>
      </c>
      <c r="L201" t="s">
        <v>8191</v>
      </c>
      <c r="M201" s="3" t="str">
        <f>HYPERLINK(склад2въезд1319202122237[[#This Row],[RelativePath]])</f>
        <v>11 С ангара на базу\E33149364_4_20251231T163940Z.jpg</v>
      </c>
    </row>
    <row r="202" spans="1:13" x14ac:dyDescent="0.25">
      <c r="A202" s="2" t="s">
        <v>16</v>
      </c>
      <c r="B202" s="4">
        <v>46023</v>
      </c>
      <c r="C202" s="5">
        <v>0.44069444444444444</v>
      </c>
      <c r="D202" s="8" t="s">
        <v>4</v>
      </c>
      <c r="E202" s="8" t="s">
        <v>8045</v>
      </c>
      <c r="F202" s="8"/>
      <c r="H202" s="8"/>
      <c r="I202" s="8" t="s">
        <v>8192</v>
      </c>
      <c r="J202" s="8" t="s">
        <v>2986</v>
      </c>
      <c r="K202" t="s">
        <v>8193</v>
      </c>
      <c r="L202" t="s">
        <v>8194</v>
      </c>
      <c r="M202" s="3" t="str">
        <f>HYPERLINK(склад2въезд1319202122237[[#This Row],[RelativePath]])</f>
        <v>11 С ангара на базу\E33149364_4_20260101T103436Z.jpg</v>
      </c>
    </row>
    <row r="203" spans="1:13" x14ac:dyDescent="0.25">
      <c r="A203" s="2" t="s">
        <v>16</v>
      </c>
      <c r="B203" s="4">
        <v>46023</v>
      </c>
      <c r="C203" s="5">
        <v>0.67825231481481485</v>
      </c>
      <c r="D203" s="8" t="s">
        <v>4</v>
      </c>
      <c r="E203" s="8" t="s">
        <v>8045</v>
      </c>
      <c r="F203" s="8"/>
      <c r="H203" s="8"/>
      <c r="I203" s="8" t="s">
        <v>8195</v>
      </c>
      <c r="J203" s="8" t="s">
        <v>2986</v>
      </c>
      <c r="K203" t="s">
        <v>8196</v>
      </c>
      <c r="L203" t="s">
        <v>8197</v>
      </c>
      <c r="M203" s="3" t="str">
        <f>HYPERLINK(склад2въезд1319202122237[[#This Row],[RelativePath]])</f>
        <v>11 С ангара на базу\E33149364_4_20260101T161641Z.jpg</v>
      </c>
    </row>
    <row r="204" spans="1:13" x14ac:dyDescent="0.25">
      <c r="A204" s="2" t="s">
        <v>17</v>
      </c>
      <c r="B204" s="4">
        <v>46024</v>
      </c>
      <c r="C204" s="5">
        <v>0.63831018518518523</v>
      </c>
      <c r="D204" s="8" t="s">
        <v>2004</v>
      </c>
      <c r="E204" s="8" t="s">
        <v>8</v>
      </c>
      <c r="F204" s="8"/>
      <c r="H204" s="8"/>
      <c r="I204" s="8" t="s">
        <v>8447</v>
      </c>
      <c r="J204" s="8" t="s">
        <v>2986</v>
      </c>
      <c r="K204" t="s">
        <v>8448</v>
      </c>
      <c r="L204" t="s">
        <v>8449</v>
      </c>
      <c r="M204" s="3" t="str">
        <f>HYPERLINK(склад2въезд1319202122237[[#This Row],[RelativePath]])</f>
        <v>11 С ангара на базу\E33149364_4_20260102T151910Z.jpg</v>
      </c>
    </row>
    <row r="205" spans="1:13" x14ac:dyDescent="0.25">
      <c r="A205" s="2" t="s">
        <v>18</v>
      </c>
      <c r="B205" s="4">
        <v>46025</v>
      </c>
      <c r="C205" s="5">
        <v>0.67575231481481479</v>
      </c>
      <c r="D205" s="8" t="s">
        <v>2004</v>
      </c>
      <c r="E205" s="8" t="s">
        <v>8</v>
      </c>
      <c r="F205" s="8"/>
      <c r="H205" s="8"/>
      <c r="I205" s="8" t="s">
        <v>8450</v>
      </c>
      <c r="J205" s="8" t="s">
        <v>2986</v>
      </c>
      <c r="K205" t="s">
        <v>8451</v>
      </c>
      <c r="L205" t="s">
        <v>8452</v>
      </c>
      <c r="M205" s="3" t="str">
        <f>HYPERLINK(склад2въезд1319202122237[[#This Row],[RelativePath]])</f>
        <v>11 С ангара на базу\E33149364_4_20260103T161305Z.jpg</v>
      </c>
    </row>
    <row r="206" spans="1:13" x14ac:dyDescent="0.25">
      <c r="A206" s="2" t="s">
        <v>22</v>
      </c>
      <c r="B206" s="4">
        <v>46026</v>
      </c>
      <c r="C206" s="5">
        <v>0.6702893518518519</v>
      </c>
      <c r="D206" s="8" t="s">
        <v>2004</v>
      </c>
      <c r="E206" s="8" t="s">
        <v>8</v>
      </c>
      <c r="F206" s="8"/>
      <c r="H206" s="8"/>
      <c r="I206" s="8" t="s">
        <v>8453</v>
      </c>
      <c r="J206" s="8" t="s">
        <v>2986</v>
      </c>
      <c r="K206" t="s">
        <v>8454</v>
      </c>
      <c r="L206" t="s">
        <v>8455</v>
      </c>
      <c r="M206" s="3" t="str">
        <f>HYPERLINK(склад2въезд1319202122237[[#This Row],[RelativePath]])</f>
        <v>11 С ангара на базу\E33149364_4_20260104T160513Z.jpg</v>
      </c>
    </row>
    <row r="207" spans="1:13" x14ac:dyDescent="0.25">
      <c r="A207" s="2" t="s">
        <v>13</v>
      </c>
      <c r="B207" s="4">
        <v>46027</v>
      </c>
      <c r="C207" s="5">
        <v>0.4211226851851852</v>
      </c>
      <c r="D207" s="8" t="s">
        <v>4</v>
      </c>
      <c r="E207" s="8" t="s">
        <v>8045</v>
      </c>
      <c r="F207" s="8"/>
      <c r="H207" s="8"/>
      <c r="I207" s="8" t="s">
        <v>8724</v>
      </c>
      <c r="J207" s="8" t="s">
        <v>2986</v>
      </c>
      <c r="K207" t="s">
        <v>8725</v>
      </c>
      <c r="L207" t="s">
        <v>8726</v>
      </c>
      <c r="M207" s="3" t="str">
        <f>HYPERLINK(склад2въезд1319202122237[[#This Row],[RelativePath]])</f>
        <v>11 С ангара на базу\E33149364_4_20260105T100625Z.jpg</v>
      </c>
    </row>
    <row r="208" spans="1:13" x14ac:dyDescent="0.25">
      <c r="A208" s="2" t="s">
        <v>13</v>
      </c>
      <c r="B208" s="4">
        <v>46027</v>
      </c>
      <c r="C208" s="5">
        <v>0.65682870370370372</v>
      </c>
      <c r="D208" s="8" t="s">
        <v>4</v>
      </c>
      <c r="E208" s="8" t="s">
        <v>8045</v>
      </c>
      <c r="F208" s="8"/>
      <c r="H208" s="8"/>
      <c r="I208" s="8" t="s">
        <v>8727</v>
      </c>
      <c r="J208" s="8" t="s">
        <v>2986</v>
      </c>
      <c r="K208" t="s">
        <v>8728</v>
      </c>
      <c r="L208" t="s">
        <v>8729</v>
      </c>
      <c r="M208" s="3" t="str">
        <f>HYPERLINK(склад2въезд1319202122237[[#This Row],[RelativePath]])</f>
        <v>11 С ангара на базу\E33149364_4_20260105T154550Z.jpg</v>
      </c>
    </row>
    <row r="209" spans="1:13" x14ac:dyDescent="0.25">
      <c r="A209" s="2" t="s">
        <v>14</v>
      </c>
      <c r="B209" s="4">
        <v>46028</v>
      </c>
      <c r="C209" s="5">
        <v>0.43730324074074073</v>
      </c>
      <c r="D209" s="8" t="s">
        <v>4</v>
      </c>
      <c r="E209" s="8" t="s">
        <v>8045</v>
      </c>
      <c r="F209" s="8"/>
      <c r="H209" s="8"/>
      <c r="I209" s="8" t="s">
        <v>8730</v>
      </c>
      <c r="J209" s="8" t="s">
        <v>2986</v>
      </c>
      <c r="K209" t="s">
        <v>8731</v>
      </c>
      <c r="L209" t="s">
        <v>8732</v>
      </c>
      <c r="M209" s="3" t="str">
        <f>HYPERLINK(склад2въезд1319202122237[[#This Row],[RelativePath]])</f>
        <v>11 С ангара на базу\E33149364_4_20260106T102943Z.jpg</v>
      </c>
    </row>
    <row r="210" spans="1:13" x14ac:dyDescent="0.25">
      <c r="A210" s="2" t="s">
        <v>14</v>
      </c>
      <c r="B210" s="4">
        <v>46028</v>
      </c>
      <c r="C210" s="5">
        <v>0.64818287037037037</v>
      </c>
      <c r="D210" s="8" t="s">
        <v>4</v>
      </c>
      <c r="E210" s="8" t="s">
        <v>8045</v>
      </c>
      <c r="F210" s="8"/>
      <c r="H210" s="8"/>
      <c r="I210" s="8" t="s">
        <v>8733</v>
      </c>
      <c r="J210" s="8" t="s">
        <v>2986</v>
      </c>
      <c r="K210" t="s">
        <v>8734</v>
      </c>
      <c r="L210" t="s">
        <v>8735</v>
      </c>
      <c r="M210" s="3" t="str">
        <f>HYPERLINK(склад2въезд1319202122237[[#This Row],[RelativePath]])</f>
        <v>11 С ангара на базу\E33149364_4_20260106T153323Z.jpg</v>
      </c>
    </row>
    <row r="211" spans="1:13" x14ac:dyDescent="0.25">
      <c r="A211" s="2" t="s">
        <v>15</v>
      </c>
      <c r="B211" s="4">
        <v>46029</v>
      </c>
      <c r="C211" s="5">
        <v>0.43583333333333335</v>
      </c>
      <c r="D211" s="8" t="s">
        <v>4</v>
      </c>
      <c r="E211" s="8" t="s">
        <v>8045</v>
      </c>
      <c r="F211" s="8"/>
      <c r="H211" s="8"/>
      <c r="I211" s="8" t="s">
        <v>8736</v>
      </c>
      <c r="J211" s="8" t="s">
        <v>2986</v>
      </c>
      <c r="K211" t="s">
        <v>8737</v>
      </c>
      <c r="L211" t="s">
        <v>8738</v>
      </c>
      <c r="M211" s="3" t="str">
        <f>HYPERLINK(склад2въезд1319202122237[[#This Row],[RelativePath]])</f>
        <v>11 С ангара на базу\E33149364_4_20260107T102736Z.jpg</v>
      </c>
    </row>
    <row r="212" spans="1:13" x14ac:dyDescent="0.25">
      <c r="A212" s="2" t="s">
        <v>15</v>
      </c>
      <c r="B212" s="4">
        <v>46029</v>
      </c>
      <c r="C212" s="5">
        <v>0.65261574074074069</v>
      </c>
      <c r="D212" s="8" t="s">
        <v>4</v>
      </c>
      <c r="E212" s="8" t="s">
        <v>8045</v>
      </c>
      <c r="F212" s="8"/>
      <c r="H212" s="8"/>
      <c r="I212" s="8" t="s">
        <v>8739</v>
      </c>
      <c r="J212" s="8" t="s">
        <v>2986</v>
      </c>
      <c r="K212" t="s">
        <v>8740</v>
      </c>
      <c r="L212" t="s">
        <v>8741</v>
      </c>
      <c r="M212" s="3" t="str">
        <f>HYPERLINK(склад2въезд1319202122237[[#This Row],[RelativePath]])</f>
        <v>11 С ангара на базу\E33149364_4_20260107T153946Z.jpg</v>
      </c>
    </row>
    <row r="213" spans="1:13" x14ac:dyDescent="0.25">
      <c r="A213" s="2" t="s">
        <v>16</v>
      </c>
      <c r="B213" s="4">
        <v>46030</v>
      </c>
      <c r="C213" s="5">
        <v>0.4849074074074074</v>
      </c>
      <c r="D213" s="8" t="s">
        <v>4</v>
      </c>
      <c r="E213" s="8" t="s">
        <v>8045</v>
      </c>
      <c r="F213" s="8"/>
      <c r="H213" s="8"/>
      <c r="I213" s="8" t="s">
        <v>8742</v>
      </c>
      <c r="J213" s="8" t="s">
        <v>2986</v>
      </c>
      <c r="K213" t="s">
        <v>8743</v>
      </c>
      <c r="L213" t="s">
        <v>8744</v>
      </c>
      <c r="M213" s="3" t="str">
        <f>HYPERLINK(склад2въезд1319202122237[[#This Row],[RelativePath]])</f>
        <v>11 С ангара на базу\E33149364_4_20260108T113816Z.jpg</v>
      </c>
    </row>
    <row r="214" spans="1:13" x14ac:dyDescent="0.25">
      <c r="A214" s="2" t="s">
        <v>16</v>
      </c>
      <c r="B214" s="4">
        <v>46030</v>
      </c>
      <c r="C214" s="5">
        <v>0.73052083333333329</v>
      </c>
      <c r="D214" s="8" t="s">
        <v>2004</v>
      </c>
      <c r="E214" s="8" t="s">
        <v>8</v>
      </c>
      <c r="F214" s="8"/>
      <c r="H214" s="8"/>
      <c r="I214" s="8" t="s">
        <v>8745</v>
      </c>
      <c r="J214" s="8" t="s">
        <v>2986</v>
      </c>
      <c r="K214" t="s">
        <v>8746</v>
      </c>
      <c r="L214" t="s">
        <v>8747</v>
      </c>
      <c r="M214" s="3" t="str">
        <f>HYPERLINK(склад2въезд1319202122237[[#This Row],[RelativePath]])</f>
        <v>11 С ангара на базу\E33149364_4_20260108T173157Z.jpg</v>
      </c>
    </row>
    <row r="215" spans="1:13" x14ac:dyDescent="0.25">
      <c r="A215" s="2" t="s">
        <v>17</v>
      </c>
      <c r="B215" s="4">
        <v>46031</v>
      </c>
      <c r="C215" s="5">
        <v>0.53684027777777776</v>
      </c>
      <c r="D215" s="8" t="s">
        <v>4</v>
      </c>
      <c r="E215" s="8" t="s">
        <v>8045</v>
      </c>
      <c r="F215" s="8"/>
      <c r="H215" s="8"/>
      <c r="I215" s="8" t="s">
        <v>8748</v>
      </c>
      <c r="J215" s="8" t="s">
        <v>2986</v>
      </c>
      <c r="K215" t="s">
        <v>8749</v>
      </c>
      <c r="L215" t="s">
        <v>8750</v>
      </c>
      <c r="M215" s="3" t="str">
        <f>HYPERLINK(склад2въезд1319202122237[[#This Row],[RelativePath]])</f>
        <v>11 С ангара на базу\E33149364_4_20260109T125303Z.jpg</v>
      </c>
    </row>
    <row r="216" spans="1:13" x14ac:dyDescent="0.25">
      <c r="A216" s="2" t="s">
        <v>18</v>
      </c>
      <c r="B216" s="4">
        <v>46032</v>
      </c>
      <c r="C216" s="5">
        <v>0.5581828703703704</v>
      </c>
      <c r="D216" s="8" t="s">
        <v>4</v>
      </c>
      <c r="E216" s="8" t="s">
        <v>8827</v>
      </c>
      <c r="F216" s="8"/>
      <c r="H216" s="8"/>
      <c r="I216" s="8" t="s">
        <v>8751</v>
      </c>
      <c r="J216" s="8" t="s">
        <v>2986</v>
      </c>
      <c r="K216" t="s">
        <v>8752</v>
      </c>
      <c r="L216" t="s">
        <v>8753</v>
      </c>
      <c r="M216" s="3" t="str">
        <f>HYPERLINK(склад2въезд1319202122237[[#This Row],[RelativePath]])</f>
        <v>11 С ангара на базу\E33149364_4_20260110T132347Z.jpg</v>
      </c>
    </row>
    <row r="217" spans="1:13" x14ac:dyDescent="0.25">
      <c r="A217" s="2" t="s">
        <v>22</v>
      </c>
      <c r="B217" s="4">
        <v>46033</v>
      </c>
      <c r="C217" s="5">
        <v>0.66547453703703707</v>
      </c>
      <c r="D217" s="8" t="s">
        <v>2004</v>
      </c>
      <c r="E217" s="8" t="s">
        <v>8</v>
      </c>
      <c r="F217" s="8"/>
      <c r="H217" s="8"/>
      <c r="I217" s="8" t="s">
        <v>8754</v>
      </c>
      <c r="J217" s="8" t="s">
        <v>2986</v>
      </c>
      <c r="K217" t="s">
        <v>8755</v>
      </c>
      <c r="L217" t="s">
        <v>8756</v>
      </c>
      <c r="M217" s="3" t="str">
        <f>HYPERLINK(склад2въезд1319202122237[[#This Row],[RelativePath]])</f>
        <v>11 С ангара на базу\E33149364_4_20260111T155817Z.jpg</v>
      </c>
    </row>
    <row r="218" spans="1:13" x14ac:dyDescent="0.25">
      <c r="A218" s="2" t="s">
        <v>13</v>
      </c>
      <c r="B218" s="4">
        <v>46034</v>
      </c>
      <c r="C218" s="5">
        <v>0.45126157407407408</v>
      </c>
      <c r="D218" s="8" t="s">
        <v>7171</v>
      </c>
      <c r="E218" s="8" t="s">
        <v>5480</v>
      </c>
      <c r="F218" s="8" t="s">
        <v>9190</v>
      </c>
      <c r="H218" s="8"/>
      <c r="I218" s="8" t="s">
        <v>9114</v>
      </c>
      <c r="J218" s="8" t="s">
        <v>2986</v>
      </c>
      <c r="K218" t="s">
        <v>9115</v>
      </c>
      <c r="L218" t="s">
        <v>9116</v>
      </c>
      <c r="M218" s="3" t="str">
        <f>HYPERLINK(склад2въезд1319202122237[[#This Row],[RelativePath]])</f>
        <v>11 С ангара на базу\E33149364_4_20260112T104949Z.jpg</v>
      </c>
    </row>
    <row r="219" spans="1:13" x14ac:dyDescent="0.25">
      <c r="A219" s="2" t="s">
        <v>13</v>
      </c>
      <c r="B219" s="4">
        <v>46034</v>
      </c>
      <c r="C219" s="5">
        <v>0.47479166666666667</v>
      </c>
      <c r="D219" s="8" t="s">
        <v>651</v>
      </c>
      <c r="E219" s="8" t="s">
        <v>5480</v>
      </c>
      <c r="F219" s="8"/>
      <c r="H219" s="8"/>
      <c r="I219" s="8" t="s">
        <v>9117</v>
      </c>
      <c r="J219" s="8" t="s">
        <v>2986</v>
      </c>
      <c r="K219" t="s">
        <v>9118</v>
      </c>
      <c r="L219" t="s">
        <v>9119</v>
      </c>
      <c r="M219" s="3" t="str">
        <f>HYPERLINK(склад2въезд1319202122237[[#This Row],[RelativePath]])</f>
        <v>11 С ангара на базу\E33149364_4_20260112T112342Z.jpg</v>
      </c>
    </row>
    <row r="220" spans="1:13" x14ac:dyDescent="0.25">
      <c r="A220" s="2" t="s">
        <v>13</v>
      </c>
      <c r="B220" s="4">
        <v>46034</v>
      </c>
      <c r="C220" s="5">
        <v>0.47493055555555558</v>
      </c>
      <c r="D220" s="8" t="s">
        <v>651</v>
      </c>
      <c r="E220" s="8" t="s">
        <v>5480</v>
      </c>
      <c r="F220" s="8"/>
      <c r="H220" s="8"/>
      <c r="I220" s="8" t="s">
        <v>9120</v>
      </c>
      <c r="J220" s="8" t="s">
        <v>2986</v>
      </c>
      <c r="K220" t="s">
        <v>9121</v>
      </c>
      <c r="L220" t="s">
        <v>9122</v>
      </c>
      <c r="M220" s="3" t="str">
        <f>HYPERLINK(склад2въезд1319202122237[[#This Row],[RelativePath]])</f>
        <v>11 С ангара на базу\E33149364_4_20260112T112354Z.jpg</v>
      </c>
    </row>
    <row r="221" spans="1:13" x14ac:dyDescent="0.25">
      <c r="A221" s="2" t="s">
        <v>13</v>
      </c>
      <c r="B221" s="4">
        <v>46034</v>
      </c>
      <c r="C221" s="5">
        <v>0.47684027777777777</v>
      </c>
      <c r="D221" s="8" t="s">
        <v>651</v>
      </c>
      <c r="E221" s="8" t="s">
        <v>5480</v>
      </c>
      <c r="F221" s="8"/>
      <c r="H221" s="8"/>
      <c r="I221" s="8" t="s">
        <v>9123</v>
      </c>
      <c r="J221" s="8" t="s">
        <v>2986</v>
      </c>
      <c r="K221" t="s">
        <v>9124</v>
      </c>
      <c r="L221" t="s">
        <v>9125</v>
      </c>
      <c r="M221" s="3" t="str">
        <f>HYPERLINK(склад2въезд1319202122237[[#This Row],[RelativePath]])</f>
        <v>11 С ангара на базу\E33149364_4_20260112T112639Z.jpg</v>
      </c>
    </row>
    <row r="222" spans="1:13" x14ac:dyDescent="0.25">
      <c r="A222" s="2" t="s">
        <v>13</v>
      </c>
      <c r="B222" s="4">
        <v>46034</v>
      </c>
      <c r="C222" s="5">
        <v>0.48555555555555557</v>
      </c>
      <c r="D222" s="8" t="s">
        <v>7171</v>
      </c>
      <c r="E222" s="8" t="s">
        <v>5480</v>
      </c>
      <c r="F222" s="8" t="s">
        <v>9202</v>
      </c>
      <c r="H222" s="8"/>
      <c r="I222" s="8" t="s">
        <v>9126</v>
      </c>
      <c r="J222" s="8" t="s">
        <v>2986</v>
      </c>
      <c r="K222" t="s">
        <v>9127</v>
      </c>
      <c r="L222" t="s">
        <v>9128</v>
      </c>
      <c r="M222" s="3" t="str">
        <f>HYPERLINK(склад2въезд1319202122237[[#This Row],[RelativePath]])</f>
        <v>11 С ангара на базу\E33149364_4_20260112T113912Z.jpg</v>
      </c>
    </row>
    <row r="223" spans="1:13" x14ac:dyDescent="0.25">
      <c r="A223" s="2" t="s">
        <v>13</v>
      </c>
      <c r="B223" s="4">
        <v>46034</v>
      </c>
      <c r="C223" s="5">
        <v>0.71916666666666662</v>
      </c>
      <c r="D223" s="8" t="s">
        <v>4</v>
      </c>
      <c r="E223" s="8" t="s">
        <v>8</v>
      </c>
      <c r="F223" s="8"/>
      <c r="H223" s="8"/>
      <c r="I223" s="8" t="s">
        <v>9129</v>
      </c>
      <c r="J223" s="8" t="s">
        <v>2986</v>
      </c>
      <c r="K223" t="s">
        <v>9130</v>
      </c>
      <c r="L223" t="s">
        <v>9131</v>
      </c>
      <c r="M223" s="3" t="str">
        <f>HYPERLINK(склад2въезд1319202122237[[#This Row],[RelativePath]])</f>
        <v>11 С ангара на базу\E33149364_4_20260112T171536Z.jpg</v>
      </c>
    </row>
    <row r="224" spans="1:13" x14ac:dyDescent="0.25">
      <c r="A224" s="2" t="s">
        <v>14</v>
      </c>
      <c r="B224" s="4">
        <v>46035</v>
      </c>
      <c r="C224" s="5">
        <v>0.46697916666666667</v>
      </c>
      <c r="D224" s="8" t="s">
        <v>651</v>
      </c>
      <c r="E224" s="8" t="s">
        <v>5480</v>
      </c>
      <c r="F224" s="8"/>
      <c r="H224" s="8"/>
      <c r="I224" s="8" t="s">
        <v>9132</v>
      </c>
      <c r="J224" s="8" t="s">
        <v>2986</v>
      </c>
      <c r="K224" t="s">
        <v>9133</v>
      </c>
      <c r="L224" t="s">
        <v>9134</v>
      </c>
      <c r="M224" s="3" t="str">
        <f>HYPERLINK(склад2въезд1319202122237[[#This Row],[RelativePath]])</f>
        <v>11 С ангара на базу\E33149364_4_20260113T111227Z.jpg</v>
      </c>
    </row>
    <row r="225" spans="1:13" x14ac:dyDescent="0.25">
      <c r="A225" s="2" t="s">
        <v>14</v>
      </c>
      <c r="B225" s="4">
        <v>46035</v>
      </c>
      <c r="C225" s="5">
        <v>0.47171296296296295</v>
      </c>
      <c r="D225" s="8" t="s">
        <v>651</v>
      </c>
      <c r="E225" s="8" t="s">
        <v>5480</v>
      </c>
      <c r="F225" s="8"/>
      <c r="H225" s="8"/>
      <c r="I225" s="8" t="s">
        <v>9135</v>
      </c>
      <c r="J225" s="8" t="s">
        <v>2986</v>
      </c>
      <c r="K225" t="s">
        <v>9136</v>
      </c>
      <c r="L225" t="s">
        <v>9137</v>
      </c>
      <c r="M225" s="3" t="str">
        <f>HYPERLINK(склад2въезд1319202122237[[#This Row],[RelativePath]])</f>
        <v>11 С ангара на базу\E33149364_4_20260113T111916Z.jpg</v>
      </c>
    </row>
    <row r="226" spans="1:13" x14ac:dyDescent="0.25">
      <c r="A226" s="2" t="s">
        <v>14</v>
      </c>
      <c r="B226" s="4">
        <v>46035</v>
      </c>
      <c r="C226" s="5">
        <v>0.47202546296296294</v>
      </c>
      <c r="D226" s="8" t="s">
        <v>651</v>
      </c>
      <c r="E226" s="8" t="s">
        <v>5480</v>
      </c>
      <c r="F226" s="8"/>
      <c r="H226" s="8"/>
      <c r="I226" s="8" t="s">
        <v>9138</v>
      </c>
      <c r="J226" s="8" t="s">
        <v>2986</v>
      </c>
      <c r="K226" t="s">
        <v>9139</v>
      </c>
      <c r="L226" t="s">
        <v>9140</v>
      </c>
      <c r="M226" s="3" t="str">
        <f>HYPERLINK(склад2въезд1319202122237[[#This Row],[RelativePath]])</f>
        <v>11 С ангара на базу\E33149364_4_20260113T111943Z.jpg</v>
      </c>
    </row>
    <row r="227" spans="1:13" x14ac:dyDescent="0.25">
      <c r="A227" s="2" t="s">
        <v>14</v>
      </c>
      <c r="B227" s="4">
        <v>46035</v>
      </c>
      <c r="C227" s="5">
        <v>0.47940972222222222</v>
      </c>
      <c r="D227" s="8" t="s">
        <v>651</v>
      </c>
      <c r="E227" s="8" t="s">
        <v>5480</v>
      </c>
      <c r="F227" s="8"/>
      <c r="H227" s="8"/>
      <c r="I227" s="8" t="s">
        <v>9141</v>
      </c>
      <c r="J227" s="8" t="s">
        <v>2986</v>
      </c>
      <c r="K227" t="s">
        <v>9142</v>
      </c>
      <c r="L227" t="s">
        <v>9143</v>
      </c>
      <c r="M227" s="3" t="str">
        <f>HYPERLINK(склад2въезд1319202122237[[#This Row],[RelativePath]])</f>
        <v>11 С ангара на базу\E33149364_4_20260113T113021Z.jpg</v>
      </c>
    </row>
    <row r="228" spans="1:13" x14ac:dyDescent="0.25">
      <c r="A228" s="2" t="s">
        <v>14</v>
      </c>
      <c r="B228" s="4">
        <v>46035</v>
      </c>
      <c r="C228" s="5">
        <v>0.71714120370370371</v>
      </c>
      <c r="D228" s="8" t="s">
        <v>4</v>
      </c>
      <c r="E228" s="8" t="s">
        <v>8</v>
      </c>
      <c r="F228" s="8"/>
      <c r="H228" s="8"/>
      <c r="I228" s="8" t="s">
        <v>9144</v>
      </c>
      <c r="J228" s="8" t="s">
        <v>2986</v>
      </c>
      <c r="K228" t="s">
        <v>9145</v>
      </c>
      <c r="L228" t="s">
        <v>9146</v>
      </c>
      <c r="M228" s="3" t="str">
        <f>HYPERLINK(склад2въезд1319202122237[[#This Row],[RelativePath]])</f>
        <v>11 С ангара на базу\E33149364_4_20260113T171241Z.jpg</v>
      </c>
    </row>
    <row r="229" spans="1:13" x14ac:dyDescent="0.25">
      <c r="A229" s="2" t="s">
        <v>15</v>
      </c>
      <c r="B229" s="4">
        <v>46036</v>
      </c>
      <c r="C229" s="5">
        <v>0.588287037037037</v>
      </c>
      <c r="D229" s="8" t="s">
        <v>2004</v>
      </c>
      <c r="E229" s="8" t="s">
        <v>8</v>
      </c>
      <c r="F229" s="8"/>
      <c r="H229" s="8"/>
      <c r="I229" s="8" t="s">
        <v>9312</v>
      </c>
      <c r="J229" s="8" t="s">
        <v>2986</v>
      </c>
      <c r="K229" t="s">
        <v>9313</v>
      </c>
      <c r="L229" t="s">
        <v>9314</v>
      </c>
      <c r="M229" s="3" t="str">
        <f>HYPERLINK(склад2въезд1319202122237[[#This Row],[RelativePath]])</f>
        <v>11 С ангара на базу\E33149364_4_20260114T140708Z.jpg</v>
      </c>
    </row>
    <row r="230" spans="1:13" x14ac:dyDescent="0.25">
      <c r="A230" s="2" t="s">
        <v>16</v>
      </c>
      <c r="B230" s="4">
        <v>46037</v>
      </c>
      <c r="C230" s="5">
        <v>0.70557870370370368</v>
      </c>
      <c r="D230" s="8" t="s">
        <v>4</v>
      </c>
      <c r="E230" s="8" t="s">
        <v>8</v>
      </c>
      <c r="F230" s="8"/>
      <c r="H230" s="8"/>
      <c r="I230" s="8" t="s">
        <v>9522</v>
      </c>
      <c r="J230" s="8" t="s">
        <v>2986</v>
      </c>
      <c r="K230" t="s">
        <v>9523</v>
      </c>
      <c r="L230" t="s">
        <v>9524</v>
      </c>
      <c r="M230" s="3" t="str">
        <f>HYPERLINK(склад2въезд1319202122237[[#This Row],[RelativePath]])</f>
        <v>11 С ангара на базу\E33149364_4_20260115T165602Z.jpg</v>
      </c>
    </row>
    <row r="231" spans="1:13" x14ac:dyDescent="0.25">
      <c r="A231" s="2" t="s">
        <v>17</v>
      </c>
      <c r="B231" s="4">
        <v>46038</v>
      </c>
      <c r="C231" s="5">
        <v>0.45959490740740738</v>
      </c>
      <c r="D231" s="8" t="s">
        <v>651</v>
      </c>
      <c r="E231" s="8" t="s">
        <v>5480</v>
      </c>
      <c r="F231" s="8"/>
      <c r="H231" s="8"/>
      <c r="I231" s="8" t="s">
        <v>9525</v>
      </c>
      <c r="J231" s="8" t="s">
        <v>2986</v>
      </c>
      <c r="K231" t="s">
        <v>9526</v>
      </c>
      <c r="L231" t="s">
        <v>9527</v>
      </c>
      <c r="M231" s="3" t="str">
        <f>HYPERLINK(склад2въезд1319202122237[[#This Row],[RelativePath]])</f>
        <v>11 С ангара на базу\E33149364_4_20260116T110149Z.jpg</v>
      </c>
    </row>
    <row r="232" spans="1:13" x14ac:dyDescent="0.25">
      <c r="A232" s="2" t="s">
        <v>17</v>
      </c>
      <c r="B232" s="4">
        <v>46038</v>
      </c>
      <c r="C232" s="5">
        <v>0.47541666666666665</v>
      </c>
      <c r="D232" s="8" t="s">
        <v>651</v>
      </c>
      <c r="E232" s="8" t="s">
        <v>5480</v>
      </c>
      <c r="F232" s="8"/>
      <c r="H232" s="8"/>
      <c r="I232" s="8" t="s">
        <v>9528</v>
      </c>
      <c r="J232" s="8" t="s">
        <v>2986</v>
      </c>
      <c r="K232" t="s">
        <v>9529</v>
      </c>
      <c r="L232" t="s">
        <v>9530</v>
      </c>
      <c r="M232" s="3" t="str">
        <f>HYPERLINK(склад2въезд1319202122237[[#This Row],[RelativePath]])</f>
        <v>11 С ангара на базу\E33149364_4_20260116T112436Z.jpg</v>
      </c>
    </row>
    <row r="233" spans="1:13" x14ac:dyDescent="0.25">
      <c r="A233" s="2" t="s">
        <v>17</v>
      </c>
      <c r="B233" s="4">
        <v>46038</v>
      </c>
      <c r="C233" s="5">
        <v>0.4836111111111111</v>
      </c>
      <c r="D233" s="8" t="s">
        <v>651</v>
      </c>
      <c r="E233" s="8" t="s">
        <v>5480</v>
      </c>
      <c r="F233" s="8"/>
      <c r="H233" s="8"/>
      <c r="I233" s="8" t="s">
        <v>9531</v>
      </c>
      <c r="J233" s="8" t="s">
        <v>2986</v>
      </c>
      <c r="K233" t="s">
        <v>9532</v>
      </c>
      <c r="L233" t="s">
        <v>9533</v>
      </c>
      <c r="M233" s="3" t="str">
        <f>HYPERLINK(склад2въезд1319202122237[[#This Row],[RelativePath]])</f>
        <v>11 С ангара на базу\E33149364_4_20260116T113624Z.jpg</v>
      </c>
    </row>
    <row r="234" spans="1:13" x14ac:dyDescent="0.25">
      <c r="A234" s="2" t="s">
        <v>17</v>
      </c>
      <c r="B234" s="4">
        <v>46038</v>
      </c>
      <c r="C234" s="5">
        <v>0.52399305555555553</v>
      </c>
      <c r="D234" s="8" t="s">
        <v>651</v>
      </c>
      <c r="E234" s="8" t="s">
        <v>5480</v>
      </c>
      <c r="F234" s="8"/>
      <c r="H234" s="8"/>
      <c r="I234" s="8" t="s">
        <v>9534</v>
      </c>
      <c r="J234" s="8" t="s">
        <v>2986</v>
      </c>
      <c r="K234" t="s">
        <v>9535</v>
      </c>
      <c r="L234" t="s">
        <v>9536</v>
      </c>
      <c r="M234" s="3" t="str">
        <f>HYPERLINK(склад2въезд1319202122237[[#This Row],[RelativePath]])</f>
        <v>11 С ангара на базу\E33149364_4_20260116T123433Z.jpg</v>
      </c>
    </row>
    <row r="235" spans="1:13" x14ac:dyDescent="0.25">
      <c r="A235" s="2" t="s">
        <v>17</v>
      </c>
      <c r="B235" s="4">
        <v>46038</v>
      </c>
      <c r="C235" s="5">
        <v>0.58841435185185187</v>
      </c>
      <c r="D235" s="8" t="s">
        <v>651</v>
      </c>
      <c r="E235" s="8" t="s">
        <v>5480</v>
      </c>
      <c r="F235" s="8"/>
      <c r="H235" s="8"/>
      <c r="I235" s="8" t="s">
        <v>9537</v>
      </c>
      <c r="J235" s="8" t="s">
        <v>2986</v>
      </c>
      <c r="K235" t="s">
        <v>9538</v>
      </c>
      <c r="L235" t="s">
        <v>9539</v>
      </c>
      <c r="M235" s="3" t="str">
        <f>HYPERLINK(склад2въезд1319202122237[[#This Row],[RelativePath]])</f>
        <v>11 С ангара на базу\E33149364_4_20260116T140719Z.jpg</v>
      </c>
    </row>
    <row r="236" spans="1:13" x14ac:dyDescent="0.25">
      <c r="A236" s="2" t="s">
        <v>17</v>
      </c>
      <c r="B236" s="4">
        <v>46038</v>
      </c>
      <c r="C236" s="5">
        <v>0.68454861111111109</v>
      </c>
      <c r="D236" s="8" t="s">
        <v>4</v>
      </c>
      <c r="E236" s="8" t="s">
        <v>8</v>
      </c>
      <c r="F236" s="8"/>
      <c r="H236" s="8"/>
      <c r="I236" s="8" t="s">
        <v>9540</v>
      </c>
      <c r="J236" s="8" t="s">
        <v>2986</v>
      </c>
      <c r="K236" t="s">
        <v>9541</v>
      </c>
      <c r="L236" t="s">
        <v>9542</v>
      </c>
      <c r="M236" s="3" t="str">
        <f>HYPERLINK(склад2въезд1319202122237[[#This Row],[RelativePath]])</f>
        <v>11 С ангара на базу\E33149364_4_20260116T162545Z.jpg</v>
      </c>
    </row>
    <row r="237" spans="1:13" x14ac:dyDescent="0.25">
      <c r="A237" s="2" t="s">
        <v>18</v>
      </c>
      <c r="B237" s="4">
        <v>46039</v>
      </c>
      <c r="C237" s="5">
        <v>0.65752314814814816</v>
      </c>
      <c r="D237" s="8" t="s">
        <v>2004</v>
      </c>
      <c r="E237" s="8" t="s">
        <v>8</v>
      </c>
      <c r="F237" s="8"/>
      <c r="H237" s="8"/>
      <c r="I237" s="8" t="s">
        <v>9666</v>
      </c>
      <c r="J237" s="8" t="s">
        <v>2986</v>
      </c>
      <c r="K237" t="s">
        <v>9667</v>
      </c>
      <c r="L237" t="s">
        <v>9662</v>
      </c>
      <c r="M237" s="3" t="str">
        <f>HYPERLINK(склад2въезд1319202122237[[#This Row],[RelativePath]])</f>
        <v>11 С ангара на базу\E33149364_4_20260117T154650Z.jpg</v>
      </c>
    </row>
    <row r="238" spans="1:13" x14ac:dyDescent="0.25">
      <c r="A238" s="2" t="s">
        <v>22</v>
      </c>
      <c r="B238" s="4">
        <v>46040</v>
      </c>
      <c r="C238" s="5">
        <v>0.694849537037037</v>
      </c>
      <c r="D238" s="8" t="s">
        <v>2004</v>
      </c>
      <c r="E238" s="8" t="s">
        <v>8</v>
      </c>
      <c r="F238" s="8"/>
      <c r="H238" s="8"/>
      <c r="I238" s="8" t="s">
        <v>9668</v>
      </c>
      <c r="J238" s="8" t="s">
        <v>2986</v>
      </c>
      <c r="K238" t="s">
        <v>9669</v>
      </c>
      <c r="L238" t="s">
        <v>9670</v>
      </c>
      <c r="M238" s="3" t="str">
        <f>HYPERLINK(склад2въезд1319202122237[[#This Row],[RelativePath]])</f>
        <v>11 С ангара на базу\E33149364_4_20260118T164035Z.jpg</v>
      </c>
    </row>
    <row r="239" spans="1:13" x14ac:dyDescent="0.25">
      <c r="A239" s="2" t="s">
        <v>13</v>
      </c>
      <c r="B239" s="4">
        <v>46041</v>
      </c>
      <c r="C239" s="5">
        <v>0.70084490740740746</v>
      </c>
      <c r="D239" s="8" t="s">
        <v>2004</v>
      </c>
      <c r="E239" s="8" t="s">
        <v>8</v>
      </c>
      <c r="F239" s="8"/>
      <c r="H239" s="8"/>
      <c r="I239" s="8" t="s">
        <v>9840</v>
      </c>
      <c r="J239" s="8" t="s">
        <v>2986</v>
      </c>
      <c r="K239" t="s">
        <v>9841</v>
      </c>
      <c r="L239" t="s">
        <v>9842</v>
      </c>
      <c r="M239" s="3" t="str">
        <f>HYPERLINK(склад2въезд1319202122237[[#This Row],[RelativePath]])</f>
        <v>11 С ангара на базу\E33149364_4_20260119T164913Z.jpg</v>
      </c>
    </row>
    <row r="240" spans="1:13" x14ac:dyDescent="0.25">
      <c r="A240" s="2" t="s">
        <v>14</v>
      </c>
      <c r="B240" s="4">
        <v>46042</v>
      </c>
      <c r="C240" s="5">
        <v>0.39550925925925928</v>
      </c>
      <c r="D240" s="8" t="s">
        <v>7171</v>
      </c>
      <c r="E240" s="8" t="s">
        <v>5480</v>
      </c>
      <c r="F240" s="8"/>
      <c r="H240" s="8"/>
      <c r="I240" s="8" t="s">
        <v>9843</v>
      </c>
      <c r="J240" s="8" t="s">
        <v>2986</v>
      </c>
      <c r="K240" t="s">
        <v>9844</v>
      </c>
      <c r="L240" t="s">
        <v>9845</v>
      </c>
      <c r="M240" s="3" t="str">
        <f>HYPERLINK(склад2въезд1319202122237[[#This Row],[RelativePath]])</f>
        <v>11 С ангара на базу\E33149364_4_20260120T092932Z.jpg</v>
      </c>
    </row>
    <row r="241" spans="1:13" x14ac:dyDescent="0.25">
      <c r="A241" s="2" t="s">
        <v>14</v>
      </c>
      <c r="B241" s="4">
        <v>46042</v>
      </c>
      <c r="C241" s="5">
        <v>0.3959259259259259</v>
      </c>
      <c r="D241" s="8" t="s">
        <v>7171</v>
      </c>
      <c r="E241" s="8" t="s">
        <v>5480</v>
      </c>
      <c r="F241" s="8"/>
      <c r="H241" s="8" t="s">
        <v>2936</v>
      </c>
      <c r="I241" s="8" t="s">
        <v>9846</v>
      </c>
      <c r="J241" s="8" t="s">
        <v>2986</v>
      </c>
      <c r="K241" t="s">
        <v>9847</v>
      </c>
      <c r="L241" t="s">
        <v>9848</v>
      </c>
      <c r="M241" s="3" t="str">
        <f>HYPERLINK(склад2въезд1319202122237[[#This Row],[RelativePath]])</f>
        <v>11 С ангара на базу\E33149364_4_20260120T093008Z.jpg</v>
      </c>
    </row>
    <row r="242" spans="1:13" x14ac:dyDescent="0.25">
      <c r="A242" s="2" t="s">
        <v>14</v>
      </c>
      <c r="B242" s="4">
        <v>46042</v>
      </c>
      <c r="C242" s="5">
        <v>0.42596064814814816</v>
      </c>
      <c r="D242" s="8" t="s">
        <v>7171</v>
      </c>
      <c r="E242" s="8" t="s">
        <v>5480</v>
      </c>
      <c r="F242" s="8" t="s">
        <v>9202</v>
      </c>
      <c r="H242" s="8"/>
      <c r="I242" s="8" t="s">
        <v>9849</v>
      </c>
      <c r="J242" s="8" t="s">
        <v>2986</v>
      </c>
      <c r="K242" t="s">
        <v>9850</v>
      </c>
      <c r="L242" t="s">
        <v>9851</v>
      </c>
      <c r="M242" s="3" t="str">
        <f>HYPERLINK(склад2въезд1319202122237[[#This Row],[RelativePath]])</f>
        <v>11 С ангара на базу\E33149364_4_20260120T101323Z.jpg</v>
      </c>
    </row>
    <row r="243" spans="1:13" x14ac:dyDescent="0.25">
      <c r="A243" s="2" t="s">
        <v>15</v>
      </c>
      <c r="B243" s="4">
        <v>46043</v>
      </c>
      <c r="C243" s="5">
        <v>0.69701388888888893</v>
      </c>
      <c r="D243" s="8" t="s">
        <v>4</v>
      </c>
      <c r="E243" s="8" t="s">
        <v>8</v>
      </c>
      <c r="F243" s="8"/>
      <c r="H243" s="8"/>
      <c r="I243" s="8" t="s">
        <v>10086</v>
      </c>
      <c r="J243" s="8" t="s">
        <v>2986</v>
      </c>
      <c r="K243" t="s">
        <v>10087</v>
      </c>
      <c r="L243" t="s">
        <v>10088</v>
      </c>
      <c r="M243" s="3" t="str">
        <f>HYPERLINK(склад2въезд1319202122237[[#This Row],[RelativePath]])</f>
        <v>11 С ангара на базу\E33149364_4_20260121T164342Z.jpg</v>
      </c>
    </row>
    <row r="244" spans="1:13" x14ac:dyDescent="0.25">
      <c r="A244" s="2" t="s">
        <v>16</v>
      </c>
      <c r="B244" s="4">
        <v>46044</v>
      </c>
      <c r="C244" s="5">
        <v>0.48275462962962962</v>
      </c>
      <c r="D244" s="8" t="s">
        <v>7171</v>
      </c>
      <c r="E244" s="8" t="s">
        <v>5480</v>
      </c>
      <c r="F244" s="8" t="s">
        <v>9202</v>
      </c>
      <c r="H244" s="8"/>
      <c r="I244" s="8" t="s">
        <v>10089</v>
      </c>
      <c r="J244" s="8" t="s">
        <v>2986</v>
      </c>
      <c r="K244" t="s">
        <v>10090</v>
      </c>
      <c r="L244" t="s">
        <v>10091</v>
      </c>
      <c r="M244" s="3" t="str">
        <f>HYPERLINK(склад2въезд1319202122237[[#This Row],[RelativePath]])</f>
        <v>11 С ангара на базу\E33149364_4_20260122T113510Z.jpg</v>
      </c>
    </row>
    <row r="245" spans="1:13" x14ac:dyDescent="0.25">
      <c r="A245" s="2" t="s">
        <v>16</v>
      </c>
      <c r="B245" s="4">
        <v>46044</v>
      </c>
      <c r="C245" s="5">
        <v>0.48798611111111112</v>
      </c>
      <c r="D245" s="8" t="s">
        <v>651</v>
      </c>
      <c r="E245" s="8" t="s">
        <v>5480</v>
      </c>
      <c r="F245" s="8"/>
      <c r="H245" s="8"/>
      <c r="I245" s="8" t="s">
        <v>10092</v>
      </c>
      <c r="J245" s="8" t="s">
        <v>2986</v>
      </c>
      <c r="K245" t="s">
        <v>10093</v>
      </c>
      <c r="L245" t="s">
        <v>10094</v>
      </c>
      <c r="M245" s="3" t="str">
        <f>HYPERLINK(склад2въезд1319202122237[[#This Row],[RelativePath]])</f>
        <v>11 С ангара на базу\E33149364_4_20260122T114242Z.jpg</v>
      </c>
    </row>
    <row r="246" spans="1:13" x14ac:dyDescent="0.25">
      <c r="A246" s="2" t="s">
        <v>16</v>
      </c>
      <c r="B246" s="4">
        <v>46044</v>
      </c>
      <c r="C246" s="5">
        <v>0.48834490740740738</v>
      </c>
      <c r="D246" s="8" t="s">
        <v>651</v>
      </c>
      <c r="E246" s="8" t="s">
        <v>5480</v>
      </c>
      <c r="F246" s="8"/>
      <c r="H246" s="8"/>
      <c r="I246" s="8" t="s">
        <v>10095</v>
      </c>
      <c r="J246" s="8" t="s">
        <v>2986</v>
      </c>
      <c r="K246" t="s">
        <v>10096</v>
      </c>
      <c r="L246" t="s">
        <v>10097</v>
      </c>
      <c r="M246" s="3" t="str">
        <f>HYPERLINK(склад2въезд1319202122237[[#This Row],[RelativePath]])</f>
        <v>11 С ангара на базу\E33149364_4_20260122T114313Z.jpg</v>
      </c>
    </row>
    <row r="247" spans="1:13" x14ac:dyDescent="0.25">
      <c r="A247" s="2" t="s">
        <v>16</v>
      </c>
      <c r="B247" s="4">
        <v>46044</v>
      </c>
      <c r="C247" s="5">
        <v>0.49125000000000002</v>
      </c>
      <c r="D247" s="8" t="s">
        <v>651</v>
      </c>
      <c r="E247" s="8" t="s">
        <v>5480</v>
      </c>
      <c r="F247" s="8"/>
      <c r="H247" s="8"/>
      <c r="I247" s="8" t="s">
        <v>10098</v>
      </c>
      <c r="J247" s="8" t="s">
        <v>2986</v>
      </c>
      <c r="K247" t="s">
        <v>10099</v>
      </c>
      <c r="L247" t="s">
        <v>10100</v>
      </c>
      <c r="M247" s="3" t="str">
        <f>HYPERLINK(склад2въезд1319202122237[[#This Row],[RelativePath]])</f>
        <v>11 С ангара на базу\E33149364_4_20260122T114724Z.jpg</v>
      </c>
    </row>
    <row r="248" spans="1:13" x14ac:dyDescent="0.25">
      <c r="A248" s="2" t="s">
        <v>16</v>
      </c>
      <c r="B248" s="4">
        <v>46044</v>
      </c>
      <c r="C248" s="5">
        <v>0.6136342592592593</v>
      </c>
      <c r="D248" s="8" t="s">
        <v>651</v>
      </c>
      <c r="E248" s="8" t="s">
        <v>5480</v>
      </c>
      <c r="F248" s="8"/>
      <c r="H248" s="8"/>
      <c r="I248" s="8" t="s">
        <v>10101</v>
      </c>
      <c r="J248" s="8" t="s">
        <v>2986</v>
      </c>
      <c r="K248" t="s">
        <v>10102</v>
      </c>
      <c r="L248" t="s">
        <v>10103</v>
      </c>
      <c r="M248" s="3" t="str">
        <f>HYPERLINK(склад2въезд1319202122237[[#This Row],[RelativePath]])</f>
        <v>11 С ангара на базу\E33149364_4_20260122T144338Z.jpg</v>
      </c>
    </row>
    <row r="249" spans="1:13" x14ac:dyDescent="0.25">
      <c r="A249" s="2" t="s">
        <v>17</v>
      </c>
      <c r="B249" s="4">
        <v>46045</v>
      </c>
      <c r="C249" s="5">
        <v>0.3956365740740741</v>
      </c>
      <c r="D249" s="8" t="s">
        <v>651</v>
      </c>
      <c r="E249" s="8" t="s">
        <v>5480</v>
      </c>
      <c r="F249" s="8"/>
      <c r="H249" s="8"/>
      <c r="I249" s="8" t="s">
        <v>10400</v>
      </c>
      <c r="J249" s="8" t="s">
        <v>2986</v>
      </c>
      <c r="K249" t="s">
        <v>10401</v>
      </c>
      <c r="L249" t="s">
        <v>10402</v>
      </c>
      <c r="M249" s="3" t="str">
        <f>HYPERLINK(склад2въезд1319202122237[[#This Row],[RelativePath]])</f>
        <v>11 С ангара на базу\E33149364_4_20260123T092943Z.jpg</v>
      </c>
    </row>
    <row r="250" spans="1:13" x14ac:dyDescent="0.25">
      <c r="A250" s="2" t="s">
        <v>17</v>
      </c>
      <c r="B250" s="4">
        <v>46045</v>
      </c>
      <c r="C250" s="5">
        <v>0.3958564814814815</v>
      </c>
      <c r="D250" s="8" t="s">
        <v>651</v>
      </c>
      <c r="E250" s="8" t="s">
        <v>5480</v>
      </c>
      <c r="F250" s="8"/>
      <c r="H250" s="8"/>
      <c r="I250" s="8" t="s">
        <v>10403</v>
      </c>
      <c r="J250" s="8" t="s">
        <v>2986</v>
      </c>
      <c r="K250" t="s">
        <v>10404</v>
      </c>
      <c r="L250" t="s">
        <v>10405</v>
      </c>
      <c r="M250" s="3" t="str">
        <f>HYPERLINK(склад2въезд1319202122237[[#This Row],[RelativePath]])</f>
        <v>11 С ангара на базу\E33149364_4_20260123T093002Z.jpg</v>
      </c>
    </row>
    <row r="251" spans="1:13" x14ac:dyDescent="0.25">
      <c r="A251" s="2" t="s">
        <v>17</v>
      </c>
      <c r="B251" s="4">
        <v>46045</v>
      </c>
      <c r="C251" s="5">
        <v>0.41076388888888887</v>
      </c>
      <c r="D251" s="8" t="s">
        <v>651</v>
      </c>
      <c r="E251" s="8" t="s">
        <v>5480</v>
      </c>
      <c r="F251" s="8"/>
      <c r="H251" s="8"/>
      <c r="I251" s="8" t="s">
        <v>10406</v>
      </c>
      <c r="J251" s="8" t="s">
        <v>2986</v>
      </c>
      <c r="K251" t="s">
        <v>10407</v>
      </c>
      <c r="L251" t="s">
        <v>10408</v>
      </c>
      <c r="M251" s="3" t="str">
        <f>HYPERLINK(склад2въезд1319202122237[[#This Row],[RelativePath]])</f>
        <v>11 С ангара на базу\E33149364_4_20260123T095130Z.jpg</v>
      </c>
    </row>
    <row r="252" spans="1:13" x14ac:dyDescent="0.25">
      <c r="A252" s="2" t="s">
        <v>17</v>
      </c>
      <c r="B252" s="4">
        <v>46045</v>
      </c>
      <c r="C252" s="5">
        <v>0.44011574074074072</v>
      </c>
      <c r="D252" s="8" t="s">
        <v>651</v>
      </c>
      <c r="E252" s="8" t="s">
        <v>5480</v>
      </c>
      <c r="F252" s="8"/>
      <c r="H252" s="8"/>
      <c r="I252" s="8" t="s">
        <v>10409</v>
      </c>
      <c r="J252" s="8" t="s">
        <v>2986</v>
      </c>
      <c r="K252" t="s">
        <v>10410</v>
      </c>
      <c r="L252" t="s">
        <v>10411</v>
      </c>
      <c r="M252" s="3" t="str">
        <f>HYPERLINK(склад2въезд1319202122237[[#This Row],[RelativePath]])</f>
        <v>11 С ангара на базу\E33149364_4_20260123T103346Z.jpg</v>
      </c>
    </row>
    <row r="253" spans="1:13" x14ac:dyDescent="0.25">
      <c r="A253" s="2" t="s">
        <v>17</v>
      </c>
      <c r="B253" s="4">
        <v>46045</v>
      </c>
      <c r="C253" s="5">
        <v>0.45118055555555553</v>
      </c>
      <c r="D253" s="8" t="s">
        <v>651</v>
      </c>
      <c r="E253" s="8" t="s">
        <v>5480</v>
      </c>
      <c r="F253" s="8"/>
      <c r="H253" s="8"/>
      <c r="I253" s="8" t="s">
        <v>10412</v>
      </c>
      <c r="J253" s="8" t="s">
        <v>2986</v>
      </c>
      <c r="K253" t="s">
        <v>10413</v>
      </c>
      <c r="L253" t="s">
        <v>10414</v>
      </c>
      <c r="M253" s="3" t="str">
        <f>HYPERLINK(склад2въезд1319202122237[[#This Row],[RelativePath]])</f>
        <v>11 С ангара на базу\E33149364_4_20260123T104942Z.jpg</v>
      </c>
    </row>
    <row r="254" spans="1:13" x14ac:dyDescent="0.25">
      <c r="A254" s="2" t="s">
        <v>17</v>
      </c>
      <c r="B254" s="4">
        <v>46045</v>
      </c>
      <c r="C254" s="5">
        <v>0.50037037037037035</v>
      </c>
      <c r="D254" s="8" t="s">
        <v>651</v>
      </c>
      <c r="E254" s="8" t="s">
        <v>5480</v>
      </c>
      <c r="F254" s="8"/>
      <c r="H254" s="8"/>
      <c r="I254" s="8" t="s">
        <v>10415</v>
      </c>
      <c r="J254" s="8" t="s">
        <v>2986</v>
      </c>
      <c r="K254" t="s">
        <v>10416</v>
      </c>
      <c r="L254" t="s">
        <v>10417</v>
      </c>
      <c r="M254" s="3" t="str">
        <f>HYPERLINK(склад2въезд1319202122237[[#This Row],[RelativePath]])</f>
        <v>11 С ангара на базу\E33149364_4_20260123T120032Z.jpg</v>
      </c>
    </row>
    <row r="255" spans="1:13" x14ac:dyDescent="0.25">
      <c r="A255" s="2" t="s">
        <v>17</v>
      </c>
      <c r="B255" s="4">
        <v>46045</v>
      </c>
      <c r="C255" s="5">
        <v>0.5022106481481482</v>
      </c>
      <c r="D255" s="8" t="s">
        <v>651</v>
      </c>
      <c r="E255" s="8" t="s">
        <v>5480</v>
      </c>
      <c r="F255" s="8"/>
      <c r="H255" s="8"/>
      <c r="I255" s="8" t="s">
        <v>10418</v>
      </c>
      <c r="J255" s="8" t="s">
        <v>2986</v>
      </c>
      <c r="K255" t="s">
        <v>10419</v>
      </c>
      <c r="L255" t="s">
        <v>10420</v>
      </c>
      <c r="M255" s="3" t="str">
        <f>HYPERLINK(склад2въезд1319202122237[[#This Row],[RelativePath]])</f>
        <v>11 С ангара на базу\E33149364_4_20260123T120311Z.jpg</v>
      </c>
    </row>
    <row r="256" spans="1:13" x14ac:dyDescent="0.25">
      <c r="A256" s="2" t="s">
        <v>17</v>
      </c>
      <c r="B256" s="4">
        <v>46045</v>
      </c>
      <c r="C256" s="5">
        <v>0.54934027777777783</v>
      </c>
      <c r="D256" s="8" t="s">
        <v>651</v>
      </c>
      <c r="E256" s="8" t="s">
        <v>5480</v>
      </c>
      <c r="F256" s="8"/>
      <c r="H256" s="8"/>
      <c r="I256" s="8" t="s">
        <v>10421</v>
      </c>
      <c r="J256" s="8" t="s">
        <v>2986</v>
      </c>
      <c r="K256" t="s">
        <v>10422</v>
      </c>
      <c r="L256" t="s">
        <v>10423</v>
      </c>
      <c r="M256" s="3" t="str">
        <f>HYPERLINK(склад2въезд1319202122237[[#This Row],[RelativePath]])</f>
        <v>11 С ангара на базу\E33149364_4_20260123T131103Z.jpg</v>
      </c>
    </row>
    <row r="257" spans="1:13" x14ac:dyDescent="0.25">
      <c r="A257" s="2" t="s">
        <v>18</v>
      </c>
      <c r="B257" s="4">
        <v>46046</v>
      </c>
      <c r="C257" s="5">
        <v>0.70934027777777775</v>
      </c>
      <c r="D257" s="8" t="s">
        <v>2004</v>
      </c>
      <c r="E257" s="8" t="s">
        <v>8</v>
      </c>
      <c r="F257" s="8"/>
      <c r="H257" s="8"/>
      <c r="I257" s="8" t="s">
        <v>10473</v>
      </c>
      <c r="J257" s="8" t="s">
        <v>2986</v>
      </c>
      <c r="K257" t="s">
        <v>10474</v>
      </c>
      <c r="L257" t="s">
        <v>10475</v>
      </c>
      <c r="M257" s="3" t="str">
        <f>HYPERLINK(склад2въезд1319202122237[[#This Row],[RelativePath]])</f>
        <v>11 С ангара на базу\E33149364_4_20260124T170127Z.jpg</v>
      </c>
    </row>
    <row r="258" spans="1:13" x14ac:dyDescent="0.25">
      <c r="A258" s="2" t="s">
        <v>22</v>
      </c>
      <c r="B258" s="4">
        <v>46047</v>
      </c>
      <c r="C258" s="5">
        <v>0.70616898148148144</v>
      </c>
      <c r="D258" s="8" t="s">
        <v>2004</v>
      </c>
      <c r="E258" s="8" t="s">
        <v>8</v>
      </c>
      <c r="F258" s="8"/>
      <c r="H258" s="8"/>
      <c r="I258" s="8" t="s">
        <v>10476</v>
      </c>
      <c r="J258" s="8" t="s">
        <v>2986</v>
      </c>
      <c r="K258" t="s">
        <v>10477</v>
      </c>
      <c r="L258" t="s">
        <v>10478</v>
      </c>
      <c r="M258" s="3" t="str">
        <f>HYPERLINK(склад2въезд1319202122237[[#This Row],[RelativePath]])</f>
        <v>11 С ангара на базу\E33149364_4_20260125T165653Z.jpg</v>
      </c>
    </row>
    <row r="259" spans="1:13" x14ac:dyDescent="0.25">
      <c r="A259" s="2" t="s">
        <v>13</v>
      </c>
      <c r="B259" s="4">
        <v>46048</v>
      </c>
      <c r="C259" s="5">
        <v>0.60037037037037033</v>
      </c>
      <c r="D259" s="8" t="s">
        <v>10639</v>
      </c>
      <c r="E259" s="8" t="s">
        <v>531</v>
      </c>
      <c r="F259" s="8"/>
      <c r="H259" s="8"/>
      <c r="I259" s="8" t="s">
        <v>10612</v>
      </c>
      <c r="J259" s="8" t="s">
        <v>2986</v>
      </c>
      <c r="K259" t="s">
        <v>10613</v>
      </c>
      <c r="L259" t="s">
        <v>10614</v>
      </c>
      <c r="M259" s="3" t="str">
        <f>HYPERLINK(склад2въезд1319202122237[[#This Row],[RelativePath]])</f>
        <v>11 С ангара на базу\E33149364_4_20260126T142432Z.jpg</v>
      </c>
    </row>
    <row r="260" spans="1:13" x14ac:dyDescent="0.25">
      <c r="A260" s="2" t="s">
        <v>14</v>
      </c>
      <c r="B260" s="4">
        <v>46049</v>
      </c>
      <c r="C260" s="5">
        <v>0.62215277777777778</v>
      </c>
      <c r="D260" s="8" t="s">
        <v>10640</v>
      </c>
      <c r="E260" s="8" t="s">
        <v>531</v>
      </c>
      <c r="F260" s="8"/>
      <c r="H260" s="8"/>
      <c r="I260" s="8" t="s">
        <v>10615</v>
      </c>
      <c r="J260" s="8" t="s">
        <v>2986</v>
      </c>
      <c r="K260" t="s">
        <v>10616</v>
      </c>
      <c r="L260" t="s">
        <v>10617</v>
      </c>
      <c r="M260" s="3" t="str">
        <f>HYPERLINK(склад2въезд1319202122237[[#This Row],[RelativePath]])</f>
        <v>11 С ангара на базу\E33149364_4_20260127T145554Z.jpg</v>
      </c>
    </row>
    <row r="261" spans="1:13" x14ac:dyDescent="0.25">
      <c r="A261" s="2" t="s">
        <v>15</v>
      </c>
      <c r="B261" s="4">
        <v>46050</v>
      </c>
      <c r="C261" s="5">
        <v>0.6525347222222222</v>
      </c>
      <c r="D261" s="8" t="s">
        <v>2004</v>
      </c>
      <c r="E261" s="8" t="s">
        <v>8</v>
      </c>
      <c r="F261" s="8"/>
      <c r="H261" s="8"/>
      <c r="I261" s="8" t="s">
        <v>10854</v>
      </c>
      <c r="J261" s="8" t="s">
        <v>2986</v>
      </c>
      <c r="K261" t="s">
        <v>10855</v>
      </c>
      <c r="L261" t="s">
        <v>10856</v>
      </c>
      <c r="M261" s="3" t="str">
        <f>HYPERLINK(склад2въезд1319202122237[[#This Row],[RelativePath]])</f>
        <v>11 С ангара на базу\E33149364_4_20260128T153939Z.jpg</v>
      </c>
    </row>
    <row r="262" spans="1:13" x14ac:dyDescent="0.25">
      <c r="A262" s="2" t="s">
        <v>16</v>
      </c>
      <c r="B262" s="4">
        <v>46051</v>
      </c>
      <c r="C262" s="5">
        <v>0.67479166666666668</v>
      </c>
      <c r="D262" s="8" t="s">
        <v>2004</v>
      </c>
      <c r="E262" s="8" t="s">
        <v>8</v>
      </c>
      <c r="F262" s="8"/>
      <c r="H262" s="8"/>
      <c r="I262" s="8" t="s">
        <v>10857</v>
      </c>
      <c r="J262" s="8" t="s">
        <v>2986</v>
      </c>
      <c r="K262" t="s">
        <v>10858</v>
      </c>
      <c r="L262" t="s">
        <v>10859</v>
      </c>
      <c r="M262" s="3" t="str">
        <f>HYPERLINK(склад2въезд1319202122237[[#This Row],[RelativePath]])</f>
        <v>11 С ангара на базу\E33149364_4_20260129T161142Z.jpg</v>
      </c>
    </row>
    <row r="263" spans="1:13" x14ac:dyDescent="0.25">
      <c r="A263" s="2" t="s">
        <v>17</v>
      </c>
      <c r="B263" s="4">
        <v>46052</v>
      </c>
      <c r="C263" s="5">
        <v>0.71368055555555554</v>
      </c>
      <c r="D263" s="8" t="s">
        <v>2004</v>
      </c>
      <c r="E263" s="8" t="s">
        <v>8</v>
      </c>
      <c r="F263" s="8"/>
      <c r="H263" s="8"/>
      <c r="I263" s="8" t="s">
        <v>10989</v>
      </c>
      <c r="J263" s="8" t="s">
        <v>2986</v>
      </c>
      <c r="K263" t="s">
        <v>10990</v>
      </c>
      <c r="L263" t="s">
        <v>10991</v>
      </c>
      <c r="M263" s="3" t="str">
        <f>HYPERLINK(склад2въезд1319202122237[[#This Row],[RelativePath]])</f>
        <v>11 С ангара на базу\E33149364_4_20260130T170742Z.jpg</v>
      </c>
    </row>
    <row r="264" spans="1:13" x14ac:dyDescent="0.25">
      <c r="A264" s="2" t="s">
        <v>17</v>
      </c>
      <c r="B264" s="4">
        <v>46052</v>
      </c>
      <c r="C264" s="5">
        <v>0.7257986111111111</v>
      </c>
      <c r="D264" s="8" t="s">
        <v>2004</v>
      </c>
      <c r="E264" s="8" t="s">
        <v>8</v>
      </c>
      <c r="F264" s="8"/>
      <c r="H264" s="8"/>
      <c r="I264" s="8" t="s">
        <v>10992</v>
      </c>
      <c r="J264" s="8" t="s">
        <v>2986</v>
      </c>
      <c r="K264" t="s">
        <v>10993</v>
      </c>
      <c r="L264" t="s">
        <v>10994</v>
      </c>
      <c r="M264" s="3" t="str">
        <f>HYPERLINK(склад2въезд1319202122237[[#This Row],[RelativePath]])</f>
        <v>11 С ангара на базу\E33149364_4_20260130T172509Z.jpg</v>
      </c>
    </row>
    <row r="265" spans="1:13" x14ac:dyDescent="0.25">
      <c r="A265" s="2" t="s">
        <v>18</v>
      </c>
      <c r="B265" s="4">
        <v>46053</v>
      </c>
      <c r="C265" s="5">
        <v>0.77195601851851847</v>
      </c>
      <c r="D265" s="8" t="s">
        <v>2004</v>
      </c>
      <c r="E265" s="8" t="s">
        <v>8</v>
      </c>
      <c r="F265" s="8"/>
      <c r="H265" s="8"/>
      <c r="I265" s="8" t="s">
        <v>11052</v>
      </c>
      <c r="J265" s="8" t="s">
        <v>2986</v>
      </c>
      <c r="K265" t="s">
        <v>11053</v>
      </c>
      <c r="L265" t="s">
        <v>11054</v>
      </c>
      <c r="M265" s="3" t="str">
        <f>HYPERLINK(склад2въезд1319202122237[[#This Row],[RelativePath]])</f>
        <v>11 С ангара на базу\E33149364_4_20260131T183137Z.jpg</v>
      </c>
    </row>
    <row r="266" spans="1:13" x14ac:dyDescent="0.25">
      <c r="A266" s="2" t="s">
        <v>22</v>
      </c>
      <c r="B266" s="4">
        <v>46054</v>
      </c>
      <c r="C266" s="5">
        <v>0.77195601851851847</v>
      </c>
      <c r="D266" s="8" t="s">
        <v>11138</v>
      </c>
      <c r="E266" s="8"/>
      <c r="F266" s="8"/>
      <c r="H266" s="8"/>
      <c r="I266" s="8" t="s">
        <v>11135</v>
      </c>
      <c r="J266" s="8" t="s">
        <v>2986</v>
      </c>
      <c r="K266" t="s">
        <v>11136</v>
      </c>
      <c r="L266" t="s">
        <v>11137</v>
      </c>
      <c r="M266" s="3" t="str">
        <f>HYPERLINK(склад2въезд1319202122237[[#This Row],[RelativePath]])</f>
        <v>11 С ангара на базу\E33149364_4_20260201T183137Z.jpg</v>
      </c>
    </row>
    <row r="267" spans="1:13" x14ac:dyDescent="0.25">
      <c r="A267" s="2" t="s">
        <v>13</v>
      </c>
      <c r="B267" s="4">
        <v>46055</v>
      </c>
      <c r="C267" s="5">
        <v>0.68052083333333335</v>
      </c>
      <c r="D267" s="8" t="s">
        <v>2004</v>
      </c>
      <c r="E267" s="8" t="s">
        <v>8</v>
      </c>
      <c r="F267" s="8"/>
      <c r="H267" s="8"/>
      <c r="I267" s="8" t="s">
        <v>11283</v>
      </c>
      <c r="J267" s="8" t="s">
        <v>2986</v>
      </c>
      <c r="K267" t="s">
        <v>11284</v>
      </c>
      <c r="L267" t="s">
        <v>11285</v>
      </c>
      <c r="M267" s="3" t="str">
        <f>HYPERLINK(склад2въезд1319202122237[[#This Row],[RelativePath]])</f>
        <v>11 С ангара на базу\E33149364_4_20260202T161957Z.jpg</v>
      </c>
    </row>
    <row r="268" spans="1:13" x14ac:dyDescent="0.25">
      <c r="A268" s="2" t="s">
        <v>14</v>
      </c>
      <c r="B268" s="4">
        <v>46056</v>
      </c>
      <c r="C268" s="5">
        <v>0.47658564814814813</v>
      </c>
      <c r="D268" s="8" t="s">
        <v>290</v>
      </c>
      <c r="E268" s="8" t="s">
        <v>11412</v>
      </c>
      <c r="F268" s="8" t="s">
        <v>60</v>
      </c>
      <c r="H268" s="8"/>
      <c r="I268" s="8" t="s">
        <v>11286</v>
      </c>
      <c r="J268" s="8" t="s">
        <v>2986</v>
      </c>
      <c r="K268" t="s">
        <v>11287</v>
      </c>
      <c r="L268" t="s">
        <v>11288</v>
      </c>
      <c r="M268" s="3" t="str">
        <f>HYPERLINK(склад2въезд1319202122237[[#This Row],[RelativePath]])</f>
        <v>11 С ангара на базу\E33149364_4_20260203T112617Z.jpg</v>
      </c>
    </row>
    <row r="269" spans="1:13" x14ac:dyDescent="0.25">
      <c r="A269" s="2" t="s">
        <v>14</v>
      </c>
      <c r="B269" s="4">
        <v>46056</v>
      </c>
      <c r="C269" s="5">
        <v>0.47879629629629628</v>
      </c>
      <c r="D269" s="8" t="s">
        <v>290</v>
      </c>
      <c r="E269" s="8" t="s">
        <v>11412</v>
      </c>
      <c r="F269" s="8" t="s">
        <v>60</v>
      </c>
      <c r="H269" s="8" t="s">
        <v>2936</v>
      </c>
      <c r="I269" s="8" t="s">
        <v>11289</v>
      </c>
      <c r="J269" s="8" t="s">
        <v>2986</v>
      </c>
      <c r="K269" t="s">
        <v>11290</v>
      </c>
      <c r="L269" t="s">
        <v>11291</v>
      </c>
      <c r="M269" s="3" t="str">
        <f>HYPERLINK(склад2въезд1319202122237[[#This Row],[RelativePath]])</f>
        <v>11 С ангара на базу\E33149364_4_20260203T112928Z.jpg</v>
      </c>
    </row>
    <row r="270" spans="1:13" x14ac:dyDescent="0.25">
      <c r="A270" s="2" t="s">
        <v>14</v>
      </c>
      <c r="B270" s="4">
        <v>46056</v>
      </c>
      <c r="C270" s="5">
        <v>0.48052083333333334</v>
      </c>
      <c r="D270" s="8" t="s">
        <v>290</v>
      </c>
      <c r="E270" s="8" t="s">
        <v>11412</v>
      </c>
      <c r="F270" s="8" t="s">
        <v>60</v>
      </c>
      <c r="H270" s="8" t="s">
        <v>2936</v>
      </c>
      <c r="I270" s="8" t="s">
        <v>11292</v>
      </c>
      <c r="J270" s="8" t="s">
        <v>2986</v>
      </c>
      <c r="K270" t="s">
        <v>11293</v>
      </c>
      <c r="L270" t="s">
        <v>11294</v>
      </c>
      <c r="M270" s="3" t="str">
        <f>HYPERLINK(склад2въезд1319202122237[[#This Row],[RelativePath]])</f>
        <v>11 С ангара на базу\E33149364_4_20260203T113157Z.jpg</v>
      </c>
    </row>
    <row r="271" spans="1:13" x14ac:dyDescent="0.25">
      <c r="A271" s="2" t="s">
        <v>14</v>
      </c>
      <c r="B271" s="4">
        <v>46056</v>
      </c>
      <c r="C271" s="5">
        <v>0.48226851851851854</v>
      </c>
      <c r="D271" s="8" t="s">
        <v>290</v>
      </c>
      <c r="E271" s="8" t="s">
        <v>11412</v>
      </c>
      <c r="F271" s="8" t="s">
        <v>60</v>
      </c>
      <c r="H271" s="8" t="s">
        <v>2936</v>
      </c>
      <c r="I271" s="8" t="s">
        <v>11295</v>
      </c>
      <c r="J271" s="8" t="s">
        <v>2986</v>
      </c>
      <c r="K271" t="s">
        <v>11296</v>
      </c>
      <c r="L271" t="s">
        <v>11297</v>
      </c>
      <c r="M271" s="3" t="str">
        <f>HYPERLINK(склад2въезд1319202122237[[#This Row],[RelativePath]])</f>
        <v>11 С ангара на базу\E33149364_4_20260203T113428Z.jpg</v>
      </c>
    </row>
    <row r="272" spans="1:13" x14ac:dyDescent="0.25">
      <c r="A272" s="2" t="s">
        <v>14</v>
      </c>
      <c r="B272" s="4">
        <v>46056</v>
      </c>
      <c r="C272" s="5">
        <v>0.48519675925925926</v>
      </c>
      <c r="D272" s="8" t="s">
        <v>290</v>
      </c>
      <c r="E272" s="8" t="s">
        <v>11412</v>
      </c>
      <c r="F272" s="8" t="s">
        <v>60</v>
      </c>
      <c r="H272" s="8" t="s">
        <v>2936</v>
      </c>
      <c r="I272" s="8" t="s">
        <v>11298</v>
      </c>
      <c r="J272" s="8" t="s">
        <v>2986</v>
      </c>
      <c r="K272" t="s">
        <v>11299</v>
      </c>
      <c r="L272" t="s">
        <v>11300</v>
      </c>
      <c r="M272" s="3" t="str">
        <f>HYPERLINK(склад2въезд1319202122237[[#This Row],[RelativePath]])</f>
        <v>11 С ангара на базу\E33149364_4_20260203T113841Z.jpg</v>
      </c>
    </row>
    <row r="273" spans="1:13" x14ac:dyDescent="0.25">
      <c r="A273" s="2" t="s">
        <v>14</v>
      </c>
      <c r="B273" s="4">
        <v>46056</v>
      </c>
      <c r="C273" s="5">
        <v>0.48715277777777777</v>
      </c>
      <c r="D273" s="8" t="s">
        <v>290</v>
      </c>
      <c r="E273" s="8" t="s">
        <v>11412</v>
      </c>
      <c r="F273" s="8" t="s">
        <v>60</v>
      </c>
      <c r="H273" s="8" t="s">
        <v>2936</v>
      </c>
      <c r="I273" s="8" t="s">
        <v>11301</v>
      </c>
      <c r="J273" s="8" t="s">
        <v>2986</v>
      </c>
      <c r="K273" t="s">
        <v>11302</v>
      </c>
      <c r="L273" t="s">
        <v>11303</v>
      </c>
      <c r="M273" s="3" t="str">
        <f>HYPERLINK(склад2въезд1319202122237[[#This Row],[RelativePath]])</f>
        <v>11 С ангара на базу\E33149364_4_20260203T114130Z.jpg</v>
      </c>
    </row>
    <row r="274" spans="1:13" x14ac:dyDescent="0.25">
      <c r="A274" s="2" t="s">
        <v>14</v>
      </c>
      <c r="B274" s="4">
        <v>46056</v>
      </c>
      <c r="C274" s="5">
        <v>0.49083333333333334</v>
      </c>
      <c r="D274" s="8" t="s">
        <v>290</v>
      </c>
      <c r="E274" s="8" t="s">
        <v>11412</v>
      </c>
      <c r="F274" s="8" t="s">
        <v>60</v>
      </c>
      <c r="H274" s="8" t="s">
        <v>2936</v>
      </c>
      <c r="I274" s="8" t="s">
        <v>11304</v>
      </c>
      <c r="J274" s="8" t="s">
        <v>2986</v>
      </c>
      <c r="K274" t="s">
        <v>11305</v>
      </c>
      <c r="L274" t="s">
        <v>11306</v>
      </c>
      <c r="M274" s="3" t="str">
        <f>HYPERLINK(склад2въезд1319202122237[[#This Row],[RelativePath]])</f>
        <v>11 С ангара на базу\E33149364_4_20260203T114648Z.jpg</v>
      </c>
    </row>
    <row r="275" spans="1:13" x14ac:dyDescent="0.25">
      <c r="A275" s="2" t="s">
        <v>14</v>
      </c>
      <c r="B275" s="4">
        <v>46056</v>
      </c>
      <c r="C275" s="5">
        <v>0.49300925925925926</v>
      </c>
      <c r="D275" s="8" t="s">
        <v>290</v>
      </c>
      <c r="E275" s="8" t="s">
        <v>11412</v>
      </c>
      <c r="F275" s="8" t="s">
        <v>60</v>
      </c>
      <c r="H275" s="8" t="s">
        <v>2936</v>
      </c>
      <c r="I275" s="8" t="s">
        <v>11307</v>
      </c>
      <c r="J275" s="8" t="s">
        <v>2986</v>
      </c>
      <c r="K275" t="s">
        <v>11308</v>
      </c>
      <c r="L275" t="s">
        <v>11309</v>
      </c>
      <c r="M275" s="3" t="str">
        <f>HYPERLINK(склад2въезд1319202122237[[#This Row],[RelativePath]])</f>
        <v>11 С ангара на базу\E33149364_4_20260203T114956Z.jpg</v>
      </c>
    </row>
    <row r="276" spans="1:13" x14ac:dyDescent="0.25">
      <c r="A276" s="2" t="s">
        <v>14</v>
      </c>
      <c r="B276" s="4">
        <v>46056</v>
      </c>
      <c r="C276" s="5">
        <v>0.4952199074074074</v>
      </c>
      <c r="D276" s="8" t="s">
        <v>290</v>
      </c>
      <c r="E276" s="8" t="s">
        <v>11412</v>
      </c>
      <c r="F276" s="8" t="s">
        <v>60</v>
      </c>
      <c r="H276" s="8" t="s">
        <v>2936</v>
      </c>
      <c r="I276" s="8" t="s">
        <v>11310</v>
      </c>
      <c r="J276" s="8" t="s">
        <v>2986</v>
      </c>
      <c r="K276" t="s">
        <v>11311</v>
      </c>
      <c r="L276" t="s">
        <v>11312</v>
      </c>
      <c r="M276" s="3" t="str">
        <f>HYPERLINK(склад2въезд1319202122237[[#This Row],[RelativePath]])</f>
        <v>11 С ангара на базу\E33149364_4_20260203T115307Z.jpg</v>
      </c>
    </row>
    <row r="277" spans="1:13" x14ac:dyDescent="0.25">
      <c r="A277" s="2" t="s">
        <v>14</v>
      </c>
      <c r="B277" s="4">
        <v>46056</v>
      </c>
      <c r="C277" s="5">
        <v>0.50091435185185185</v>
      </c>
      <c r="D277" s="8" t="s">
        <v>290</v>
      </c>
      <c r="E277" s="8" t="s">
        <v>11412</v>
      </c>
      <c r="F277" s="8" t="s">
        <v>60</v>
      </c>
      <c r="H277" s="8" t="s">
        <v>2936</v>
      </c>
      <c r="I277" s="8" t="s">
        <v>11313</v>
      </c>
      <c r="J277" s="8" t="s">
        <v>2986</v>
      </c>
      <c r="K277" t="s">
        <v>11314</v>
      </c>
      <c r="L277" t="s">
        <v>11315</v>
      </c>
      <c r="M277" s="3" t="str">
        <f>HYPERLINK(склад2въезд1319202122237[[#This Row],[RelativePath]])</f>
        <v>11 С ангара на базу\E33149364_4_20260203T120119Z.jpg</v>
      </c>
    </row>
    <row r="278" spans="1:13" x14ac:dyDescent="0.25">
      <c r="A278" s="2" t="s">
        <v>14</v>
      </c>
      <c r="B278" s="4">
        <v>46056</v>
      </c>
      <c r="C278" s="5">
        <v>0.50259259259259259</v>
      </c>
      <c r="D278" s="8" t="s">
        <v>290</v>
      </c>
      <c r="E278" s="8" t="s">
        <v>11412</v>
      </c>
      <c r="F278" s="8" t="s">
        <v>60</v>
      </c>
      <c r="H278" s="8" t="s">
        <v>2936</v>
      </c>
      <c r="I278" s="8" t="s">
        <v>11316</v>
      </c>
      <c r="J278" s="8" t="s">
        <v>2986</v>
      </c>
      <c r="K278" t="s">
        <v>11317</v>
      </c>
      <c r="L278" t="s">
        <v>11318</v>
      </c>
      <c r="M278" s="3" t="str">
        <f>HYPERLINK(склад2въезд1319202122237[[#This Row],[RelativePath]])</f>
        <v>11 С ангара на базу\E33149364_4_20260203T120344Z.jpg</v>
      </c>
    </row>
    <row r="279" spans="1:13" x14ac:dyDescent="0.25">
      <c r="A279" s="2" t="s">
        <v>14</v>
      </c>
      <c r="B279" s="4">
        <v>46056</v>
      </c>
      <c r="C279" s="5">
        <v>0.50442129629629628</v>
      </c>
      <c r="D279" s="8" t="s">
        <v>290</v>
      </c>
      <c r="E279" s="8" t="s">
        <v>11412</v>
      </c>
      <c r="F279" s="8" t="s">
        <v>60</v>
      </c>
      <c r="H279" s="8" t="s">
        <v>2936</v>
      </c>
      <c r="I279" s="8" t="s">
        <v>11319</v>
      </c>
      <c r="J279" s="8" t="s">
        <v>2986</v>
      </c>
      <c r="K279" t="s">
        <v>11320</v>
      </c>
      <c r="L279" t="s">
        <v>11321</v>
      </c>
      <c r="M279" s="3" t="str">
        <f>HYPERLINK(склад2въезд1319202122237[[#This Row],[RelativePath]])</f>
        <v>11 С ангара на базу\E33149364_4_20260203T120622Z.jpg</v>
      </c>
    </row>
    <row r="280" spans="1:13" x14ac:dyDescent="0.25">
      <c r="A280" s="2" t="s">
        <v>14</v>
      </c>
      <c r="B280" s="4">
        <v>46056</v>
      </c>
      <c r="C280" s="5">
        <v>0.51177083333333329</v>
      </c>
      <c r="D280" s="8" t="s">
        <v>11422</v>
      </c>
      <c r="E280" s="8" t="s">
        <v>11412</v>
      </c>
      <c r="F280" s="8"/>
      <c r="H280" s="8"/>
      <c r="I280" s="8" t="s">
        <v>11322</v>
      </c>
      <c r="J280" s="8" t="s">
        <v>2986</v>
      </c>
      <c r="K280" t="s">
        <v>11323</v>
      </c>
      <c r="L280" t="s">
        <v>11324</v>
      </c>
      <c r="M280" s="3" t="str">
        <f>HYPERLINK(склад2въезд1319202122237[[#This Row],[RelativePath]])</f>
        <v>11 С ангара на базу\E33149364_4_20260203T121657Z.jpg</v>
      </c>
    </row>
    <row r="281" spans="1:13" x14ac:dyDescent="0.25">
      <c r="A281" s="2" t="s">
        <v>14</v>
      </c>
      <c r="B281" s="4">
        <v>46056</v>
      </c>
      <c r="C281" s="5">
        <v>0.51491898148148152</v>
      </c>
      <c r="D281" s="8" t="s">
        <v>290</v>
      </c>
      <c r="E281" s="8" t="s">
        <v>11412</v>
      </c>
      <c r="F281" s="8" t="s">
        <v>60</v>
      </c>
      <c r="H281" s="8"/>
      <c r="I281" s="8" t="s">
        <v>11325</v>
      </c>
      <c r="J281" s="8" t="s">
        <v>2986</v>
      </c>
      <c r="K281" t="s">
        <v>11326</v>
      </c>
      <c r="L281" t="s">
        <v>11327</v>
      </c>
      <c r="M281" s="3" t="str">
        <f>HYPERLINK(склад2въезд1319202122237[[#This Row],[RelativePath]])</f>
        <v>11 С ангара на базу\E33149364_4_20260203T122129Z.jpg</v>
      </c>
    </row>
    <row r="282" spans="1:13" x14ac:dyDescent="0.25">
      <c r="A282" s="2" t="s">
        <v>14</v>
      </c>
      <c r="B282" s="4">
        <v>46056</v>
      </c>
      <c r="C282" s="5">
        <v>0.51747685185185188</v>
      </c>
      <c r="D282" s="8" t="s">
        <v>290</v>
      </c>
      <c r="E282" s="8" t="s">
        <v>11412</v>
      </c>
      <c r="F282" s="8" t="s">
        <v>60</v>
      </c>
      <c r="H282" s="8" t="s">
        <v>2936</v>
      </c>
      <c r="I282" s="8" t="s">
        <v>11328</v>
      </c>
      <c r="J282" s="8" t="s">
        <v>2986</v>
      </c>
      <c r="K282" t="s">
        <v>11329</v>
      </c>
      <c r="L282" t="s">
        <v>11330</v>
      </c>
      <c r="M282" s="3" t="str">
        <f>HYPERLINK(склад2въезд1319202122237[[#This Row],[RelativePath]])</f>
        <v>11 С ангара на базу\E33149364_4_20260203T122510Z.jpg</v>
      </c>
    </row>
    <row r="283" spans="1:13" x14ac:dyDescent="0.25">
      <c r="A283" s="2" t="s">
        <v>14</v>
      </c>
      <c r="B283" s="4">
        <v>46056</v>
      </c>
      <c r="C283" s="5">
        <v>0.51936342592592588</v>
      </c>
      <c r="D283" s="8" t="s">
        <v>290</v>
      </c>
      <c r="E283" s="8" t="s">
        <v>11412</v>
      </c>
      <c r="F283" s="8" t="s">
        <v>60</v>
      </c>
      <c r="H283" s="8" t="s">
        <v>2936</v>
      </c>
      <c r="I283" s="8" t="s">
        <v>11331</v>
      </c>
      <c r="J283" s="8" t="s">
        <v>2986</v>
      </c>
      <c r="K283" t="s">
        <v>11332</v>
      </c>
      <c r="L283" t="s">
        <v>11333</v>
      </c>
      <c r="M283" s="3" t="str">
        <f>HYPERLINK(склад2въезд1319202122237[[#This Row],[RelativePath]])</f>
        <v>11 С ангара на базу\E33149364_4_20260203T122753Z.jpg</v>
      </c>
    </row>
    <row r="284" spans="1:13" x14ac:dyDescent="0.25">
      <c r="A284" s="2" t="s">
        <v>14</v>
      </c>
      <c r="B284" s="4">
        <v>46056</v>
      </c>
      <c r="C284" s="5">
        <v>0.52197916666666666</v>
      </c>
      <c r="D284" s="8" t="s">
        <v>290</v>
      </c>
      <c r="E284" s="8" t="s">
        <v>11412</v>
      </c>
      <c r="F284" s="8" t="s">
        <v>60</v>
      </c>
      <c r="H284" s="8" t="s">
        <v>2936</v>
      </c>
      <c r="I284" s="8" t="s">
        <v>11334</v>
      </c>
      <c r="J284" s="8" t="s">
        <v>2986</v>
      </c>
      <c r="K284" t="s">
        <v>11335</v>
      </c>
      <c r="L284" t="s">
        <v>11336</v>
      </c>
      <c r="M284" s="3" t="str">
        <f>HYPERLINK(склад2въезд1319202122237[[#This Row],[RelativePath]])</f>
        <v>11 С ангара на базу\E33149364_4_20260203T123139Z.jpg</v>
      </c>
    </row>
    <row r="285" spans="1:13" x14ac:dyDescent="0.25">
      <c r="A285" s="2" t="s">
        <v>14</v>
      </c>
      <c r="B285" s="4">
        <v>46056</v>
      </c>
      <c r="C285" s="5">
        <v>0.52274305555555556</v>
      </c>
      <c r="D285" s="8" t="s">
        <v>290</v>
      </c>
      <c r="E285" s="8" t="s">
        <v>11412</v>
      </c>
      <c r="F285" s="8" t="s">
        <v>60</v>
      </c>
      <c r="H285" s="8" t="s">
        <v>2936</v>
      </c>
      <c r="I285" s="8" t="s">
        <v>11337</v>
      </c>
      <c r="J285" s="8" t="s">
        <v>2986</v>
      </c>
      <c r="K285" t="s">
        <v>11338</v>
      </c>
      <c r="L285" t="s">
        <v>11339</v>
      </c>
      <c r="M285" s="3" t="str">
        <f>HYPERLINK(склад2въезд1319202122237[[#This Row],[RelativePath]])</f>
        <v>11 С ангара на базу\E33149364_4_20260203T123245Z.jpg</v>
      </c>
    </row>
    <row r="286" spans="1:13" x14ac:dyDescent="0.25">
      <c r="A286" s="2" t="s">
        <v>14</v>
      </c>
      <c r="B286" s="4">
        <v>46056</v>
      </c>
      <c r="C286" s="5">
        <v>0.52563657407407405</v>
      </c>
      <c r="D286" s="8" t="s">
        <v>290</v>
      </c>
      <c r="E286" s="8" t="s">
        <v>11412</v>
      </c>
      <c r="F286" s="8" t="s">
        <v>60</v>
      </c>
      <c r="H286" s="8" t="s">
        <v>2936</v>
      </c>
      <c r="I286" s="8" t="s">
        <v>11340</v>
      </c>
      <c r="J286" s="8" t="s">
        <v>2986</v>
      </c>
      <c r="K286" t="s">
        <v>11341</v>
      </c>
      <c r="L286" t="s">
        <v>11342</v>
      </c>
      <c r="M286" s="3" t="str">
        <f>HYPERLINK(склад2въезд1319202122237[[#This Row],[RelativePath]])</f>
        <v>11 С ангара на базу\E33149364_4_20260203T123655Z.jpg</v>
      </c>
    </row>
    <row r="287" spans="1:13" x14ac:dyDescent="0.25">
      <c r="A287" s="2" t="s">
        <v>14</v>
      </c>
      <c r="B287" s="4">
        <v>46056</v>
      </c>
      <c r="C287" s="5">
        <v>0.52638888888888891</v>
      </c>
      <c r="D287" s="8" t="s">
        <v>290</v>
      </c>
      <c r="E287" s="8" t="s">
        <v>11412</v>
      </c>
      <c r="F287" s="8" t="s">
        <v>60</v>
      </c>
      <c r="H287" s="8" t="s">
        <v>2936</v>
      </c>
      <c r="I287" s="8" t="s">
        <v>11343</v>
      </c>
      <c r="J287" s="8" t="s">
        <v>2986</v>
      </c>
      <c r="K287" t="s">
        <v>11344</v>
      </c>
      <c r="L287" t="s">
        <v>11345</v>
      </c>
      <c r="M287" s="3" t="str">
        <f>HYPERLINK(склад2въезд1319202122237[[#This Row],[RelativePath]])</f>
        <v>11 С ангара на базу\E33149364_4_20260203T123800Z.jpg</v>
      </c>
    </row>
    <row r="288" spans="1:13" x14ac:dyDescent="0.25">
      <c r="A288" s="2" t="s">
        <v>14</v>
      </c>
      <c r="B288" s="4">
        <v>46056</v>
      </c>
      <c r="C288" s="5">
        <v>0.52846064814814819</v>
      </c>
      <c r="D288" s="8" t="s">
        <v>290</v>
      </c>
      <c r="E288" s="8" t="s">
        <v>11412</v>
      </c>
      <c r="F288" s="8" t="s">
        <v>60</v>
      </c>
      <c r="H288" s="8" t="s">
        <v>2936</v>
      </c>
      <c r="I288" s="8" t="s">
        <v>11346</v>
      </c>
      <c r="J288" s="8" t="s">
        <v>2986</v>
      </c>
      <c r="K288" t="s">
        <v>11347</v>
      </c>
      <c r="L288" t="s">
        <v>11348</v>
      </c>
      <c r="M288" s="3" t="str">
        <f>HYPERLINK(склад2въезд1319202122237[[#This Row],[RelativePath]])</f>
        <v>11 С ангара на базу\E33149364_4_20260203T124059Z.jpg</v>
      </c>
    </row>
    <row r="289" spans="1:13" x14ac:dyDescent="0.25">
      <c r="A289" s="2" t="s">
        <v>14</v>
      </c>
      <c r="B289" s="4">
        <v>46056</v>
      </c>
      <c r="C289" s="5">
        <v>0.53401620370370373</v>
      </c>
      <c r="D289" s="8" t="s">
        <v>290</v>
      </c>
      <c r="E289" s="8" t="s">
        <v>11412</v>
      </c>
      <c r="F289" s="8" t="s">
        <v>60</v>
      </c>
      <c r="H289" s="8" t="s">
        <v>2936</v>
      </c>
      <c r="I289" s="8" t="s">
        <v>11349</v>
      </c>
      <c r="J289" s="8" t="s">
        <v>2986</v>
      </c>
      <c r="K289" t="s">
        <v>11350</v>
      </c>
      <c r="L289" t="s">
        <v>11351</v>
      </c>
      <c r="M289" s="3" t="str">
        <f>HYPERLINK(склад2въезд1319202122237[[#This Row],[RelativePath]])</f>
        <v>11 С ангара на базу\E33149364_4_20260203T124859Z.jpg</v>
      </c>
    </row>
    <row r="290" spans="1:13" x14ac:dyDescent="0.25">
      <c r="A290" s="2" t="s">
        <v>14</v>
      </c>
      <c r="B290" s="4">
        <v>46056</v>
      </c>
      <c r="C290" s="5">
        <v>0.5352662037037037</v>
      </c>
      <c r="D290" s="8" t="s">
        <v>290</v>
      </c>
      <c r="E290" s="8" t="s">
        <v>11412</v>
      </c>
      <c r="F290" s="8" t="s">
        <v>60</v>
      </c>
      <c r="H290" s="8" t="s">
        <v>2936</v>
      </c>
      <c r="I290" s="8" t="s">
        <v>11352</v>
      </c>
      <c r="J290" s="8" t="s">
        <v>2986</v>
      </c>
      <c r="K290" t="s">
        <v>11353</v>
      </c>
      <c r="L290" t="s">
        <v>11354</v>
      </c>
      <c r="M290" s="3" t="str">
        <f>HYPERLINK(склад2въезд1319202122237[[#This Row],[RelativePath]])</f>
        <v>11 С ангара на базу\E33149364_4_20260203T125047Z.jpg</v>
      </c>
    </row>
    <row r="291" spans="1:13" x14ac:dyDescent="0.25">
      <c r="A291" s="2" t="s">
        <v>14</v>
      </c>
      <c r="B291" s="4">
        <v>46056</v>
      </c>
      <c r="C291" s="5">
        <v>0.53737268518518522</v>
      </c>
      <c r="D291" s="8" t="s">
        <v>290</v>
      </c>
      <c r="E291" s="8" t="s">
        <v>11412</v>
      </c>
      <c r="F291" s="8" t="s">
        <v>60</v>
      </c>
      <c r="H291" s="8" t="s">
        <v>2936</v>
      </c>
      <c r="I291" s="8" t="s">
        <v>11355</v>
      </c>
      <c r="J291" s="8" t="s">
        <v>2986</v>
      </c>
      <c r="K291" t="s">
        <v>11356</v>
      </c>
      <c r="L291" t="s">
        <v>11357</v>
      </c>
      <c r="M291" s="3" t="str">
        <f>HYPERLINK(склад2въезд1319202122237[[#This Row],[RelativePath]])</f>
        <v>11 С ангара на базу\E33149364_4_20260203T125349Z.jpg</v>
      </c>
    </row>
    <row r="292" spans="1:13" x14ac:dyDescent="0.25">
      <c r="A292" s="2" t="s">
        <v>14</v>
      </c>
      <c r="B292" s="4">
        <v>46056</v>
      </c>
      <c r="C292" s="5">
        <v>0.55482638888888891</v>
      </c>
      <c r="D292" s="8" t="s">
        <v>5105</v>
      </c>
      <c r="E292" s="8" t="s">
        <v>11412</v>
      </c>
      <c r="F292" s="8"/>
      <c r="H292" s="8"/>
      <c r="I292" s="8" t="s">
        <v>11358</v>
      </c>
      <c r="J292" s="8" t="s">
        <v>2986</v>
      </c>
      <c r="K292" t="s">
        <v>11359</v>
      </c>
      <c r="L292" t="s">
        <v>11360</v>
      </c>
      <c r="M292" s="3" t="str">
        <f>HYPERLINK(склад2въезд1319202122237[[#This Row],[RelativePath]])</f>
        <v>11 С ангара на базу\E33149364_4_20260203T131857Z.jpg</v>
      </c>
    </row>
    <row r="293" spans="1:13" x14ac:dyDescent="0.25">
      <c r="A293" s="2" t="s">
        <v>14</v>
      </c>
      <c r="B293" s="4">
        <v>46056</v>
      </c>
      <c r="C293" s="5">
        <v>0.62818287037037035</v>
      </c>
      <c r="D293" s="8" t="s">
        <v>651</v>
      </c>
      <c r="E293" s="8" t="s">
        <v>5480</v>
      </c>
      <c r="F293" s="8"/>
      <c r="H293" s="8"/>
      <c r="I293" s="8" t="s">
        <v>11361</v>
      </c>
      <c r="J293" s="8" t="s">
        <v>2986</v>
      </c>
      <c r="K293" t="s">
        <v>11362</v>
      </c>
      <c r="L293" t="s">
        <v>11363</v>
      </c>
      <c r="M293" s="3" t="str">
        <f>HYPERLINK(склад2въезд1319202122237[[#This Row],[RelativePath]])</f>
        <v>11 С ангара на базу\E33149364_4_20260203T150435Z.jpg</v>
      </c>
    </row>
    <row r="294" spans="1:13" x14ac:dyDescent="0.25">
      <c r="A294" s="2" t="s">
        <v>14</v>
      </c>
      <c r="B294" s="4">
        <v>46056</v>
      </c>
      <c r="C294" s="5">
        <v>0.63287037037037042</v>
      </c>
      <c r="D294" s="8" t="s">
        <v>651</v>
      </c>
      <c r="E294" s="8" t="s">
        <v>5480</v>
      </c>
      <c r="F294" s="8"/>
      <c r="H294" s="8"/>
      <c r="I294" s="8" t="s">
        <v>11364</v>
      </c>
      <c r="J294" s="8" t="s">
        <v>2986</v>
      </c>
      <c r="K294" t="s">
        <v>11365</v>
      </c>
      <c r="L294" t="s">
        <v>11366</v>
      </c>
      <c r="M294" s="3" t="str">
        <f>HYPERLINK(склад2въезд1319202122237[[#This Row],[RelativePath]])</f>
        <v>11 С ангара на базу\E33149364_4_20260203T151120Z.jpg</v>
      </c>
    </row>
    <row r="295" spans="1:13" x14ac:dyDescent="0.25">
      <c r="A295" s="2" t="s">
        <v>14</v>
      </c>
      <c r="B295" s="4">
        <v>46056</v>
      </c>
      <c r="C295" s="5">
        <v>0.64457175925925925</v>
      </c>
      <c r="D295" s="8" t="s">
        <v>651</v>
      </c>
      <c r="E295" s="8" t="s">
        <v>5480</v>
      </c>
      <c r="F295" s="8"/>
      <c r="H295" s="8"/>
      <c r="I295" s="8" t="s">
        <v>11367</v>
      </c>
      <c r="J295" s="8" t="s">
        <v>2986</v>
      </c>
      <c r="K295" t="s">
        <v>11368</v>
      </c>
      <c r="L295" t="s">
        <v>11369</v>
      </c>
      <c r="M295" s="3" t="str">
        <f>HYPERLINK(склад2въезд1319202122237[[#This Row],[RelativePath]])</f>
        <v>11 С ангара на базу\E33149364_4_20260203T152811Z.jpg</v>
      </c>
    </row>
    <row r="296" spans="1:13" x14ac:dyDescent="0.25">
      <c r="A296" s="2" t="s">
        <v>14</v>
      </c>
      <c r="B296" s="4">
        <v>46056</v>
      </c>
      <c r="C296" s="5">
        <v>0.65008101851851852</v>
      </c>
      <c r="D296" s="8" t="s">
        <v>651</v>
      </c>
      <c r="E296" s="8" t="s">
        <v>5480</v>
      </c>
      <c r="F296" s="8"/>
      <c r="H296" s="8"/>
      <c r="I296" s="8" t="s">
        <v>11370</v>
      </c>
      <c r="J296" s="8" t="s">
        <v>2986</v>
      </c>
      <c r="K296" t="s">
        <v>11371</v>
      </c>
      <c r="L296" t="s">
        <v>11372</v>
      </c>
      <c r="M296" s="3" t="str">
        <f>HYPERLINK(склад2въезд1319202122237[[#This Row],[RelativePath]])</f>
        <v>11 С ангара на базу\E33149364_4_20260203T153607Z.jpg</v>
      </c>
    </row>
    <row r="297" spans="1:13" x14ac:dyDescent="0.25">
      <c r="A297" s="2" t="s">
        <v>14</v>
      </c>
      <c r="B297" s="4">
        <v>46056</v>
      </c>
      <c r="C297" s="5">
        <v>0.6918981481481481</v>
      </c>
      <c r="D297" s="8" t="s">
        <v>651</v>
      </c>
      <c r="E297" s="8" t="s">
        <v>5480</v>
      </c>
      <c r="F297" s="8"/>
      <c r="H297" s="8"/>
      <c r="I297" s="8" t="s">
        <v>11373</v>
      </c>
      <c r="J297" s="8" t="s">
        <v>2986</v>
      </c>
      <c r="K297" t="s">
        <v>11374</v>
      </c>
      <c r="L297" t="s">
        <v>11375</v>
      </c>
      <c r="M297" s="3" t="str">
        <f>HYPERLINK(склад2въезд1319202122237[[#This Row],[RelativePath]])</f>
        <v>11 С ангара на базу\E33149364_4_20260203T163620Z.jpg</v>
      </c>
    </row>
    <row r="298" spans="1:13" x14ac:dyDescent="0.25">
      <c r="A298" s="2" t="s">
        <v>14</v>
      </c>
      <c r="B298" s="4">
        <v>46056</v>
      </c>
      <c r="C298" s="5">
        <v>0.71322916666666669</v>
      </c>
      <c r="D298" s="8" t="s">
        <v>4</v>
      </c>
      <c r="E298" s="8" t="s">
        <v>8</v>
      </c>
      <c r="F298" s="8"/>
      <c r="H298" s="8"/>
      <c r="I298" s="8" t="s">
        <v>11376</v>
      </c>
      <c r="J298" s="8" t="s">
        <v>2986</v>
      </c>
      <c r="K298" t="s">
        <v>11377</v>
      </c>
      <c r="L298" t="s">
        <v>11378</v>
      </c>
      <c r="M298" s="3" t="str">
        <f>HYPERLINK(склад2въезд1319202122237[[#This Row],[RelativePath]])</f>
        <v>11 С ангара на базу\E33149364_4_20260203T170703Z.jpg</v>
      </c>
    </row>
    <row r="299" spans="1:13" x14ac:dyDescent="0.25">
      <c r="A299" s="2" t="s">
        <v>15</v>
      </c>
      <c r="B299" s="4">
        <v>46057</v>
      </c>
      <c r="C299" s="5">
        <v>0.632349537037037</v>
      </c>
      <c r="D299" s="8" t="s">
        <v>4</v>
      </c>
      <c r="E299" s="8" t="s">
        <v>8045</v>
      </c>
      <c r="F299" s="8"/>
      <c r="H299" s="8"/>
      <c r="I299" s="8" t="s">
        <v>11538</v>
      </c>
      <c r="J299" s="8" t="s">
        <v>2986</v>
      </c>
      <c r="K299" t="s">
        <v>11539</v>
      </c>
      <c r="L299" t="s">
        <v>11540</v>
      </c>
      <c r="M299" s="3" t="str">
        <f>HYPERLINK(склад2въезд1319202122237[[#This Row],[RelativePath]])</f>
        <v>11 С ангара на базу\E33149364_4_20260204T151035Z.jpg</v>
      </c>
    </row>
    <row r="300" spans="1:13" x14ac:dyDescent="0.25">
      <c r="A300" s="2" t="s">
        <v>16</v>
      </c>
      <c r="B300" s="4">
        <v>46058</v>
      </c>
      <c r="C300" s="5">
        <v>0.69366898148148148</v>
      </c>
      <c r="D300" s="8" t="s">
        <v>2004</v>
      </c>
      <c r="E300" s="8" t="s">
        <v>8</v>
      </c>
      <c r="F300" s="8"/>
      <c r="H300" s="8"/>
      <c r="I300" s="8" t="s">
        <v>11541</v>
      </c>
      <c r="J300" s="8" t="s">
        <v>2986</v>
      </c>
      <c r="K300" t="s">
        <v>11542</v>
      </c>
      <c r="L300" t="s">
        <v>11543</v>
      </c>
      <c r="M300" s="3" t="str">
        <f>HYPERLINK(склад2въезд1319202122237[[#This Row],[RelativePath]])</f>
        <v>11 С ангара на базу\E33149364_4_20260205T163853Z.jpg</v>
      </c>
    </row>
    <row r="301" spans="1:13" x14ac:dyDescent="0.25">
      <c r="A301" s="2" t="s">
        <v>17</v>
      </c>
      <c r="B301" s="4">
        <v>46059</v>
      </c>
      <c r="C301" s="5">
        <v>0.70149305555555552</v>
      </c>
      <c r="D301" s="8" t="s">
        <v>4</v>
      </c>
      <c r="E301" s="8" t="s">
        <v>8045</v>
      </c>
      <c r="F301" s="8"/>
      <c r="H301" s="8"/>
      <c r="I301" s="8" t="s">
        <v>11544</v>
      </c>
      <c r="J301" s="8" t="s">
        <v>2986</v>
      </c>
      <c r="K301" t="s">
        <v>11545</v>
      </c>
      <c r="L301" t="s">
        <v>11546</v>
      </c>
      <c r="M301" s="3" t="str">
        <f>HYPERLINK(склад2въезд1319202122237[[#This Row],[RelativePath]])</f>
        <v>11 С ангара на базу\E33149364_4_20260206T165009Z.jpg</v>
      </c>
    </row>
    <row r="302" spans="1:13" x14ac:dyDescent="0.25">
      <c r="A302" s="2" t="s">
        <v>18</v>
      </c>
      <c r="B302" s="4">
        <v>46060</v>
      </c>
      <c r="C302" s="5">
        <v>0.65710648148148143</v>
      </c>
      <c r="D302" s="8" t="s">
        <v>2004</v>
      </c>
      <c r="E302" s="8" t="s">
        <v>8</v>
      </c>
      <c r="F302" s="8"/>
      <c r="H302" s="8"/>
      <c r="I302" s="8" t="s">
        <v>11748</v>
      </c>
      <c r="J302" s="8" t="s">
        <v>2986</v>
      </c>
      <c r="K302" t="s">
        <v>11749</v>
      </c>
      <c r="L302" t="s">
        <v>11750</v>
      </c>
      <c r="M302" s="3" t="str">
        <f>HYPERLINK(склад2въезд1319202122237[[#This Row],[RelativePath]])</f>
        <v>11 С ангара на базу\E33149364_4_20260207T154614Z.jpg</v>
      </c>
    </row>
    <row r="303" spans="1:13" x14ac:dyDescent="0.25">
      <c r="A303" s="2" t="s">
        <v>22</v>
      </c>
      <c r="B303" s="4">
        <v>46061</v>
      </c>
      <c r="C303" s="5">
        <v>0.7429513888888889</v>
      </c>
      <c r="D303" s="8" t="s">
        <v>2004</v>
      </c>
      <c r="E303" s="8" t="s">
        <v>8</v>
      </c>
      <c r="F303" s="8"/>
      <c r="H303" s="8"/>
      <c r="I303" s="8" t="s">
        <v>11751</v>
      </c>
      <c r="J303" s="8" t="s">
        <v>2986</v>
      </c>
      <c r="K303" t="s">
        <v>11752</v>
      </c>
      <c r="L303" t="s">
        <v>11753</v>
      </c>
      <c r="M303" s="3" t="str">
        <f>HYPERLINK(склад2въезд1319202122237[[#This Row],[RelativePath]])</f>
        <v>11 С ангара на базу\E33149364_4_20260208T174951Z.jpg</v>
      </c>
    </row>
  </sheetData>
  <conditionalFormatting sqref="D304:D314 E304:E317 G2:H303 D2:E303">
    <cfRule type="containsText" dxfId="627" priority="14" operator="containsText" text="Выезд с территории">
      <formula>NOT(ISERROR(SEARCH("Выезд с территории",D2)))</formula>
    </cfRule>
  </conditionalFormatting>
  <conditionalFormatting sqref="F2:F303">
    <cfRule type="notContainsText" dxfId="626" priority="13" operator="notContains" text="порожний">
      <formula>ISERROR(SEARCH("порожний",F2))</formula>
    </cfRule>
  </conditionalFormatting>
  <conditionalFormatting sqref="E2:E317">
    <cfRule type="containsText" dxfId="625" priority="11" operator="containsText" text="Газель базы">
      <formula>NOT(ISERROR(SEARCH("Газель базы",E2)))</formula>
    </cfRule>
    <cfRule type="containsText" dxfId="624" priority="12" operator="containsText" text="Погрузчик базы">
      <formula>NOT(ISERROR(SEARCH("Погрузчик базы",E2)))</formula>
    </cfRule>
  </conditionalFormatting>
  <conditionalFormatting sqref="E2:E317">
    <cfRule type="containsText" dxfId="623" priority="10" operator="containsText" text="Трактор базы">
      <formula>NOT(ISERROR(SEARCH("Трактор базы",E2)))</formula>
    </cfRule>
  </conditionalFormatting>
  <conditionalFormatting sqref="A2:C303">
    <cfRule type="expression" dxfId="622" priority="9">
      <formula>$A2="пн"</formula>
    </cfRule>
  </conditionalFormatting>
  <conditionalFormatting sqref="A2:C305">
    <cfRule type="expression" dxfId="621" priority="3">
      <formula>$A2="вс"</formula>
    </cfRule>
    <cfRule type="expression" dxfId="620" priority="4">
      <formula>$A2="сб"</formula>
    </cfRule>
    <cfRule type="expression" dxfId="619" priority="5">
      <formula>$A2="пт"</formula>
    </cfRule>
    <cfRule type="expression" dxfId="618" priority="6">
      <formula>$A2="чт"</formula>
    </cfRule>
    <cfRule type="expression" dxfId="617" priority="7">
      <formula>$A2="ср"</formula>
    </cfRule>
    <cfRule type="expression" dxfId="616" priority="8">
      <formula>$A2="вт"</formula>
    </cfRule>
  </conditionalFormatting>
  <conditionalFormatting sqref="D2:D314">
    <cfRule type="containsText" dxfId="61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4">
    <cfRule type="containsText" dxfId="61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190"/>
  <sheetViews>
    <sheetView zoomScale="90" zoomScaleNormal="90" workbookViewId="0">
      <pane ySplit="1" topLeftCell="A173" activePane="bottomLeft" state="frozen"/>
      <selection pane="bottomLeft" activeCell="I187" sqref="I187:I19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7109375" bestFit="1" customWidth="1"/>
    <col min="5" max="5" width="25.285156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1826</v>
      </c>
      <c r="J2" s="8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8" t="s">
        <v>4</v>
      </c>
      <c r="E3" s="8" t="s">
        <v>8</v>
      </c>
      <c r="F3" s="8"/>
      <c r="H3" s="8"/>
      <c r="I3" s="8" t="s">
        <v>1829</v>
      </c>
      <c r="J3" s="8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8" t="s">
        <v>4</v>
      </c>
      <c r="E4" s="8" t="s">
        <v>8</v>
      </c>
      <c r="F4" s="8"/>
      <c r="H4" s="8"/>
      <c r="I4" s="8" t="s">
        <v>1832</v>
      </c>
      <c r="J4" s="8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8" t="s">
        <v>4</v>
      </c>
      <c r="E5" s="8" t="s">
        <v>1935</v>
      </c>
      <c r="F5" s="8"/>
      <c r="H5" s="8"/>
      <c r="I5" s="8" t="s">
        <v>1835</v>
      </c>
      <c r="J5" s="8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8" t="s">
        <v>4</v>
      </c>
      <c r="E6" s="8" t="s">
        <v>8</v>
      </c>
      <c r="F6" s="8"/>
      <c r="H6" s="8"/>
      <c r="I6" s="8" t="s">
        <v>1838</v>
      </c>
      <c r="J6" s="8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8" t="s">
        <v>4</v>
      </c>
      <c r="E7" s="8" t="s">
        <v>8</v>
      </c>
      <c r="F7" s="8"/>
      <c r="H7" s="8"/>
      <c r="I7" s="8" t="s">
        <v>1841</v>
      </c>
      <c r="J7" s="8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8" t="s">
        <v>4</v>
      </c>
      <c r="E8" s="8" t="s">
        <v>21</v>
      </c>
      <c r="F8" s="8"/>
      <c r="H8" s="8"/>
      <c r="I8" s="8" t="s">
        <v>1844</v>
      </c>
      <c r="J8" s="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8" t="s">
        <v>4</v>
      </c>
      <c r="E9" s="8" t="s">
        <v>8</v>
      </c>
      <c r="F9" s="8"/>
      <c r="H9" s="8"/>
      <c r="I9" s="8" t="s">
        <v>1847</v>
      </c>
      <c r="J9" s="8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8" t="s">
        <v>4</v>
      </c>
      <c r="E10" s="8" t="s">
        <v>8</v>
      </c>
      <c r="F10" s="8"/>
      <c r="H10" s="8"/>
      <c r="I10" s="8" t="s">
        <v>1850</v>
      </c>
      <c r="J10" s="8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8" t="s">
        <v>4</v>
      </c>
      <c r="E11" s="8" t="s">
        <v>8</v>
      </c>
      <c r="F11" s="8"/>
      <c r="H11" s="8" t="s">
        <v>1625</v>
      </c>
      <c r="I11" s="8" t="s">
        <v>1853</v>
      </c>
      <c r="J11" s="8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8" t="s">
        <v>4</v>
      </c>
      <c r="E12" s="8" t="s">
        <v>1936</v>
      </c>
      <c r="F12" s="8"/>
      <c r="H12" s="8"/>
      <c r="I12" s="8" t="s">
        <v>1856</v>
      </c>
      <c r="J12" s="8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8" t="s">
        <v>4</v>
      </c>
      <c r="E13" s="8" t="s">
        <v>1936</v>
      </c>
      <c r="F13" s="8"/>
      <c r="H13" s="8"/>
      <c r="I13" s="8" t="s">
        <v>1859</v>
      </c>
      <c r="J13" s="8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1862</v>
      </c>
      <c r="J14" s="8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8" t="s">
        <v>4</v>
      </c>
      <c r="E15" s="8" t="s">
        <v>8</v>
      </c>
      <c r="F15" s="8"/>
      <c r="H15" s="8"/>
      <c r="I15" s="8" t="s">
        <v>1865</v>
      </c>
      <c r="J15" s="8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8" t="s">
        <v>4</v>
      </c>
      <c r="E16" s="8" t="s">
        <v>8</v>
      </c>
      <c r="F16" s="8"/>
      <c r="H16" s="8"/>
      <c r="I16" s="8" t="s">
        <v>1868</v>
      </c>
      <c r="J16" s="8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8" t="s">
        <v>4</v>
      </c>
      <c r="E17" s="8" t="s">
        <v>8</v>
      </c>
      <c r="F17" s="8"/>
      <c r="H17" s="8"/>
      <c r="I17" s="8" t="s">
        <v>1871</v>
      </c>
      <c r="J17" s="8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8" t="s">
        <v>4</v>
      </c>
      <c r="E18" s="8" t="s">
        <v>8</v>
      </c>
      <c r="F18" s="8"/>
      <c r="H18" s="8" t="s">
        <v>1625</v>
      </c>
      <c r="I18" s="8" t="s">
        <v>1874</v>
      </c>
      <c r="J18" s="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8" t="s">
        <v>4</v>
      </c>
      <c r="E19" s="8" t="s">
        <v>8</v>
      </c>
      <c r="F19" s="8"/>
      <c r="H19" s="8"/>
      <c r="I19" s="8" t="s">
        <v>1877</v>
      </c>
      <c r="J19" s="8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8" t="s">
        <v>4</v>
      </c>
      <c r="E20" s="8" t="s">
        <v>8</v>
      </c>
      <c r="F20" s="8"/>
      <c r="H20" s="8"/>
      <c r="I20" s="8" t="s">
        <v>1880</v>
      </c>
      <c r="J20" s="8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8" t="s">
        <v>4</v>
      </c>
      <c r="E21" s="8" t="s">
        <v>21</v>
      </c>
      <c r="F21" s="8"/>
      <c r="H21" s="8"/>
      <c r="I21" s="8" t="s">
        <v>1883</v>
      </c>
      <c r="J21" s="8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8" t="s">
        <v>4</v>
      </c>
      <c r="E22" s="8" t="s">
        <v>8</v>
      </c>
      <c r="F22" s="8"/>
      <c r="H22" s="8"/>
      <c r="I22" s="8" t="s">
        <v>1886</v>
      </c>
      <c r="J22" s="8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8" t="s">
        <v>4</v>
      </c>
      <c r="E23" s="8" t="s">
        <v>21</v>
      </c>
      <c r="F23" s="8"/>
      <c r="H23" s="8"/>
      <c r="I23" s="8" t="s">
        <v>1889</v>
      </c>
      <c r="J23" s="8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8" t="s">
        <v>4</v>
      </c>
      <c r="E24" s="8" t="s">
        <v>8</v>
      </c>
      <c r="F24" s="8"/>
      <c r="H24" s="8"/>
      <c r="I24" s="8" t="s">
        <v>1892</v>
      </c>
      <c r="J24" s="8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8" t="s">
        <v>4</v>
      </c>
      <c r="E25" s="8" t="s">
        <v>21</v>
      </c>
      <c r="F25" s="8"/>
      <c r="H25" s="8"/>
      <c r="I25" s="8" t="s">
        <v>1895</v>
      </c>
      <c r="J25" s="8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8" t="s">
        <v>4</v>
      </c>
      <c r="E26" s="8" t="s">
        <v>8</v>
      </c>
      <c r="F26" s="8"/>
      <c r="H26" s="8" t="s">
        <v>1625</v>
      </c>
      <c r="I26" s="8" t="s">
        <v>1898</v>
      </c>
      <c r="J26" s="8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8" t="s">
        <v>4</v>
      </c>
      <c r="E27" s="8" t="s">
        <v>8</v>
      </c>
      <c r="F27" s="8"/>
      <c r="H27" s="8"/>
      <c r="I27" s="8" t="s">
        <v>1901</v>
      </c>
      <c r="J27" s="8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8" t="s">
        <v>289</v>
      </c>
      <c r="E28" s="8" t="s">
        <v>86</v>
      </c>
      <c r="F28" s="8" t="s">
        <v>200</v>
      </c>
      <c r="H28" s="8"/>
      <c r="I28" s="8" t="s">
        <v>1904</v>
      </c>
      <c r="J28" s="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8" t="s">
        <v>289</v>
      </c>
      <c r="E29" s="8" t="s">
        <v>86</v>
      </c>
      <c r="F29" s="8" t="s">
        <v>200</v>
      </c>
      <c r="H29" s="8"/>
      <c r="I29" s="8" t="s">
        <v>1907</v>
      </c>
      <c r="J29" s="8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8" t="s">
        <v>289</v>
      </c>
      <c r="E30" s="8" t="s">
        <v>86</v>
      </c>
      <c r="F30" s="8" t="s">
        <v>200</v>
      </c>
      <c r="H30" s="8"/>
      <c r="I30" s="8" t="s">
        <v>1910</v>
      </c>
      <c r="J30" s="8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8" t="s">
        <v>289</v>
      </c>
      <c r="E31" s="8" t="s">
        <v>86</v>
      </c>
      <c r="F31" s="8" t="s">
        <v>200</v>
      </c>
      <c r="H31" s="8"/>
      <c r="I31" s="8" t="s">
        <v>1913</v>
      </c>
      <c r="J31" s="8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8" t="s">
        <v>4</v>
      </c>
      <c r="E32" s="8" t="s">
        <v>8</v>
      </c>
      <c r="F32" s="8"/>
      <c r="H32" s="8" t="s">
        <v>1625</v>
      </c>
      <c r="I32" s="8" t="s">
        <v>1916</v>
      </c>
      <c r="J32" s="8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8" t="s">
        <v>4</v>
      </c>
      <c r="E33" s="8" t="s">
        <v>8</v>
      </c>
      <c r="F33" s="8"/>
      <c r="H33" s="8" t="s">
        <v>5</v>
      </c>
      <c r="I33" s="8" t="s">
        <v>1919</v>
      </c>
      <c r="J33" s="8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8" t="s">
        <v>4</v>
      </c>
      <c r="E34" s="8" t="s">
        <v>8</v>
      </c>
      <c r="F34" s="8"/>
      <c r="H34" s="8" t="s">
        <v>1625</v>
      </c>
      <c r="I34" s="8" t="s">
        <v>1922</v>
      </c>
      <c r="J34" s="8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1925</v>
      </c>
      <c r="J35" s="8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8" t="s">
        <v>4</v>
      </c>
      <c r="E36" s="8" t="s">
        <v>8</v>
      </c>
      <c r="F36" s="8"/>
      <c r="H36" s="8"/>
      <c r="I36" s="8" t="s">
        <v>1928</v>
      </c>
      <c r="J36" s="8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8" t="s">
        <v>4</v>
      </c>
      <c r="E37" s="8" t="s">
        <v>8</v>
      </c>
      <c r="F37" s="8"/>
      <c r="H37" s="8"/>
      <c r="I37" s="8" t="s">
        <v>1931</v>
      </c>
      <c r="J37" s="8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8" t="s">
        <v>4</v>
      </c>
      <c r="E38" s="8" t="s">
        <v>8</v>
      </c>
      <c r="F38" s="8"/>
      <c r="H38" s="8"/>
      <c r="I38" s="8" t="s">
        <v>2589</v>
      </c>
      <c r="J38" s="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8" t="s">
        <v>7</v>
      </c>
      <c r="E39" s="8"/>
      <c r="F39" s="8"/>
      <c r="H39" s="8"/>
      <c r="I39" s="8" t="s">
        <v>2592</v>
      </c>
      <c r="J39" s="8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8" t="s">
        <v>4</v>
      </c>
      <c r="E40" s="8" t="s">
        <v>8</v>
      </c>
      <c r="F40" s="8"/>
      <c r="H40" s="8"/>
      <c r="I40" s="8" t="s">
        <v>2595</v>
      </c>
      <c r="J40" s="8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8" t="s">
        <v>11</v>
      </c>
      <c r="E41" s="8"/>
      <c r="F41" s="8"/>
      <c r="H41" s="8"/>
      <c r="I41" s="8" t="s">
        <v>2598</v>
      </c>
      <c r="J41" s="8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8" t="s">
        <v>4</v>
      </c>
      <c r="E42" s="8" t="s">
        <v>8</v>
      </c>
      <c r="F42" s="8"/>
      <c r="H42" s="8"/>
      <c r="I42" s="8" t="s">
        <v>2601</v>
      </c>
      <c r="J42" s="8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8" t="s">
        <v>2004</v>
      </c>
      <c r="E43" s="8"/>
      <c r="F43" s="8"/>
      <c r="H43" s="8"/>
      <c r="I43" s="8" t="s">
        <v>2604</v>
      </c>
      <c r="J43" s="8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8" t="s">
        <v>4</v>
      </c>
      <c r="E44" s="8" t="s">
        <v>8</v>
      </c>
      <c r="F44" s="8"/>
      <c r="H44" s="8"/>
      <c r="I44" s="8" t="s">
        <v>2607</v>
      </c>
      <c r="J44" s="8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8" t="s">
        <v>2004</v>
      </c>
      <c r="E45" s="8"/>
      <c r="F45" s="8"/>
      <c r="H45" s="8"/>
      <c r="I45" s="8" t="s">
        <v>2610</v>
      </c>
      <c r="J45" s="8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8" t="s">
        <v>4</v>
      </c>
      <c r="E46" s="8" t="s">
        <v>8</v>
      </c>
      <c r="F46" s="8"/>
      <c r="H46" s="8"/>
      <c r="I46" s="8" t="s">
        <v>2613</v>
      </c>
      <c r="J46" s="8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8" t="s">
        <v>2004</v>
      </c>
      <c r="E47" s="8"/>
      <c r="F47" s="8"/>
      <c r="H47" s="8"/>
      <c r="I47" s="8" t="s">
        <v>2616</v>
      </c>
      <c r="J47" s="8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8" t="s">
        <v>4</v>
      </c>
      <c r="E48" s="8" t="s">
        <v>8</v>
      </c>
      <c r="F48" s="8"/>
      <c r="H48" s="8"/>
      <c r="I48" s="8" t="s">
        <v>2619</v>
      </c>
      <c r="J48" s="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8" t="s">
        <v>2004</v>
      </c>
      <c r="E49" s="8"/>
      <c r="F49" s="8"/>
      <c r="H49" s="8"/>
      <c r="I49" s="8" t="s">
        <v>2622</v>
      </c>
      <c r="J49" s="8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8" t="s">
        <v>4</v>
      </c>
      <c r="E50" s="8" t="s">
        <v>8</v>
      </c>
      <c r="F50" s="8"/>
      <c r="H50" s="8"/>
      <c r="I50" s="8" t="s">
        <v>2625</v>
      </c>
      <c r="J50" s="8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8" t="s">
        <v>2004</v>
      </c>
      <c r="E51" s="8"/>
      <c r="F51" s="8"/>
      <c r="H51" s="8"/>
      <c r="I51" s="8" t="s">
        <v>2628</v>
      </c>
      <c r="J51" s="8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8" t="s">
        <v>7</v>
      </c>
      <c r="E52" s="8"/>
      <c r="F52" s="8"/>
      <c r="H52" s="8"/>
      <c r="I52" s="8" t="s">
        <v>4127</v>
      </c>
      <c r="J52" s="8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8" t="s">
        <v>4246</v>
      </c>
      <c r="E53" s="8" t="s">
        <v>4247</v>
      </c>
      <c r="F53" s="8"/>
      <c r="H53" s="8"/>
      <c r="I53" s="8" t="s">
        <v>4130</v>
      </c>
      <c r="J53" s="8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8" t="s">
        <v>4246</v>
      </c>
      <c r="E54" s="8" t="s">
        <v>4247</v>
      </c>
      <c r="F54" s="8"/>
      <c r="H54" s="8"/>
      <c r="I54" s="8" t="s">
        <v>4133</v>
      </c>
      <c r="J54" s="8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8" t="s">
        <v>4246</v>
      </c>
      <c r="E55" s="8" t="s">
        <v>4247</v>
      </c>
      <c r="F55" s="8"/>
      <c r="H55" s="8"/>
      <c r="I55" s="8" t="s">
        <v>4136</v>
      </c>
      <c r="J55" s="8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8" t="s">
        <v>4246</v>
      </c>
      <c r="E56" s="8" t="s">
        <v>4247</v>
      </c>
      <c r="F56" s="8"/>
      <c r="H56" s="8"/>
      <c r="I56" s="8" t="s">
        <v>4139</v>
      </c>
      <c r="J56" s="8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8" t="s">
        <v>4246</v>
      </c>
      <c r="E57" s="8" t="s">
        <v>4247</v>
      </c>
      <c r="F57" s="8"/>
      <c r="H57" s="8"/>
      <c r="I57" s="8" t="s">
        <v>4142</v>
      </c>
      <c r="J57" s="8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8" t="s">
        <v>7</v>
      </c>
      <c r="E58" s="8" t="s">
        <v>4248</v>
      </c>
      <c r="F58" s="8"/>
      <c r="H58" s="8"/>
      <c r="I58" s="8" t="s">
        <v>4145</v>
      </c>
      <c r="J58" s="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8" t="s">
        <v>7</v>
      </c>
      <c r="E59" s="8" t="s">
        <v>4248</v>
      </c>
      <c r="F59" s="8"/>
      <c r="H59" s="8"/>
      <c r="I59" s="8" t="s">
        <v>4148</v>
      </c>
      <c r="J59" s="8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8" t="s">
        <v>7</v>
      </c>
      <c r="E60" s="8" t="s">
        <v>4248</v>
      </c>
      <c r="F60" s="8"/>
      <c r="H60" s="8"/>
      <c r="I60" s="8" t="s">
        <v>4151</v>
      </c>
      <c r="J60" s="8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8" t="s">
        <v>7</v>
      </c>
      <c r="E61" s="8" t="s">
        <v>4248</v>
      </c>
      <c r="F61" s="8"/>
      <c r="H61" s="8"/>
      <c r="I61" s="8" t="s">
        <v>4154</v>
      </c>
      <c r="J61" s="8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8" t="s">
        <v>7</v>
      </c>
      <c r="E62" s="8" t="s">
        <v>4248</v>
      </c>
      <c r="F62" s="8"/>
      <c r="H62" s="8"/>
      <c r="I62" s="8" t="s">
        <v>4157</v>
      </c>
      <c r="J62" s="8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8" t="s">
        <v>7</v>
      </c>
      <c r="E63" s="8" t="s">
        <v>4248</v>
      </c>
      <c r="F63" s="8"/>
      <c r="H63" s="8"/>
      <c r="I63" s="8" t="s">
        <v>4160</v>
      </c>
      <c r="J63" s="8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8" t="s">
        <v>4</v>
      </c>
      <c r="E64" s="8" t="s">
        <v>8</v>
      </c>
      <c r="F64" s="8"/>
      <c r="H64" s="8"/>
      <c r="I64" s="8" t="s">
        <v>4163</v>
      </c>
      <c r="J64" s="8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8" t="s">
        <v>2004</v>
      </c>
      <c r="E65" s="8"/>
      <c r="F65" s="8"/>
      <c r="H65" s="8"/>
      <c r="I65" s="8" t="s">
        <v>4291</v>
      </c>
      <c r="J65" s="8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8" t="s">
        <v>4</v>
      </c>
      <c r="E66" s="8" t="s">
        <v>8</v>
      </c>
      <c r="F66" s="8"/>
      <c r="H66" s="8"/>
      <c r="I66" s="8" t="s">
        <v>4921</v>
      </c>
      <c r="J66" s="8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8" t="s">
        <v>4</v>
      </c>
      <c r="E67" s="8" t="s">
        <v>8</v>
      </c>
      <c r="F67" s="8"/>
      <c r="H67" s="8" t="s">
        <v>2936</v>
      </c>
      <c r="I67" s="8" t="s">
        <v>4924</v>
      </c>
      <c r="J67" s="8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8" t="s">
        <v>4</v>
      </c>
      <c r="E68" s="8" t="s">
        <v>8</v>
      </c>
      <c r="F68" s="8"/>
      <c r="H68" s="8" t="s">
        <v>2936</v>
      </c>
      <c r="I68" s="8" t="s">
        <v>4927</v>
      </c>
      <c r="J68" s="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8" t="s">
        <v>4</v>
      </c>
      <c r="E69" s="8" t="s">
        <v>8</v>
      </c>
      <c r="F69" s="8"/>
      <c r="H69" s="8" t="s">
        <v>2936</v>
      </c>
      <c r="I69" s="8" t="s">
        <v>4930</v>
      </c>
      <c r="J69" s="8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8" t="s">
        <v>4</v>
      </c>
      <c r="E70" s="8" t="s">
        <v>8</v>
      </c>
      <c r="F70" s="8"/>
      <c r="H70" s="8" t="s">
        <v>2936</v>
      </c>
      <c r="I70" s="8" t="s">
        <v>4933</v>
      </c>
      <c r="J70" s="8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8" t="s">
        <v>4</v>
      </c>
      <c r="E71" s="8" t="s">
        <v>8</v>
      </c>
      <c r="F71" s="8"/>
      <c r="H71" s="8" t="s">
        <v>2936</v>
      </c>
      <c r="I71" s="8" t="s">
        <v>4936</v>
      </c>
      <c r="J71" s="8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8" t="s">
        <v>4</v>
      </c>
      <c r="E72" s="8" t="s">
        <v>8</v>
      </c>
      <c r="F72" s="8"/>
      <c r="H72" s="8" t="s">
        <v>2936</v>
      </c>
      <c r="I72" s="8" t="s">
        <v>4939</v>
      </c>
      <c r="J72" s="8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8" t="s">
        <v>4</v>
      </c>
      <c r="E73" s="8" t="s">
        <v>8</v>
      </c>
      <c r="F73" s="8"/>
      <c r="H73" s="8" t="s">
        <v>2936</v>
      </c>
      <c r="I73" s="8" t="s">
        <v>4942</v>
      </c>
      <c r="J73" s="8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8" t="s">
        <v>4</v>
      </c>
      <c r="E74" s="8" t="s">
        <v>8</v>
      </c>
      <c r="F74" s="8"/>
      <c r="H74" s="8" t="s">
        <v>2936</v>
      </c>
      <c r="I74" s="8" t="s">
        <v>4945</v>
      </c>
      <c r="J74" s="8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8" t="s">
        <v>4</v>
      </c>
      <c r="E75" s="8" t="s">
        <v>8</v>
      </c>
      <c r="F75" s="8"/>
      <c r="H75" s="8" t="s">
        <v>2936</v>
      </c>
      <c r="I75" s="8" t="s">
        <v>4948</v>
      </c>
      <c r="J75" s="8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8" t="s">
        <v>4</v>
      </c>
      <c r="E76" s="8" t="s">
        <v>8</v>
      </c>
      <c r="F76" s="8"/>
      <c r="H76" s="8" t="s">
        <v>2936</v>
      </c>
      <c r="I76" s="8" t="s">
        <v>4951</v>
      </c>
      <c r="J76" s="8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8" t="s">
        <v>4</v>
      </c>
      <c r="E77" s="8" t="s">
        <v>8</v>
      </c>
      <c r="F77" s="8"/>
      <c r="H77" s="8" t="s">
        <v>2936</v>
      </c>
      <c r="I77" s="8" t="s">
        <v>4954</v>
      </c>
      <c r="J77" s="8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8" t="s">
        <v>4</v>
      </c>
      <c r="E78" s="8" t="s">
        <v>8</v>
      </c>
      <c r="F78" s="8"/>
      <c r="H78" s="8" t="s">
        <v>2936</v>
      </c>
      <c r="I78" s="8" t="s">
        <v>4957</v>
      </c>
      <c r="J78" s="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8" t="s">
        <v>4</v>
      </c>
      <c r="E79" s="8" t="s">
        <v>8</v>
      </c>
      <c r="F79" s="8"/>
      <c r="H79" s="8" t="s">
        <v>2936</v>
      </c>
      <c r="I79" s="8" t="s">
        <v>4960</v>
      </c>
      <c r="J79" s="8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8" t="s">
        <v>4</v>
      </c>
      <c r="E80" s="8" t="s">
        <v>8</v>
      </c>
      <c r="F80" s="8"/>
      <c r="H80" s="8" t="s">
        <v>2936</v>
      </c>
      <c r="I80" s="8" t="s">
        <v>4963</v>
      </c>
      <c r="J80" s="8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8" t="s">
        <v>4</v>
      </c>
      <c r="E81" s="8" t="s">
        <v>8</v>
      </c>
      <c r="F81" s="8"/>
      <c r="H81" s="8" t="s">
        <v>2936</v>
      </c>
      <c r="I81" s="8" t="s">
        <v>4966</v>
      </c>
      <c r="J81" s="8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8" t="s">
        <v>4</v>
      </c>
      <c r="E82" s="8" t="s">
        <v>8</v>
      </c>
      <c r="F82" s="8"/>
      <c r="H82" s="8" t="s">
        <v>2936</v>
      </c>
      <c r="I82" s="8" t="s">
        <v>4969</v>
      </c>
      <c r="J82" s="8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8" t="s">
        <v>4</v>
      </c>
      <c r="E83" s="8" t="s">
        <v>8</v>
      </c>
      <c r="F83" s="8"/>
      <c r="H83" s="8" t="s">
        <v>2936</v>
      </c>
      <c r="I83" s="8" t="s">
        <v>4972</v>
      </c>
      <c r="J83" s="8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8" t="s">
        <v>4</v>
      </c>
      <c r="E84" s="8" t="s">
        <v>8</v>
      </c>
      <c r="F84" s="8"/>
      <c r="H84" s="8" t="s">
        <v>2936</v>
      </c>
      <c r="I84" s="8" t="s">
        <v>4975</v>
      </c>
      <c r="J84" s="8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8" t="s">
        <v>2004</v>
      </c>
      <c r="E85" s="8" t="s">
        <v>8</v>
      </c>
      <c r="F85" s="8"/>
      <c r="H85" s="8"/>
      <c r="I85" s="8" t="s">
        <v>4978</v>
      </c>
      <c r="J85" s="8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8" t="s">
        <v>2004</v>
      </c>
      <c r="E86" s="8" t="s">
        <v>8</v>
      </c>
      <c r="F86" s="8"/>
      <c r="H86" s="8"/>
      <c r="I86" s="8" t="s">
        <v>5217</v>
      </c>
      <c r="J86" s="8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8" t="s">
        <v>4</v>
      </c>
      <c r="E87" s="8" t="s">
        <v>5478</v>
      </c>
      <c r="F87" s="8"/>
      <c r="H87" s="8"/>
      <c r="I87" s="8" t="s">
        <v>5459</v>
      </c>
      <c r="J87" s="8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8" t="s">
        <v>4</v>
      </c>
      <c r="E88" s="8" t="s">
        <v>8</v>
      </c>
      <c r="F88" s="8"/>
      <c r="H88" s="8"/>
      <c r="I88" s="8" t="s">
        <v>5462</v>
      </c>
      <c r="J88" s="8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8" t="s">
        <v>4</v>
      </c>
      <c r="E89" s="8" t="s">
        <v>5478</v>
      </c>
      <c r="F89" s="8"/>
      <c r="H89" s="8" t="s">
        <v>5479</v>
      </c>
      <c r="I89" s="8" t="s">
        <v>5465</v>
      </c>
      <c r="J89" s="8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8" t="s">
        <v>2004</v>
      </c>
      <c r="E90" s="8" t="s">
        <v>8</v>
      </c>
      <c r="F90" s="8"/>
      <c r="H90" s="8"/>
      <c r="I90" s="8" t="s">
        <v>5657</v>
      </c>
      <c r="J90" s="8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8" t="s">
        <v>2004</v>
      </c>
      <c r="E91" s="8" t="s">
        <v>8</v>
      </c>
      <c r="F91" s="8"/>
      <c r="H91" s="8"/>
      <c r="I91" s="8" t="s">
        <v>5660</v>
      </c>
      <c r="J91" s="8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8" t="s">
        <v>2004</v>
      </c>
      <c r="E92" s="8" t="s">
        <v>8</v>
      </c>
      <c r="F92" s="8"/>
      <c r="H92" s="8"/>
      <c r="I92" s="8" t="s">
        <v>5663</v>
      </c>
      <c r="J92" s="8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8" t="s">
        <v>4</v>
      </c>
      <c r="E93" s="8" t="s">
        <v>8</v>
      </c>
      <c r="F93" s="8"/>
      <c r="H93" s="8"/>
      <c r="I93" s="8" t="s">
        <v>6005</v>
      </c>
      <c r="J93" s="8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8" t="s">
        <v>650</v>
      </c>
      <c r="E94" s="8" t="s">
        <v>6190</v>
      </c>
      <c r="F94" s="8"/>
      <c r="H94" s="8"/>
      <c r="I94" s="8" t="s">
        <v>6008</v>
      </c>
      <c r="J94" s="8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8" t="s">
        <v>650</v>
      </c>
      <c r="E95" s="8" t="s">
        <v>6190</v>
      </c>
      <c r="F95" s="8"/>
      <c r="H95" s="8" t="s">
        <v>2936</v>
      </c>
      <c r="I95" s="8" t="s">
        <v>6011</v>
      </c>
      <c r="J95" s="8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8" t="s">
        <v>4</v>
      </c>
      <c r="E96" s="8" t="s">
        <v>8</v>
      </c>
      <c r="F96" s="8"/>
      <c r="H96" s="8"/>
      <c r="I96" s="8" t="s">
        <v>6014</v>
      </c>
      <c r="J96" s="8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8" t="s">
        <v>2004</v>
      </c>
      <c r="E97" s="8" t="s">
        <v>8</v>
      </c>
      <c r="F97" s="8"/>
      <c r="H97" s="8"/>
      <c r="I97" s="8" t="s">
        <v>6017</v>
      </c>
      <c r="J97" s="8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8" t="s">
        <v>2004</v>
      </c>
      <c r="E98" s="8" t="s">
        <v>8</v>
      </c>
      <c r="F98" s="8"/>
      <c r="H98" s="8"/>
      <c r="I98" s="8" t="s">
        <v>6252</v>
      </c>
      <c r="J98" s="8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8" t="s">
        <v>4</v>
      </c>
      <c r="E99" s="8" t="s">
        <v>8</v>
      </c>
      <c r="F99" s="8"/>
      <c r="H99" s="8"/>
      <c r="I99" s="8" t="s">
        <v>6500</v>
      </c>
      <c r="J99" s="8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8" t="s">
        <v>4</v>
      </c>
      <c r="E100" s="8" t="s">
        <v>8</v>
      </c>
      <c r="F100" s="8"/>
      <c r="H100" s="8"/>
      <c r="I100" s="8" t="s">
        <v>6503</v>
      </c>
      <c r="J100" s="8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8" t="s">
        <v>2004</v>
      </c>
      <c r="E101" s="8" t="s">
        <v>8</v>
      </c>
      <c r="F101" s="8"/>
      <c r="H101" s="8"/>
      <c r="I101" s="8" t="s">
        <v>6641</v>
      </c>
      <c r="J101" s="8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8" t="s">
        <v>4</v>
      </c>
      <c r="E102" s="8" t="s">
        <v>8</v>
      </c>
      <c r="F102" s="8"/>
      <c r="H102" s="8"/>
      <c r="I102" s="8" t="s">
        <v>6823</v>
      </c>
      <c r="J102" s="8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8" t="s">
        <v>4</v>
      </c>
      <c r="E103" s="8" t="s">
        <v>8</v>
      </c>
      <c r="F103" s="8"/>
      <c r="H103" s="8" t="s">
        <v>2936</v>
      </c>
      <c r="I103" s="8" t="s">
        <v>6826</v>
      </c>
      <c r="J103" s="8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s="8" t="s">
        <v>4</v>
      </c>
      <c r="E104" s="8" t="s">
        <v>8</v>
      </c>
      <c r="F104" s="8"/>
      <c r="H104" s="8"/>
      <c r="I104" s="8" t="s">
        <v>7127</v>
      </c>
      <c r="J104" s="8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s="8" t="s">
        <v>4</v>
      </c>
      <c r="E105" s="8" t="s">
        <v>8</v>
      </c>
      <c r="F105" s="8"/>
      <c r="H105" s="8" t="s">
        <v>2936</v>
      </c>
      <c r="I105" s="8" t="s">
        <v>7130</v>
      </c>
      <c r="J105" s="8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s="8" t="s">
        <v>2004</v>
      </c>
      <c r="E106" s="8" t="s">
        <v>8</v>
      </c>
      <c r="F106" s="8"/>
      <c r="H106" s="8"/>
      <c r="I106" s="8" t="s">
        <v>7133</v>
      </c>
      <c r="J106" s="8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s="8" t="s">
        <v>2004</v>
      </c>
      <c r="E107" s="8" t="s">
        <v>8</v>
      </c>
      <c r="F107" s="8"/>
      <c r="H107" s="8" t="s">
        <v>2014</v>
      </c>
      <c r="I107" s="8" t="s">
        <v>7136</v>
      </c>
      <c r="J107" s="8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s="8" t="s">
        <v>2004</v>
      </c>
      <c r="E108" s="8" t="s">
        <v>8</v>
      </c>
      <c r="F108" s="8"/>
      <c r="H108" s="8"/>
      <c r="I108" s="8" t="s">
        <v>7208</v>
      </c>
      <c r="J108" s="8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s="8" t="s">
        <v>2004</v>
      </c>
      <c r="E109" s="8" t="s">
        <v>8</v>
      </c>
      <c r="F109" s="8"/>
      <c r="H109" s="8"/>
      <c r="I109" s="8" t="s">
        <v>7401</v>
      </c>
      <c r="J109" s="8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s="8" t="s">
        <v>2004</v>
      </c>
      <c r="E110" s="8" t="s">
        <v>8</v>
      </c>
      <c r="F110" s="8"/>
      <c r="H110" s="8"/>
      <c r="I110" s="8" t="s">
        <v>7404</v>
      </c>
      <c r="J110" s="8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s="8" t="s">
        <v>4</v>
      </c>
      <c r="E111" s="8" t="s">
        <v>7417</v>
      </c>
      <c r="F111" s="8"/>
      <c r="H111" s="8"/>
      <c r="I111" s="8" t="s">
        <v>7407</v>
      </c>
      <c r="J111" s="8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s="8" t="s">
        <v>4</v>
      </c>
      <c r="E112" s="8" t="s">
        <v>7715</v>
      </c>
      <c r="F112" s="8"/>
      <c r="H112" s="8"/>
      <c r="I112" s="8" t="s">
        <v>7583</v>
      </c>
      <c r="J112" s="8" t="s">
        <v>2987</v>
      </c>
      <c r="K112" t="s">
        <v>7584</v>
      </c>
      <c r="L112" t="s">
        <v>7585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s="8" t="s">
        <v>4</v>
      </c>
      <c r="E113" s="8" t="s">
        <v>7716</v>
      </c>
      <c r="F113" s="8"/>
      <c r="H113" s="8" t="s">
        <v>2936</v>
      </c>
      <c r="I113" s="8" t="s">
        <v>7586</v>
      </c>
      <c r="J113" s="8" t="s">
        <v>2987</v>
      </c>
      <c r="K113" t="s">
        <v>7587</v>
      </c>
      <c r="L113" t="s">
        <v>7588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s="8" t="s">
        <v>4</v>
      </c>
      <c r="E114" s="8" t="s">
        <v>8</v>
      </c>
      <c r="F114" s="8"/>
      <c r="H114" s="8" t="s">
        <v>7717</v>
      </c>
      <c r="I114" s="8" t="s">
        <v>7589</v>
      </c>
      <c r="J114" s="8" t="s">
        <v>2987</v>
      </c>
      <c r="K114" t="s">
        <v>7590</v>
      </c>
      <c r="L114" t="s">
        <v>7591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s="8" t="s">
        <v>4</v>
      </c>
      <c r="E115" s="8" t="s">
        <v>8</v>
      </c>
      <c r="F115" s="8"/>
      <c r="H115" s="8" t="s">
        <v>3078</v>
      </c>
      <c r="I115" s="8" t="s">
        <v>7592</v>
      </c>
      <c r="J115" s="8" t="s">
        <v>2987</v>
      </c>
      <c r="K115" t="s">
        <v>7593</v>
      </c>
      <c r="L115" t="s">
        <v>7594</v>
      </c>
      <c r="M115" s="3" t="str">
        <f>HYPERLINK(склад2въезд13192021222378[[#This Row],[RelativePath]])</f>
        <v>12 Площадка 3 кран\K07156189_20_20251225T174355Z.jpg</v>
      </c>
    </row>
    <row r="116" spans="1:13" x14ac:dyDescent="0.25">
      <c r="A116" s="2" t="s">
        <v>17</v>
      </c>
      <c r="B116" s="4">
        <v>46017</v>
      </c>
      <c r="C116" s="5">
        <v>0.42072916666666665</v>
      </c>
      <c r="D116" s="8" t="s">
        <v>4</v>
      </c>
      <c r="E116" s="8" t="s">
        <v>8</v>
      </c>
      <c r="F116" s="8"/>
      <c r="H116" s="8"/>
      <c r="I116" s="8" t="s">
        <v>7777</v>
      </c>
      <c r="J116" s="8" t="s">
        <v>2987</v>
      </c>
      <c r="K116" t="s">
        <v>7778</v>
      </c>
      <c r="L116" t="s">
        <v>7779</v>
      </c>
      <c r="M116" s="3" t="str">
        <f>HYPERLINK(склад2въезд13192021222378[[#This Row],[RelativePath]])</f>
        <v>12 Площадка 3 кран\K07156189_20_20251226T100551Z.jpg</v>
      </c>
    </row>
    <row r="117" spans="1:13" x14ac:dyDescent="0.25">
      <c r="A117" s="2" t="s">
        <v>17</v>
      </c>
      <c r="B117" s="4">
        <v>46017</v>
      </c>
      <c r="C117" s="5">
        <v>0.43453703703703705</v>
      </c>
      <c r="D117" s="8" t="s">
        <v>4</v>
      </c>
      <c r="E117" s="8" t="s">
        <v>8</v>
      </c>
      <c r="F117" s="8"/>
      <c r="H117" s="8" t="s">
        <v>2936</v>
      </c>
      <c r="I117" s="8" t="s">
        <v>7780</v>
      </c>
      <c r="J117" s="8" t="s">
        <v>2987</v>
      </c>
      <c r="K117" t="s">
        <v>7781</v>
      </c>
      <c r="L117" t="s">
        <v>7782</v>
      </c>
      <c r="M117" s="3" t="str">
        <f>HYPERLINK(склад2въезд13192021222378[[#This Row],[RelativePath]])</f>
        <v>12 Площадка 3 кран\K07156189_20_20251226T102544Z.jpg</v>
      </c>
    </row>
    <row r="118" spans="1:13" x14ac:dyDescent="0.25">
      <c r="A118" s="2" t="s">
        <v>17</v>
      </c>
      <c r="B118" s="4">
        <v>46017</v>
      </c>
      <c r="C118" s="5">
        <v>0.50521990740740741</v>
      </c>
      <c r="D118" s="8" t="s">
        <v>4</v>
      </c>
      <c r="E118" s="8" t="s">
        <v>8</v>
      </c>
      <c r="F118" s="8"/>
      <c r="H118" s="8" t="s">
        <v>2936</v>
      </c>
      <c r="I118" s="8" t="s">
        <v>7783</v>
      </c>
      <c r="J118" s="8" t="s">
        <v>2987</v>
      </c>
      <c r="K118" t="s">
        <v>7784</v>
      </c>
      <c r="L118" t="s">
        <v>7785</v>
      </c>
      <c r="M118" s="3" t="str">
        <f>HYPERLINK(склад2въезд13192021222378[[#This Row],[RelativePath]])</f>
        <v>12 Площадка 3 кран\K07156189_20_20251226T120731Z.jpg</v>
      </c>
    </row>
    <row r="119" spans="1:13" x14ac:dyDescent="0.25">
      <c r="A119" s="2" t="s">
        <v>17</v>
      </c>
      <c r="B119" s="4">
        <v>46017</v>
      </c>
      <c r="C119" s="5">
        <v>0.58668981481481486</v>
      </c>
      <c r="D119" s="8" t="s">
        <v>4</v>
      </c>
      <c r="E119" s="8" t="s">
        <v>8</v>
      </c>
      <c r="F119" s="8"/>
      <c r="H119" s="8" t="s">
        <v>2936</v>
      </c>
      <c r="I119" s="8" t="s">
        <v>7786</v>
      </c>
      <c r="J119" s="8" t="s">
        <v>2987</v>
      </c>
      <c r="K119" t="s">
        <v>7787</v>
      </c>
      <c r="L119" t="s">
        <v>7788</v>
      </c>
      <c r="M119" s="3" t="str">
        <f>HYPERLINK(склад2въезд13192021222378[[#This Row],[RelativePath]])</f>
        <v>12 Площадка 3 кран\K07156189_20_20251226T140450Z.jpg</v>
      </c>
    </row>
    <row r="120" spans="1:13" x14ac:dyDescent="0.25">
      <c r="A120" s="2" t="s">
        <v>17</v>
      </c>
      <c r="B120" s="4">
        <v>46017</v>
      </c>
      <c r="C120" s="5">
        <v>0.74047453703703703</v>
      </c>
      <c r="D120" s="8" t="s">
        <v>4</v>
      </c>
      <c r="E120" s="8" t="s">
        <v>8</v>
      </c>
      <c r="F120" s="8"/>
      <c r="H120" s="8" t="s">
        <v>2936</v>
      </c>
      <c r="I120" s="8" t="s">
        <v>7789</v>
      </c>
      <c r="J120" s="8" t="s">
        <v>2987</v>
      </c>
      <c r="K120" t="s">
        <v>7790</v>
      </c>
      <c r="L120" t="s">
        <v>7791</v>
      </c>
      <c r="M120" s="3" t="str">
        <f>HYPERLINK(склад2въезд13192021222378[[#This Row],[RelativePath]])</f>
        <v>12 Площадка 3 кран\K07156189_20_20251226T174617Z.jpg</v>
      </c>
    </row>
    <row r="121" spans="1:13" x14ac:dyDescent="0.25">
      <c r="A121" s="2" t="s">
        <v>18</v>
      </c>
      <c r="B121" s="4">
        <v>46018</v>
      </c>
      <c r="C121" s="5">
        <v>0.41244212962962962</v>
      </c>
      <c r="D121" s="8" t="s">
        <v>4</v>
      </c>
      <c r="E121" s="8" t="s">
        <v>8</v>
      </c>
      <c r="F121" s="8"/>
      <c r="H121" s="8"/>
      <c r="I121" s="8" t="s">
        <v>7971</v>
      </c>
      <c r="J121" s="8" t="s">
        <v>2987</v>
      </c>
      <c r="K121" t="s">
        <v>7972</v>
      </c>
      <c r="L121" t="s">
        <v>7973</v>
      </c>
      <c r="M121" s="3" t="str">
        <f>HYPERLINK(склад2въезд13192021222378[[#This Row],[RelativePath]])</f>
        <v>12 Площадка 3 кран\K07156189_20_20251227T095355Z.jpg</v>
      </c>
    </row>
    <row r="122" spans="1:13" x14ac:dyDescent="0.25">
      <c r="A122" s="2" t="s">
        <v>18</v>
      </c>
      <c r="B122" s="4">
        <v>46018</v>
      </c>
      <c r="C122" s="5">
        <v>0.6647453703703704</v>
      </c>
      <c r="D122" s="8" t="s">
        <v>4</v>
      </c>
      <c r="E122" s="8" t="s">
        <v>12</v>
      </c>
      <c r="F122" s="8"/>
      <c r="H122" s="8"/>
      <c r="I122" s="8" t="s">
        <v>7974</v>
      </c>
      <c r="J122" s="8" t="s">
        <v>2987</v>
      </c>
      <c r="K122" t="s">
        <v>7975</v>
      </c>
      <c r="L122" t="s">
        <v>7976</v>
      </c>
      <c r="M122" s="3" t="str">
        <f>HYPERLINK(склад2въезд13192021222378[[#This Row],[RelativePath]])</f>
        <v>12 Площадка 3 кран\K07156189_20_20251227T155714Z.jpg</v>
      </c>
    </row>
    <row r="123" spans="1:13" x14ac:dyDescent="0.25">
      <c r="A123" s="2" t="s">
        <v>22</v>
      </c>
      <c r="B123" s="4">
        <v>46019</v>
      </c>
      <c r="C123" s="5">
        <v>0.42016203703703703</v>
      </c>
      <c r="D123" s="8" t="s">
        <v>4</v>
      </c>
      <c r="E123" s="8" t="s">
        <v>8</v>
      </c>
      <c r="F123" s="8"/>
      <c r="H123" s="8"/>
      <c r="I123" s="8" t="s">
        <v>7977</v>
      </c>
      <c r="J123" s="8" t="s">
        <v>2987</v>
      </c>
      <c r="K123" t="s">
        <v>7978</v>
      </c>
      <c r="L123" t="s">
        <v>7979</v>
      </c>
      <c r="M123" s="3" t="str">
        <f>HYPERLINK(склад2въезд13192021222378[[#This Row],[RelativePath]])</f>
        <v>12 Площадка 3 кран\K07156189_20_20251228T100502Z.jpg</v>
      </c>
    </row>
    <row r="124" spans="1:13" x14ac:dyDescent="0.25">
      <c r="A124" s="2" t="s">
        <v>22</v>
      </c>
      <c r="B124" s="4">
        <v>46019</v>
      </c>
      <c r="C124" s="5">
        <v>0.59362268518518524</v>
      </c>
      <c r="D124" s="8" t="s">
        <v>4</v>
      </c>
      <c r="E124" s="8" t="s">
        <v>12</v>
      </c>
      <c r="F124" s="8"/>
      <c r="H124" s="8"/>
      <c r="I124" s="8" t="s">
        <v>7980</v>
      </c>
      <c r="J124" s="8" t="s">
        <v>2987</v>
      </c>
      <c r="K124" t="s">
        <v>7981</v>
      </c>
      <c r="L124" t="s">
        <v>7982</v>
      </c>
      <c r="M124" s="3" t="str">
        <f>HYPERLINK(склад2въезд13192021222378[[#This Row],[RelativePath]])</f>
        <v>12 Площадка 3 кран\K07156189_20_20251228T141449Z.jpg</v>
      </c>
    </row>
    <row r="125" spans="1:13" x14ac:dyDescent="0.25">
      <c r="A125" s="2" t="s">
        <v>13</v>
      </c>
      <c r="B125" s="4">
        <v>46020</v>
      </c>
      <c r="C125" s="5">
        <v>0.59993055555555552</v>
      </c>
      <c r="D125" s="8" t="s">
        <v>2004</v>
      </c>
      <c r="E125" s="8" t="s">
        <v>8</v>
      </c>
      <c r="F125" s="8"/>
      <c r="H125" s="8"/>
      <c r="I125" s="8" t="s">
        <v>8315</v>
      </c>
      <c r="J125" s="8" t="s">
        <v>2987</v>
      </c>
      <c r="K125" t="s">
        <v>8316</v>
      </c>
      <c r="L125" t="s">
        <v>8317</v>
      </c>
      <c r="M125" s="3" t="str">
        <f>HYPERLINK(склад2въезд13192021222378[[#This Row],[RelativePath]])</f>
        <v>12 Площадка 3 кран\K07156189_20_20251229T142354Z.jpg</v>
      </c>
    </row>
    <row r="126" spans="1:13" x14ac:dyDescent="0.25">
      <c r="A126" s="2" t="s">
        <v>14</v>
      </c>
      <c r="B126" s="4">
        <v>46021</v>
      </c>
      <c r="C126" s="5">
        <v>0.58385416666666667</v>
      </c>
      <c r="D126" s="8" t="s">
        <v>2004</v>
      </c>
      <c r="E126" s="8" t="s">
        <v>8</v>
      </c>
      <c r="F126" s="8"/>
      <c r="H126" s="8"/>
      <c r="I126" s="8" t="s">
        <v>8318</v>
      </c>
      <c r="J126" s="8" t="s">
        <v>2987</v>
      </c>
      <c r="K126" t="s">
        <v>8319</v>
      </c>
      <c r="L126" t="s">
        <v>8320</v>
      </c>
      <c r="M126" s="3" t="str">
        <f>HYPERLINK(склад2въезд13192021222378[[#This Row],[RelativePath]])</f>
        <v>12 Площадка 3 кран\K07156189_20_20251230T140045Z.jpg</v>
      </c>
    </row>
    <row r="127" spans="1:13" x14ac:dyDescent="0.25">
      <c r="A127" s="2" t="s">
        <v>15</v>
      </c>
      <c r="B127" s="4">
        <v>46022</v>
      </c>
      <c r="C127" s="5">
        <v>0.54982638888888891</v>
      </c>
      <c r="D127" s="8" t="s">
        <v>2004</v>
      </c>
      <c r="E127" s="8" t="s">
        <v>8</v>
      </c>
      <c r="F127" s="8"/>
      <c r="H127" s="8"/>
      <c r="I127" s="8" t="s">
        <v>8321</v>
      </c>
      <c r="J127" s="8" t="s">
        <v>2987</v>
      </c>
      <c r="K127" t="s">
        <v>8322</v>
      </c>
      <c r="L127" t="s">
        <v>8323</v>
      </c>
      <c r="M127" s="3" t="str">
        <f>HYPERLINK(склад2въезд13192021222378[[#This Row],[RelativePath]])</f>
        <v>12 Площадка 3 кран\K07156189_20_20251231T131145Z.jpg</v>
      </c>
    </row>
    <row r="128" spans="1:13" x14ac:dyDescent="0.25">
      <c r="A128" s="2" t="s">
        <v>16</v>
      </c>
      <c r="B128" s="4">
        <v>46023</v>
      </c>
      <c r="C128" s="5">
        <v>0.46509259259259261</v>
      </c>
      <c r="D128" s="8" t="s">
        <v>2004</v>
      </c>
      <c r="E128" s="8" t="s">
        <v>8</v>
      </c>
      <c r="F128" s="8"/>
      <c r="H128" s="8"/>
      <c r="I128" s="8" t="s">
        <v>8324</v>
      </c>
      <c r="J128" s="8" t="s">
        <v>2987</v>
      </c>
      <c r="K128" t="s">
        <v>8325</v>
      </c>
      <c r="L128" t="s">
        <v>8326</v>
      </c>
      <c r="M128" s="3" t="str">
        <f>HYPERLINK(склад2въезд13192021222378[[#This Row],[RelativePath]])</f>
        <v>12 Площадка 3 кран\K07156189_20_20260101T110944Z.jpg</v>
      </c>
    </row>
    <row r="129" spans="1:13" x14ac:dyDescent="0.25">
      <c r="A129" s="2" t="s">
        <v>16</v>
      </c>
      <c r="B129" s="4">
        <v>46023</v>
      </c>
      <c r="C129" s="5">
        <v>0.68612268518518515</v>
      </c>
      <c r="D129" s="8" t="s">
        <v>2004</v>
      </c>
      <c r="E129" s="8" t="s">
        <v>8</v>
      </c>
      <c r="F129" s="8"/>
      <c r="H129" s="8"/>
      <c r="I129" s="8" t="s">
        <v>8327</v>
      </c>
      <c r="J129" s="8" t="s">
        <v>2987</v>
      </c>
      <c r="K129" t="s">
        <v>8328</v>
      </c>
      <c r="L129" t="s">
        <v>8329</v>
      </c>
      <c r="M129" s="3" t="str">
        <f>HYPERLINK(склад2въезд13192021222378[[#This Row],[RelativePath]])</f>
        <v>12 Площадка 3 кран\K07156189_20_20260101T162801Z.jpg</v>
      </c>
    </row>
    <row r="130" spans="1:13" x14ac:dyDescent="0.25">
      <c r="A130" s="2" t="s">
        <v>17</v>
      </c>
      <c r="B130" s="4">
        <v>46024</v>
      </c>
      <c r="C130" s="5">
        <v>0.69896990740740739</v>
      </c>
      <c r="D130" s="8" t="s">
        <v>2004</v>
      </c>
      <c r="E130" s="8" t="s">
        <v>8</v>
      </c>
      <c r="F130" s="8"/>
      <c r="H130" s="8"/>
      <c r="I130" s="8" t="s">
        <v>8456</v>
      </c>
      <c r="J130" s="8" t="s">
        <v>2987</v>
      </c>
      <c r="K130" t="s">
        <v>8457</v>
      </c>
      <c r="L130" t="s">
        <v>8458</v>
      </c>
      <c r="M130" s="3" t="str">
        <f>HYPERLINK(склад2въезд13192021222378[[#This Row],[RelativePath]])</f>
        <v>12 Площадка 3 кран\K07156189_20_20260102T164631Z.jpg</v>
      </c>
    </row>
    <row r="131" spans="1:13" x14ac:dyDescent="0.25">
      <c r="A131" s="2" t="s">
        <v>18</v>
      </c>
      <c r="B131" s="4">
        <v>46025</v>
      </c>
      <c r="C131" s="5">
        <v>0.74777777777777776</v>
      </c>
      <c r="D131" s="8" t="s">
        <v>2004</v>
      </c>
      <c r="E131" s="8" t="s">
        <v>8</v>
      </c>
      <c r="F131" s="8"/>
      <c r="H131" s="8"/>
      <c r="I131" s="8" t="s">
        <v>8459</v>
      </c>
      <c r="J131" s="8" t="s">
        <v>2987</v>
      </c>
      <c r="K131" t="s">
        <v>8460</v>
      </c>
      <c r="L131" t="s">
        <v>8461</v>
      </c>
      <c r="M131" s="3" t="str">
        <f>HYPERLINK(склад2въезд13192021222378[[#This Row],[RelativePath]])</f>
        <v>12 Площадка 3 кран\K07156189_20_20260103T175648Z.jpg</v>
      </c>
    </row>
    <row r="132" spans="1:13" x14ac:dyDescent="0.25">
      <c r="A132" s="2" t="s">
        <v>22</v>
      </c>
      <c r="B132" s="4">
        <v>46026</v>
      </c>
      <c r="C132" s="5">
        <v>0.34827546296296297</v>
      </c>
      <c r="D132" s="8" t="s">
        <v>2004</v>
      </c>
      <c r="E132" s="8" t="s">
        <v>8</v>
      </c>
      <c r="F132" s="8"/>
      <c r="H132" s="8"/>
      <c r="I132" s="8" t="s">
        <v>8462</v>
      </c>
      <c r="J132" s="8" t="s">
        <v>2987</v>
      </c>
      <c r="K132" t="s">
        <v>8463</v>
      </c>
      <c r="L132" t="s">
        <v>8464</v>
      </c>
      <c r="M132" s="3" t="str">
        <f>HYPERLINK(склад2въезд13192021222378[[#This Row],[RelativePath]])</f>
        <v>12 Площадка 3 кран\K07156189_20_20260104T082131Z.jpg</v>
      </c>
    </row>
    <row r="133" spans="1:13" x14ac:dyDescent="0.25">
      <c r="A133" s="2" t="s">
        <v>13</v>
      </c>
      <c r="B133" s="4">
        <v>46027</v>
      </c>
      <c r="C133" s="5">
        <v>0.70246527777777779</v>
      </c>
      <c r="D133" s="8" t="s">
        <v>2004</v>
      </c>
      <c r="E133" s="8" t="s">
        <v>8</v>
      </c>
      <c r="F133" s="8"/>
      <c r="H133" s="8"/>
      <c r="I133" s="8" t="s">
        <v>8757</v>
      </c>
      <c r="J133" s="8" t="s">
        <v>2987</v>
      </c>
      <c r="K133" t="s">
        <v>8758</v>
      </c>
      <c r="L133" t="s">
        <v>8759</v>
      </c>
      <c r="M133" s="3" t="str">
        <f>HYPERLINK(склад2въезд13192021222378[[#This Row],[RelativePath]])</f>
        <v>12 Площадка 3 кран\K07156189_20_20260105T165133Z.jpg</v>
      </c>
    </row>
    <row r="134" spans="1:13" x14ac:dyDescent="0.25">
      <c r="A134" s="2" t="s">
        <v>14</v>
      </c>
      <c r="B134" s="4">
        <v>46028</v>
      </c>
      <c r="C134" s="5">
        <v>0.68702546296296296</v>
      </c>
      <c r="D134" s="8" t="s">
        <v>2004</v>
      </c>
      <c r="E134" s="8" t="s">
        <v>8</v>
      </c>
      <c r="F134" s="8"/>
      <c r="H134" s="8"/>
      <c r="I134" s="8" t="s">
        <v>8760</v>
      </c>
      <c r="J134" s="8" t="s">
        <v>2987</v>
      </c>
      <c r="K134" t="s">
        <v>8761</v>
      </c>
      <c r="L134" t="s">
        <v>8762</v>
      </c>
      <c r="M134" s="3" t="str">
        <f>HYPERLINK(склад2въезд13192021222378[[#This Row],[RelativePath]])</f>
        <v>12 Площадка 3 кран\K07156189_20_20260106T162919Z.jpg</v>
      </c>
    </row>
    <row r="135" spans="1:13" x14ac:dyDescent="0.25">
      <c r="A135" s="2" t="s">
        <v>15</v>
      </c>
      <c r="B135" s="4">
        <v>46029</v>
      </c>
      <c r="C135" s="5">
        <v>0.75293981481481487</v>
      </c>
      <c r="D135" s="8" t="s">
        <v>2004</v>
      </c>
      <c r="E135" s="8" t="s">
        <v>8</v>
      </c>
      <c r="F135" s="8"/>
      <c r="H135" s="8"/>
      <c r="I135" s="8" t="s">
        <v>8763</v>
      </c>
      <c r="J135" s="8" t="s">
        <v>2987</v>
      </c>
      <c r="K135" t="s">
        <v>8764</v>
      </c>
      <c r="L135" t="s">
        <v>8765</v>
      </c>
      <c r="M135" s="3" t="str">
        <f>HYPERLINK(склад2въезд13192021222378[[#This Row],[RelativePath]])</f>
        <v>12 Площадка 3 кран\K07156189_20_20260107T180414Z.jpg</v>
      </c>
    </row>
    <row r="136" spans="1:13" x14ac:dyDescent="0.25">
      <c r="A136" s="2" t="s">
        <v>16</v>
      </c>
      <c r="B136" s="4">
        <v>46030</v>
      </c>
      <c r="C136" s="5">
        <v>0.76821759259259259</v>
      </c>
      <c r="D136" s="8" t="s">
        <v>2004</v>
      </c>
      <c r="E136" s="8" t="s">
        <v>8</v>
      </c>
      <c r="F136" s="8"/>
      <c r="H136" s="8"/>
      <c r="I136" s="8" t="s">
        <v>8766</v>
      </c>
      <c r="J136" s="8" t="s">
        <v>2987</v>
      </c>
      <c r="K136" t="s">
        <v>8767</v>
      </c>
      <c r="L136" t="s">
        <v>8768</v>
      </c>
      <c r="M136" s="3" t="str">
        <f>HYPERLINK(склад2въезд13192021222378[[#This Row],[RelativePath]])</f>
        <v>12 Площадка 3 кран\K07156189_20_20260108T182614Z.jpg</v>
      </c>
    </row>
    <row r="137" spans="1:13" x14ac:dyDescent="0.25">
      <c r="A137" s="2" t="s">
        <v>17</v>
      </c>
      <c r="B137" s="4">
        <v>46031</v>
      </c>
      <c r="C137" s="5">
        <v>0.7603819444444444</v>
      </c>
      <c r="D137" s="8" t="s">
        <v>2004</v>
      </c>
      <c r="E137" s="8" t="s">
        <v>8</v>
      </c>
      <c r="F137" s="8"/>
      <c r="H137" s="8"/>
      <c r="I137" s="8" t="s">
        <v>8769</v>
      </c>
      <c r="J137" s="8" t="s">
        <v>2987</v>
      </c>
      <c r="K137" t="s">
        <v>8770</v>
      </c>
      <c r="L137" t="s">
        <v>8771</v>
      </c>
      <c r="M137" s="3" t="str">
        <f>HYPERLINK(склад2въезд13192021222378[[#This Row],[RelativePath]])</f>
        <v>12 Площадка 3 кран\K07156189_20_20260109T181457Z.jpg</v>
      </c>
    </row>
    <row r="138" spans="1:13" x14ac:dyDescent="0.25">
      <c r="A138" s="2" t="s">
        <v>18</v>
      </c>
      <c r="B138" s="4">
        <v>46032</v>
      </c>
      <c r="C138" s="5">
        <v>0.6454050925925926</v>
      </c>
      <c r="D138" s="8" t="s">
        <v>2004</v>
      </c>
      <c r="E138" s="8" t="s">
        <v>8</v>
      </c>
      <c r="F138" s="8"/>
      <c r="H138" s="8"/>
      <c r="I138" s="8" t="s">
        <v>8772</v>
      </c>
      <c r="J138" s="8" t="s">
        <v>2987</v>
      </c>
      <c r="K138" t="s">
        <v>8773</v>
      </c>
      <c r="L138" t="s">
        <v>8774</v>
      </c>
      <c r="M138" s="3" t="str">
        <f>HYPERLINK(склад2въезд13192021222378[[#This Row],[RelativePath]])</f>
        <v>12 Площадка 3 кран\K07156189_20_20260110T152923Z.jpg</v>
      </c>
    </row>
    <row r="139" spans="1:13" x14ac:dyDescent="0.25">
      <c r="A139" s="2" t="s">
        <v>22</v>
      </c>
      <c r="B139" s="4">
        <v>46033</v>
      </c>
      <c r="C139" s="5">
        <v>0.42637731481481483</v>
      </c>
      <c r="D139" s="8" t="s">
        <v>2004</v>
      </c>
      <c r="E139" s="8" t="s">
        <v>8</v>
      </c>
      <c r="F139" s="8"/>
      <c r="H139" s="8"/>
      <c r="I139" s="8" t="s">
        <v>8775</v>
      </c>
      <c r="J139" s="8" t="s">
        <v>2987</v>
      </c>
      <c r="K139" t="s">
        <v>8776</v>
      </c>
      <c r="L139" t="s">
        <v>8777</v>
      </c>
      <c r="M139" s="3" t="str">
        <f>HYPERLINK(склад2въезд13192021222378[[#This Row],[RelativePath]])</f>
        <v>12 Площадка 3 кран\K07156189_20_20260111T101359Z.jpg</v>
      </c>
    </row>
    <row r="140" spans="1:13" x14ac:dyDescent="0.25">
      <c r="A140" s="2" t="s">
        <v>13</v>
      </c>
      <c r="B140" s="4">
        <v>46034</v>
      </c>
      <c r="C140" s="5">
        <v>0.45658564814814817</v>
      </c>
      <c r="D140" s="8" t="s">
        <v>4</v>
      </c>
      <c r="E140" s="8" t="s">
        <v>5480</v>
      </c>
      <c r="F140" s="8" t="s">
        <v>9190</v>
      </c>
      <c r="H140" s="8"/>
      <c r="I140" s="8" t="s">
        <v>9147</v>
      </c>
      <c r="J140" s="8" t="s">
        <v>2987</v>
      </c>
      <c r="K140" t="s">
        <v>9148</v>
      </c>
      <c r="L140" t="s">
        <v>9149</v>
      </c>
      <c r="M140" s="3" t="str">
        <f>HYPERLINK(склад2въезд13192021222378[[#This Row],[RelativePath]])</f>
        <v>12 Площадка 3 кран\K07156189_20_20260112T105729Z.jpg</v>
      </c>
    </row>
    <row r="141" spans="1:13" x14ac:dyDescent="0.25">
      <c r="A141" s="2" t="s">
        <v>13</v>
      </c>
      <c r="B141" s="4">
        <v>46034</v>
      </c>
      <c r="C141" s="5">
        <v>0.66592592592592592</v>
      </c>
      <c r="D141" s="8" t="s">
        <v>4</v>
      </c>
      <c r="E141" s="8" t="s">
        <v>8</v>
      </c>
      <c r="F141" s="8"/>
      <c r="H141" s="8"/>
      <c r="I141" s="8" t="s">
        <v>9150</v>
      </c>
      <c r="J141" s="8" t="s">
        <v>2987</v>
      </c>
      <c r="K141" t="s">
        <v>9151</v>
      </c>
      <c r="L141" t="s">
        <v>9152</v>
      </c>
      <c r="M141" s="3" t="str">
        <f>HYPERLINK(склад2въезд13192021222378[[#This Row],[RelativePath]])</f>
        <v>12 Площадка 3 кран\K07156189_20_20260112T155856Z.jpg</v>
      </c>
    </row>
    <row r="142" spans="1:13" x14ac:dyDescent="0.25">
      <c r="A142" s="2" t="s">
        <v>13</v>
      </c>
      <c r="B142" s="4">
        <v>46034</v>
      </c>
      <c r="C142" s="5">
        <v>0.67175925925925928</v>
      </c>
      <c r="D142" s="8" t="s">
        <v>4</v>
      </c>
      <c r="E142" s="8" t="s">
        <v>12</v>
      </c>
      <c r="F142" s="8"/>
      <c r="H142" s="8"/>
      <c r="I142" s="8" t="s">
        <v>9153</v>
      </c>
      <c r="J142" s="8" t="s">
        <v>2987</v>
      </c>
      <c r="K142" t="s">
        <v>9154</v>
      </c>
      <c r="L142" t="s">
        <v>9155</v>
      </c>
      <c r="M142" s="3" t="str">
        <f>HYPERLINK(склад2въезд13192021222378[[#This Row],[RelativePath]])</f>
        <v>12 Площадка 3 кран\K07156189_20_20260112T160720Z.jpg</v>
      </c>
    </row>
    <row r="143" spans="1:13" x14ac:dyDescent="0.25">
      <c r="A143" s="2" t="s">
        <v>14</v>
      </c>
      <c r="B143" s="4">
        <v>46035</v>
      </c>
      <c r="C143" s="5">
        <v>0.48305555555555557</v>
      </c>
      <c r="D143" s="8" t="s">
        <v>4</v>
      </c>
      <c r="E143" s="8" t="s">
        <v>9211</v>
      </c>
      <c r="F143" s="8"/>
      <c r="H143" s="8"/>
      <c r="I143" s="8" t="s">
        <v>9156</v>
      </c>
      <c r="J143" s="8" t="s">
        <v>2987</v>
      </c>
      <c r="K143" t="s">
        <v>9157</v>
      </c>
      <c r="L143" t="s">
        <v>9158</v>
      </c>
      <c r="M143" s="3" t="str">
        <f>HYPERLINK(склад2въезд13192021222378[[#This Row],[RelativePath]])</f>
        <v>12 Площадка 3 кран\K07156189_20_20260113T113536Z.jpg</v>
      </c>
    </row>
    <row r="144" spans="1:13" x14ac:dyDescent="0.25">
      <c r="A144" s="2" t="s">
        <v>14</v>
      </c>
      <c r="B144" s="4">
        <v>46035</v>
      </c>
      <c r="C144" s="5">
        <v>0.61968749999999995</v>
      </c>
      <c r="D144" s="8" t="s">
        <v>4</v>
      </c>
      <c r="E144" s="8" t="s">
        <v>8</v>
      </c>
      <c r="F144" s="8"/>
      <c r="H144" s="8"/>
      <c r="I144" s="8" t="s">
        <v>9159</v>
      </c>
      <c r="J144" s="8" t="s">
        <v>2987</v>
      </c>
      <c r="K144" t="s">
        <v>9160</v>
      </c>
      <c r="L144" t="s">
        <v>9161</v>
      </c>
      <c r="M144" s="3" t="str">
        <f>HYPERLINK(склад2въезд13192021222378[[#This Row],[RelativePath]])</f>
        <v>12 Площадка 3 кран\K07156189_20_20260113T145221Z.jpg</v>
      </c>
    </row>
    <row r="145" spans="1:13" x14ac:dyDescent="0.25">
      <c r="A145" s="2" t="s">
        <v>14</v>
      </c>
      <c r="B145" s="4">
        <v>46035</v>
      </c>
      <c r="C145" s="5">
        <v>0.67158564814814814</v>
      </c>
      <c r="D145" s="8" t="s">
        <v>4</v>
      </c>
      <c r="E145" s="8" t="s">
        <v>12</v>
      </c>
      <c r="F145" s="8"/>
      <c r="H145" s="8"/>
      <c r="I145" s="8" t="s">
        <v>9162</v>
      </c>
      <c r="J145" s="8" t="s">
        <v>2987</v>
      </c>
      <c r="K145" t="s">
        <v>9163</v>
      </c>
      <c r="L145" t="s">
        <v>9164</v>
      </c>
      <c r="M145" s="3" t="str">
        <f>HYPERLINK(склад2въезд13192021222378[[#This Row],[RelativePath]])</f>
        <v>12 Площадка 3 кран\K07156189_20_20260113T160705Z.jpg</v>
      </c>
    </row>
    <row r="146" spans="1:13" x14ac:dyDescent="0.25">
      <c r="A146" s="2" t="s">
        <v>14</v>
      </c>
      <c r="B146" s="4">
        <v>46035</v>
      </c>
      <c r="C146" s="5">
        <v>0.68877314814814816</v>
      </c>
      <c r="D146" s="8" t="s">
        <v>4</v>
      </c>
      <c r="E146" s="8" t="s">
        <v>12</v>
      </c>
      <c r="F146" s="8"/>
      <c r="H146" s="8"/>
      <c r="I146" s="8" t="s">
        <v>9165</v>
      </c>
      <c r="J146" s="8" t="s">
        <v>2987</v>
      </c>
      <c r="K146" t="s">
        <v>9166</v>
      </c>
      <c r="L146" t="s">
        <v>9167</v>
      </c>
      <c r="M146" s="3" t="str">
        <f>HYPERLINK(склад2въезд13192021222378[[#This Row],[RelativePath]])</f>
        <v>12 Площадка 3 кран\K07156189_20_20260113T163150Z.jpg</v>
      </c>
    </row>
    <row r="147" spans="1:13" x14ac:dyDescent="0.25">
      <c r="A147" s="2" t="s">
        <v>15</v>
      </c>
      <c r="B147" s="4">
        <v>46036</v>
      </c>
      <c r="C147" s="5">
        <v>0.448125</v>
      </c>
      <c r="D147" s="8" t="s">
        <v>4</v>
      </c>
      <c r="E147" s="8" t="s">
        <v>8</v>
      </c>
      <c r="F147" s="8"/>
      <c r="H147" s="8"/>
      <c r="I147" s="8" t="s">
        <v>9315</v>
      </c>
      <c r="J147" s="8" t="s">
        <v>2987</v>
      </c>
      <c r="K147" t="s">
        <v>9316</v>
      </c>
      <c r="L147" t="s">
        <v>9317</v>
      </c>
      <c r="M147" s="3" t="str">
        <f>HYPERLINK(склад2въезд13192021222378[[#This Row],[RelativePath]])</f>
        <v>12 Площадка 3 кран\K07156189_20_20260114T104518Z.jpg</v>
      </c>
    </row>
    <row r="148" spans="1:13" x14ac:dyDescent="0.25">
      <c r="A148" s="2" t="s">
        <v>15</v>
      </c>
      <c r="B148" s="4">
        <v>46036</v>
      </c>
      <c r="C148" s="5">
        <v>0.58484953703703701</v>
      </c>
      <c r="D148" s="8" t="s">
        <v>4</v>
      </c>
      <c r="E148" s="8" t="s">
        <v>12</v>
      </c>
      <c r="F148" s="8"/>
      <c r="H148" s="8"/>
      <c r="I148" s="8" t="s">
        <v>9318</v>
      </c>
      <c r="J148" s="8" t="s">
        <v>2987</v>
      </c>
      <c r="K148" t="s">
        <v>9319</v>
      </c>
      <c r="L148" t="s">
        <v>9320</v>
      </c>
      <c r="M148" s="3" t="str">
        <f>HYPERLINK(склад2въезд13192021222378[[#This Row],[RelativePath]])</f>
        <v>12 Площадка 3 кран\K07156189_20_20260114T140211Z.jpg</v>
      </c>
    </row>
    <row r="149" spans="1:13" x14ac:dyDescent="0.25">
      <c r="A149" s="2" t="s">
        <v>15</v>
      </c>
      <c r="B149" s="4">
        <v>46036</v>
      </c>
      <c r="C149" s="5">
        <v>0.75828703703703704</v>
      </c>
      <c r="D149" s="8" t="s">
        <v>4</v>
      </c>
      <c r="E149" s="8" t="s">
        <v>8</v>
      </c>
      <c r="F149" s="8"/>
      <c r="H149" s="8"/>
      <c r="I149" s="8" t="s">
        <v>9321</v>
      </c>
      <c r="J149" s="8" t="s">
        <v>2987</v>
      </c>
      <c r="K149" t="s">
        <v>9322</v>
      </c>
      <c r="L149" t="s">
        <v>9323</v>
      </c>
      <c r="M149" s="3" t="str">
        <f>HYPERLINK(склад2въезд13192021222378[[#This Row],[RelativePath]])</f>
        <v>12 Площадка 3 кран\K07156189_20_20260114T181156Z.jpg</v>
      </c>
    </row>
    <row r="150" spans="1:13" x14ac:dyDescent="0.25">
      <c r="A150" s="2" t="s">
        <v>16</v>
      </c>
      <c r="B150" s="4">
        <v>46037</v>
      </c>
      <c r="C150" s="5">
        <v>0.4435648148148148</v>
      </c>
      <c r="D150" s="8" t="s">
        <v>4</v>
      </c>
      <c r="E150" s="8" t="s">
        <v>12</v>
      </c>
      <c r="F150" s="8"/>
      <c r="H150" s="8"/>
      <c r="I150" s="8" t="s">
        <v>9543</v>
      </c>
      <c r="J150" s="8" t="s">
        <v>2987</v>
      </c>
      <c r="K150" t="s">
        <v>9544</v>
      </c>
      <c r="L150" t="s">
        <v>9545</v>
      </c>
      <c r="M150" s="3" t="str">
        <f>HYPERLINK(склад2въезд13192021222378[[#This Row],[RelativePath]])</f>
        <v>12 Площадка 3 кран\K07156189_20_20260115T103844Z.jpg</v>
      </c>
    </row>
    <row r="151" spans="1:13" x14ac:dyDescent="0.25">
      <c r="A151" s="2" t="s">
        <v>17</v>
      </c>
      <c r="B151" s="4">
        <v>46038</v>
      </c>
      <c r="C151" s="5">
        <v>0.51842592592592596</v>
      </c>
      <c r="D151" s="8" t="s">
        <v>4</v>
      </c>
      <c r="E151" s="8" t="s">
        <v>12</v>
      </c>
      <c r="F151" s="8"/>
      <c r="H151" s="8"/>
      <c r="I151" s="8" t="s">
        <v>9546</v>
      </c>
      <c r="J151" s="8" t="s">
        <v>2987</v>
      </c>
      <c r="K151" t="s">
        <v>9547</v>
      </c>
      <c r="L151" t="s">
        <v>9548</v>
      </c>
      <c r="M151" s="3" t="str">
        <f>HYPERLINK(склад2въезд13192021222378[[#This Row],[RelativePath]])</f>
        <v>12 Площадка 3 кран\K07156189_20_20260116T122632Z.jpg</v>
      </c>
    </row>
    <row r="152" spans="1:13" x14ac:dyDescent="0.25">
      <c r="A152" s="2" t="s">
        <v>18</v>
      </c>
      <c r="B152" s="4">
        <v>46039</v>
      </c>
      <c r="C152" s="5">
        <v>0.36177083333333332</v>
      </c>
      <c r="D152" s="8" t="s">
        <v>2004</v>
      </c>
      <c r="E152" s="8" t="s">
        <v>8</v>
      </c>
      <c r="F152" s="8"/>
      <c r="H152" s="8"/>
      <c r="I152" s="8" t="s">
        <v>9671</v>
      </c>
      <c r="J152" s="8" t="s">
        <v>2987</v>
      </c>
      <c r="K152" t="s">
        <v>9672</v>
      </c>
      <c r="L152" t="s">
        <v>9673</v>
      </c>
      <c r="M152" s="3" t="str">
        <f>HYPERLINK(склад2въезд13192021222378[[#This Row],[RelativePath]])</f>
        <v>12 Площадка 3 кран\K07156189_20_20260117T084057Z.jpg</v>
      </c>
    </row>
    <row r="153" spans="1:13" x14ac:dyDescent="0.25">
      <c r="A153" s="2" t="s">
        <v>22</v>
      </c>
      <c r="B153" s="4">
        <v>46040</v>
      </c>
      <c r="C153" s="5">
        <v>0.76291666666666669</v>
      </c>
      <c r="D153" s="8" t="s">
        <v>2004</v>
      </c>
      <c r="E153" s="8" t="s">
        <v>8</v>
      </c>
      <c r="F153" s="8"/>
      <c r="H153" s="8"/>
      <c r="I153" s="8" t="s">
        <v>9674</v>
      </c>
      <c r="J153" s="8" t="s">
        <v>2987</v>
      </c>
      <c r="K153" t="s">
        <v>9675</v>
      </c>
      <c r="L153" t="s">
        <v>9676</v>
      </c>
      <c r="M153" s="3" t="str">
        <f>HYPERLINK(склад2въезд13192021222378[[#This Row],[RelativePath]])</f>
        <v>12 Площадка 3 кран\K07156189_20_20260118T181836Z.jpg</v>
      </c>
    </row>
    <row r="154" spans="1:13" x14ac:dyDescent="0.25">
      <c r="A154" s="2" t="s">
        <v>13</v>
      </c>
      <c r="B154" s="4">
        <v>46041</v>
      </c>
      <c r="C154" s="5">
        <v>0.43837962962962962</v>
      </c>
      <c r="D154" s="8" t="s">
        <v>9876</v>
      </c>
      <c r="E154" s="8" t="s">
        <v>9201</v>
      </c>
      <c r="F154" s="8"/>
      <c r="H154" s="8"/>
      <c r="I154" s="8" t="s">
        <v>9852</v>
      </c>
      <c r="J154" s="8" t="s">
        <v>2987</v>
      </c>
      <c r="K154" t="s">
        <v>9853</v>
      </c>
      <c r="L154" t="s">
        <v>9854</v>
      </c>
      <c r="M154" s="3" t="str">
        <f>HYPERLINK(склад2въезд13192021222378[[#This Row],[RelativePath]])</f>
        <v>12 Площадка 3 кран\K07156189_20_20260119T103116Z.jpg</v>
      </c>
    </row>
    <row r="155" spans="1:13" x14ac:dyDescent="0.25">
      <c r="A155" s="2" t="s">
        <v>13</v>
      </c>
      <c r="B155" s="4">
        <v>46041</v>
      </c>
      <c r="C155" s="5">
        <v>0.51071759259259264</v>
      </c>
      <c r="D155" s="8" t="s">
        <v>9876</v>
      </c>
      <c r="E155" s="8" t="s">
        <v>9201</v>
      </c>
      <c r="F155" s="8"/>
      <c r="H155" s="8" t="s">
        <v>2936</v>
      </c>
      <c r="I155" s="8" t="s">
        <v>9855</v>
      </c>
      <c r="J155" s="8" t="s">
        <v>2987</v>
      </c>
      <c r="K155" t="s">
        <v>9856</v>
      </c>
      <c r="L155" t="s">
        <v>9857</v>
      </c>
      <c r="M155" s="3" t="str">
        <f>HYPERLINK(склад2въезд13192021222378[[#This Row],[RelativePath]])</f>
        <v>12 Площадка 3 кран\K07156189_20_20260119T121526Z.jpg</v>
      </c>
    </row>
    <row r="156" spans="1:13" x14ac:dyDescent="0.25">
      <c r="A156" s="2" t="s">
        <v>13</v>
      </c>
      <c r="B156" s="4">
        <v>46041</v>
      </c>
      <c r="C156" s="5">
        <v>0.70841435185185186</v>
      </c>
      <c r="D156" s="8" t="s">
        <v>9876</v>
      </c>
      <c r="E156" s="8" t="s">
        <v>9201</v>
      </c>
      <c r="F156" s="8"/>
      <c r="H156" s="8" t="s">
        <v>2936</v>
      </c>
      <c r="I156" s="8" t="s">
        <v>9858</v>
      </c>
      <c r="J156" s="8" t="s">
        <v>2987</v>
      </c>
      <c r="K156" t="s">
        <v>9859</v>
      </c>
      <c r="L156" t="s">
        <v>9860</v>
      </c>
      <c r="M156" s="3" t="str">
        <f>HYPERLINK(склад2въезд13192021222378[[#This Row],[RelativePath]])</f>
        <v>12 Площадка 3 кран\K07156189_20_20260119T170007Z.jpg</v>
      </c>
    </row>
    <row r="157" spans="1:13" x14ac:dyDescent="0.25">
      <c r="A157" s="2" t="s">
        <v>14</v>
      </c>
      <c r="B157" s="4">
        <v>46042</v>
      </c>
      <c r="C157" s="5">
        <v>0.43672453703703706</v>
      </c>
      <c r="D157" s="8" t="s">
        <v>9914</v>
      </c>
      <c r="E157" s="8" t="s">
        <v>4247</v>
      </c>
      <c r="F157" s="8"/>
      <c r="H157" s="8" t="s">
        <v>2936</v>
      </c>
      <c r="I157" s="8" t="s">
        <v>9861</v>
      </c>
      <c r="J157" s="8" t="s">
        <v>2987</v>
      </c>
      <c r="K157" t="s">
        <v>9862</v>
      </c>
      <c r="L157" t="s">
        <v>9863</v>
      </c>
      <c r="M157" s="3" t="str">
        <f>HYPERLINK(склад2въезд13192021222378[[#This Row],[RelativePath]])</f>
        <v>12 Площадка 3 кран\K07156189_20_20260120T102853Z.jpg</v>
      </c>
    </row>
    <row r="158" spans="1:13" x14ac:dyDescent="0.25">
      <c r="A158" s="2" t="s">
        <v>14</v>
      </c>
      <c r="B158" s="4">
        <v>46042</v>
      </c>
      <c r="C158" s="5">
        <v>0.60986111111111108</v>
      </c>
      <c r="D158" s="8" t="s">
        <v>9876</v>
      </c>
      <c r="E158" s="8" t="s">
        <v>9201</v>
      </c>
      <c r="F158" s="8"/>
      <c r="H158" s="8" t="s">
        <v>2936</v>
      </c>
      <c r="I158" s="8" t="s">
        <v>9864</v>
      </c>
      <c r="J158" s="8" t="s">
        <v>2987</v>
      </c>
      <c r="K158" t="s">
        <v>9865</v>
      </c>
      <c r="L158" t="s">
        <v>9866</v>
      </c>
      <c r="M158" s="3" t="str">
        <f>HYPERLINK(склад2въезд13192021222378[[#This Row],[RelativePath]])</f>
        <v>12 Площадка 3 кран\K07156189_20_20260120T143812Z.jpg</v>
      </c>
    </row>
    <row r="159" spans="1:13" x14ac:dyDescent="0.25">
      <c r="A159" s="2" t="s">
        <v>14</v>
      </c>
      <c r="B159" s="4">
        <v>46042</v>
      </c>
      <c r="C159" s="5">
        <v>0.71561342592592592</v>
      </c>
      <c r="D159" s="8" t="s">
        <v>4</v>
      </c>
      <c r="E159" s="8" t="s">
        <v>8</v>
      </c>
      <c r="F159" s="8"/>
      <c r="H159" s="8"/>
      <c r="I159" s="8" t="s">
        <v>9867</v>
      </c>
      <c r="J159" s="8" t="s">
        <v>2987</v>
      </c>
      <c r="K159" t="s">
        <v>9868</v>
      </c>
      <c r="L159" t="s">
        <v>9869</v>
      </c>
      <c r="M159" s="3" t="str">
        <f>HYPERLINK(склад2въезд13192021222378[[#This Row],[RelativePath]])</f>
        <v>12 Площадка 3 кран\K07156189_20_20260120T171029Z.jpg</v>
      </c>
    </row>
    <row r="160" spans="1:13" x14ac:dyDescent="0.25">
      <c r="A160" s="2" t="s">
        <v>15</v>
      </c>
      <c r="B160" s="4">
        <v>46043</v>
      </c>
      <c r="C160" s="5">
        <v>0.47843750000000002</v>
      </c>
      <c r="D160" s="8" t="s">
        <v>4</v>
      </c>
      <c r="E160" s="8" t="s">
        <v>8</v>
      </c>
      <c r="F160" s="8"/>
      <c r="H160" s="8"/>
      <c r="I160" s="8" t="s">
        <v>10104</v>
      </c>
      <c r="J160" s="8" t="s">
        <v>2987</v>
      </c>
      <c r="K160" t="s">
        <v>10105</v>
      </c>
      <c r="L160" t="s">
        <v>10106</v>
      </c>
      <c r="M160" s="3" t="str">
        <f>HYPERLINK(склад2въезд13192021222378[[#This Row],[RelativePath]])</f>
        <v>12 Площадка 3 кран\K07156189_20_20260121T112857Z.jpg</v>
      </c>
    </row>
    <row r="161" spans="1:13" x14ac:dyDescent="0.25">
      <c r="A161" s="2" t="s">
        <v>15</v>
      </c>
      <c r="B161" s="4">
        <v>46043</v>
      </c>
      <c r="C161" s="5">
        <v>0.66670138888888886</v>
      </c>
      <c r="D161" s="8" t="s">
        <v>9876</v>
      </c>
      <c r="E161" s="8" t="s">
        <v>9201</v>
      </c>
      <c r="F161" s="8"/>
      <c r="H161" s="8"/>
      <c r="I161" s="8" t="s">
        <v>10107</v>
      </c>
      <c r="J161" s="8" t="s">
        <v>2987</v>
      </c>
      <c r="K161" t="s">
        <v>10108</v>
      </c>
      <c r="L161" t="s">
        <v>10109</v>
      </c>
      <c r="M161" s="3" t="str">
        <f>HYPERLINK(склад2въезд13192021222378[[#This Row],[RelativePath]])</f>
        <v>12 Площадка 3 кран\K07156189_20_20260121T160003Z.jpg</v>
      </c>
    </row>
    <row r="162" spans="1:13" x14ac:dyDescent="0.25">
      <c r="A162" s="2" t="s">
        <v>16</v>
      </c>
      <c r="B162" s="4">
        <v>46044</v>
      </c>
      <c r="C162" s="5">
        <v>0.4568402777777778</v>
      </c>
      <c r="D162" s="8" t="s">
        <v>9876</v>
      </c>
      <c r="E162" s="8" t="s">
        <v>9201</v>
      </c>
      <c r="F162" s="8"/>
      <c r="H162" s="8"/>
      <c r="I162" s="8" t="s">
        <v>10110</v>
      </c>
      <c r="J162" s="8" t="s">
        <v>2987</v>
      </c>
      <c r="K162" t="s">
        <v>10111</v>
      </c>
      <c r="L162" t="s">
        <v>10112</v>
      </c>
      <c r="M162" s="3" t="str">
        <f>HYPERLINK(склад2въезд13192021222378[[#This Row],[RelativePath]])</f>
        <v>12 Площадка 3 кран\K07156189_20_20260122T105751Z.jpg</v>
      </c>
    </row>
    <row r="163" spans="1:13" x14ac:dyDescent="0.25">
      <c r="A163" s="2" t="s">
        <v>17</v>
      </c>
      <c r="B163" s="4">
        <v>46045</v>
      </c>
      <c r="C163" s="5">
        <v>0.39613425925925927</v>
      </c>
      <c r="D163" s="8" t="s">
        <v>4</v>
      </c>
      <c r="E163" s="8" t="s">
        <v>8</v>
      </c>
      <c r="F163" s="8"/>
      <c r="H163" s="8"/>
      <c r="I163" s="8" t="s">
        <v>10424</v>
      </c>
      <c r="J163" s="8" t="s">
        <v>2987</v>
      </c>
      <c r="K163" t="s">
        <v>10425</v>
      </c>
      <c r="L163" t="s">
        <v>10426</v>
      </c>
      <c r="M163" s="3" t="str">
        <f>HYPERLINK(склад2въезд13192021222378[[#This Row],[RelativePath]])</f>
        <v>12 Площадка 3 кран\K07156189_20_20260123T093026Z.jpg</v>
      </c>
    </row>
    <row r="164" spans="1:13" x14ac:dyDescent="0.25">
      <c r="A164" s="2" t="s">
        <v>17</v>
      </c>
      <c r="B164" s="4">
        <v>46045</v>
      </c>
      <c r="C164" s="5">
        <v>0.49734953703703705</v>
      </c>
      <c r="D164" s="8" t="s">
        <v>4</v>
      </c>
      <c r="E164" s="8" t="s">
        <v>8</v>
      </c>
      <c r="F164" s="8"/>
      <c r="H164" s="8" t="s">
        <v>2936</v>
      </c>
      <c r="I164" s="8" t="s">
        <v>10427</v>
      </c>
      <c r="J164" s="8" t="s">
        <v>2987</v>
      </c>
      <c r="K164" t="s">
        <v>10428</v>
      </c>
      <c r="L164" t="s">
        <v>10429</v>
      </c>
      <c r="M164" s="3" t="str">
        <f>HYPERLINK(склад2въезд13192021222378[[#This Row],[RelativePath]])</f>
        <v>12 Площадка 3 кран\K07156189_20_20260123T115611Z.jpg</v>
      </c>
    </row>
    <row r="165" spans="1:13" x14ac:dyDescent="0.25">
      <c r="A165" s="2" t="s">
        <v>17</v>
      </c>
      <c r="B165" s="4">
        <v>46045</v>
      </c>
      <c r="C165" s="5">
        <v>0.58601851851851849</v>
      </c>
      <c r="D165" s="8" t="s">
        <v>4</v>
      </c>
      <c r="E165" s="8" t="s">
        <v>8</v>
      </c>
      <c r="F165" s="8"/>
      <c r="H165" s="8" t="s">
        <v>2936</v>
      </c>
      <c r="I165" s="8" t="s">
        <v>10430</v>
      </c>
      <c r="J165" s="8" t="s">
        <v>2987</v>
      </c>
      <c r="K165" t="s">
        <v>10431</v>
      </c>
      <c r="L165" t="s">
        <v>10432</v>
      </c>
      <c r="M165" s="3" t="str">
        <f>HYPERLINK(склад2въезд13192021222378[[#This Row],[RelativePath]])</f>
        <v>12 Площадка 3 кран\K07156189_20_20260123T140352Z.jpg</v>
      </c>
    </row>
    <row r="166" spans="1:13" x14ac:dyDescent="0.25">
      <c r="A166" s="2" t="s">
        <v>18</v>
      </c>
      <c r="B166" s="4">
        <v>46046</v>
      </c>
      <c r="C166" s="5">
        <v>0.76857638888888891</v>
      </c>
      <c r="D166" s="8" t="s">
        <v>2004</v>
      </c>
      <c r="E166" s="8" t="s">
        <v>8</v>
      </c>
      <c r="F166" s="8"/>
      <c r="H166" s="8"/>
      <c r="I166" s="8" t="s">
        <v>10479</v>
      </c>
      <c r="J166" s="8" t="s">
        <v>2987</v>
      </c>
      <c r="K166" t="s">
        <v>10480</v>
      </c>
      <c r="L166" t="s">
        <v>10481</v>
      </c>
      <c r="M166" s="3" t="str">
        <f>HYPERLINK(склад2въезд13192021222378[[#This Row],[RelativePath]])</f>
        <v>12 Площадка 3 кран\K07156189_20_20260124T182645Z.jpg</v>
      </c>
    </row>
    <row r="167" spans="1:13" x14ac:dyDescent="0.25">
      <c r="A167" s="2" t="s">
        <v>22</v>
      </c>
      <c r="B167" s="4">
        <v>46047</v>
      </c>
      <c r="C167" s="5">
        <v>0.77228009259259256</v>
      </c>
      <c r="D167" s="8" t="s">
        <v>2004</v>
      </c>
      <c r="E167" s="8" t="s">
        <v>8</v>
      </c>
      <c r="F167" s="8"/>
      <c r="H167" s="8"/>
      <c r="I167" s="8" t="s">
        <v>10482</v>
      </c>
      <c r="J167" s="8" t="s">
        <v>2987</v>
      </c>
      <c r="K167" t="s">
        <v>10483</v>
      </c>
      <c r="L167" t="s">
        <v>10484</v>
      </c>
      <c r="M167" s="3" t="str">
        <f>HYPERLINK(склад2въезд13192021222378[[#This Row],[RelativePath]])</f>
        <v>12 Площадка 3 кран\K07156189_20_20260125T183205Z.jpg</v>
      </c>
    </row>
    <row r="168" spans="1:13" x14ac:dyDescent="0.25">
      <c r="A168" s="2" t="s">
        <v>13</v>
      </c>
      <c r="B168" s="4">
        <v>46048</v>
      </c>
      <c r="C168" s="5">
        <v>0.3555902777777778</v>
      </c>
      <c r="D168" s="8" t="s">
        <v>2004</v>
      </c>
      <c r="E168" s="8" t="s">
        <v>8</v>
      </c>
      <c r="F168" s="8"/>
      <c r="H168" s="8"/>
      <c r="I168" s="8" t="s">
        <v>10618</v>
      </c>
      <c r="J168" s="8" t="s">
        <v>2987</v>
      </c>
      <c r="K168" t="s">
        <v>10619</v>
      </c>
      <c r="L168" t="s">
        <v>10620</v>
      </c>
      <c r="M168" s="3" t="str">
        <f>HYPERLINK(склад2въезд13192021222378[[#This Row],[RelativePath]])</f>
        <v>12 Площадка 3 кран\K07156189_20_20260126T083203Z.jpg</v>
      </c>
    </row>
    <row r="169" spans="1:13" x14ac:dyDescent="0.25">
      <c r="A169" s="2" t="s">
        <v>14</v>
      </c>
      <c r="B169" s="4">
        <v>46049</v>
      </c>
      <c r="C169" s="5">
        <v>0.5244212962962963</v>
      </c>
      <c r="D169" s="8" t="s">
        <v>9914</v>
      </c>
      <c r="E169" s="8" t="s">
        <v>4247</v>
      </c>
      <c r="F169" s="8"/>
      <c r="H169" s="8"/>
      <c r="I169" s="8" t="s">
        <v>10621</v>
      </c>
      <c r="J169" s="8" t="s">
        <v>2987</v>
      </c>
      <c r="K169" t="s">
        <v>10622</v>
      </c>
      <c r="L169" t="s">
        <v>10623</v>
      </c>
      <c r="M169" s="3" t="str">
        <f>HYPERLINK(склад2въезд13192021222378[[#This Row],[RelativePath]])</f>
        <v>12 Площадка 3 кран\K07156189_20_20260127T123510Z.jpg</v>
      </c>
    </row>
    <row r="170" spans="1:13" x14ac:dyDescent="0.25">
      <c r="A170" s="2" t="s">
        <v>15</v>
      </c>
      <c r="B170" s="4">
        <v>46050</v>
      </c>
      <c r="C170" s="5">
        <v>0.4213425925925926</v>
      </c>
      <c r="D170" s="8" t="s">
        <v>9876</v>
      </c>
      <c r="E170" s="8" t="s">
        <v>9201</v>
      </c>
      <c r="F170" s="8"/>
      <c r="H170" s="8"/>
      <c r="I170" s="8" t="s">
        <v>10860</v>
      </c>
      <c r="J170" s="8" t="s">
        <v>2987</v>
      </c>
      <c r="K170" t="s">
        <v>10861</v>
      </c>
      <c r="L170" t="s">
        <v>10862</v>
      </c>
      <c r="M170" s="3" t="str">
        <f>HYPERLINK(склад2въезд13192021222378[[#This Row],[RelativePath]])</f>
        <v>12 Площадка 3 кран\K07156189_20_20260128T100644Z.jpg</v>
      </c>
    </row>
    <row r="171" spans="1:13" x14ac:dyDescent="0.25">
      <c r="A171" s="2" t="s">
        <v>15</v>
      </c>
      <c r="B171" s="4">
        <v>46050</v>
      </c>
      <c r="C171" s="5">
        <v>0.75557870370370372</v>
      </c>
      <c r="D171" s="8" t="s">
        <v>9876</v>
      </c>
      <c r="E171" s="8" t="s">
        <v>9201</v>
      </c>
      <c r="F171" s="8"/>
      <c r="H171" s="8" t="s">
        <v>2936</v>
      </c>
      <c r="I171" s="8" t="s">
        <v>10863</v>
      </c>
      <c r="J171" s="8" t="s">
        <v>2987</v>
      </c>
      <c r="K171" t="s">
        <v>10864</v>
      </c>
      <c r="L171" t="s">
        <v>10865</v>
      </c>
      <c r="M171" s="3" t="str">
        <f>HYPERLINK(склад2въезд13192021222378[[#This Row],[RelativePath]])</f>
        <v>12 Площадка 3 кран\K07156189_20_20260128T180802Z.jpg</v>
      </c>
    </row>
    <row r="172" spans="1:13" x14ac:dyDescent="0.25">
      <c r="A172" s="2" t="s">
        <v>16</v>
      </c>
      <c r="B172" s="4">
        <v>46051</v>
      </c>
      <c r="C172" s="5">
        <v>0.43981481481481483</v>
      </c>
      <c r="D172" s="8" t="s">
        <v>9876</v>
      </c>
      <c r="E172" s="8" t="s">
        <v>9201</v>
      </c>
      <c r="F172" s="8"/>
      <c r="H172" s="8" t="s">
        <v>2936</v>
      </c>
      <c r="I172" s="8" t="s">
        <v>10866</v>
      </c>
      <c r="J172" s="8" t="s">
        <v>2987</v>
      </c>
      <c r="K172" t="s">
        <v>10867</v>
      </c>
      <c r="L172" t="s">
        <v>10868</v>
      </c>
      <c r="M172" s="3" t="str">
        <f>HYPERLINK(склад2въезд13192021222378[[#This Row],[RelativePath]])</f>
        <v>12 Площадка 3 кран\K07156189_20_20260129T103320Z.jpg</v>
      </c>
    </row>
    <row r="173" spans="1:13" x14ac:dyDescent="0.25">
      <c r="A173" s="2" t="s">
        <v>16</v>
      </c>
      <c r="B173" s="4">
        <v>46051</v>
      </c>
      <c r="C173" s="5">
        <v>0.53135416666666668</v>
      </c>
      <c r="D173" s="8" t="s">
        <v>9876</v>
      </c>
      <c r="E173" s="8" t="s">
        <v>9201</v>
      </c>
      <c r="F173" s="8"/>
      <c r="H173" s="8" t="s">
        <v>2936</v>
      </c>
      <c r="I173" s="8" t="s">
        <v>10869</v>
      </c>
      <c r="J173" s="8" t="s">
        <v>2987</v>
      </c>
      <c r="K173" t="s">
        <v>10870</v>
      </c>
      <c r="L173" t="s">
        <v>10871</v>
      </c>
      <c r="M173" s="3" t="str">
        <f>HYPERLINK(склад2въезд13192021222378[[#This Row],[RelativePath]])</f>
        <v>12 Площадка 3 кран\K07156189_20_20260129T124509Z.jpg</v>
      </c>
    </row>
    <row r="174" spans="1:13" x14ac:dyDescent="0.25">
      <c r="A174" s="2" t="s">
        <v>17</v>
      </c>
      <c r="B174" s="4">
        <v>46052</v>
      </c>
      <c r="C174" s="5">
        <v>0.48168981481481482</v>
      </c>
      <c r="D174" s="8" t="s">
        <v>11009</v>
      </c>
      <c r="E174" s="8" t="s">
        <v>9201</v>
      </c>
      <c r="F174" s="8"/>
      <c r="H174" s="8"/>
      <c r="I174" s="8" t="s">
        <v>10995</v>
      </c>
      <c r="J174" s="8" t="s">
        <v>2987</v>
      </c>
      <c r="K174" t="s">
        <v>10996</v>
      </c>
      <c r="L174" t="s">
        <v>10997</v>
      </c>
      <c r="M174" s="3" t="str">
        <f>HYPERLINK(склад2въезд13192021222378[[#This Row],[RelativePath]])</f>
        <v>12 Площадка 3 кран\K07156189_20_20260130T113338Z.jpg</v>
      </c>
    </row>
    <row r="175" spans="1:13" x14ac:dyDescent="0.25">
      <c r="A175" s="2" t="s">
        <v>17</v>
      </c>
      <c r="B175" s="4">
        <v>46052</v>
      </c>
      <c r="C175" s="5">
        <v>0.56170138888888888</v>
      </c>
      <c r="D175" s="8" t="s">
        <v>4</v>
      </c>
      <c r="E175" s="8" t="s">
        <v>8</v>
      </c>
      <c r="F175" s="8"/>
      <c r="H175" s="8"/>
      <c r="I175" s="8" t="s">
        <v>10998</v>
      </c>
      <c r="J175" s="8" t="s">
        <v>2987</v>
      </c>
      <c r="K175" t="s">
        <v>10999</v>
      </c>
      <c r="L175" t="s">
        <v>11000</v>
      </c>
      <c r="M175" s="3" t="str">
        <f>HYPERLINK(склад2въезд13192021222378[[#This Row],[RelativePath]])</f>
        <v>12 Площадка 3 кран\K07156189_20_20260130T132851Z.jpg</v>
      </c>
    </row>
    <row r="176" spans="1:13" x14ac:dyDescent="0.25">
      <c r="A176" s="2" t="s">
        <v>18</v>
      </c>
      <c r="B176" s="4">
        <v>46053</v>
      </c>
      <c r="C176" s="5">
        <v>0.77572916666666669</v>
      </c>
      <c r="D176" s="8" t="s">
        <v>2004</v>
      </c>
      <c r="E176" s="8" t="s">
        <v>8</v>
      </c>
      <c r="F176" s="8"/>
      <c r="H176" s="8" t="s">
        <v>2014</v>
      </c>
      <c r="I176" s="8" t="s">
        <v>11118</v>
      </c>
      <c r="J176" s="8" t="s">
        <v>2987</v>
      </c>
      <c r="K176" t="s">
        <v>11119</v>
      </c>
      <c r="L176" t="s">
        <v>11120</v>
      </c>
      <c r="M176" s="3" t="str">
        <f>HYPERLINK(склад2въезд13192021222378[[#This Row],[RelativePath]])</f>
        <v>12 Площадка 3 кран\K07156189_20_20260131T183703Z.jpg</v>
      </c>
    </row>
    <row r="177" spans="1:13" x14ac:dyDescent="0.25">
      <c r="A177" s="2" t="s">
        <v>22</v>
      </c>
      <c r="B177" s="4">
        <v>46054</v>
      </c>
      <c r="C177" s="5">
        <v>0.33914351851851854</v>
      </c>
      <c r="D177" s="8" t="s">
        <v>2004</v>
      </c>
      <c r="E177" s="8" t="s">
        <v>8</v>
      </c>
      <c r="F177" s="8"/>
      <c r="H177" s="8" t="s">
        <v>2014</v>
      </c>
      <c r="I177" s="8" t="s">
        <v>11121</v>
      </c>
      <c r="J177" s="8" t="s">
        <v>2987</v>
      </c>
      <c r="K177" t="s">
        <v>11122</v>
      </c>
      <c r="L177" t="s">
        <v>11123</v>
      </c>
      <c r="M177" s="3" t="str">
        <f>HYPERLINK(склад2въезд13192021222378[[#This Row],[RelativePath]])</f>
        <v>12 Площадка 3 кран\K07156189_20_20260201T080822Z.jpg</v>
      </c>
    </row>
    <row r="178" spans="1:13" x14ac:dyDescent="0.25">
      <c r="A178" s="2" t="s">
        <v>13</v>
      </c>
      <c r="B178" s="4">
        <v>46055</v>
      </c>
      <c r="C178" s="5">
        <v>0.46619212962962964</v>
      </c>
      <c r="D178" s="8" t="s">
        <v>4</v>
      </c>
      <c r="E178" s="8" t="s">
        <v>8</v>
      </c>
      <c r="F178" s="8"/>
      <c r="H178" s="8"/>
      <c r="I178" s="8" t="s">
        <v>11379</v>
      </c>
      <c r="J178" s="8" t="s">
        <v>2987</v>
      </c>
      <c r="K178" t="s">
        <v>11380</v>
      </c>
      <c r="L178" t="s">
        <v>11381</v>
      </c>
      <c r="M178" s="3" t="str">
        <f>HYPERLINK(склад2въезд13192021222378[[#This Row],[RelativePath]])</f>
        <v>12 Площадка 3 кран\K07156189_20_20260202T111119Z.jpg</v>
      </c>
    </row>
    <row r="179" spans="1:13" x14ac:dyDescent="0.25">
      <c r="A179" s="2" t="s">
        <v>13</v>
      </c>
      <c r="B179" s="4">
        <v>46055</v>
      </c>
      <c r="C179" s="5">
        <v>0.69478009259259255</v>
      </c>
      <c r="D179" s="8" t="s">
        <v>9876</v>
      </c>
      <c r="E179" s="8" t="s">
        <v>5137</v>
      </c>
      <c r="F179" s="8"/>
      <c r="H179" s="8"/>
      <c r="I179" s="8" t="s">
        <v>11382</v>
      </c>
      <c r="J179" s="8" t="s">
        <v>2987</v>
      </c>
      <c r="K179" t="s">
        <v>11383</v>
      </c>
      <c r="L179" t="s">
        <v>11384</v>
      </c>
      <c r="M179" s="3" t="str">
        <f>HYPERLINK(склад2въезд13192021222378[[#This Row],[RelativePath]])</f>
        <v>12 Площадка 3 кран\K07156189_20_20260202T164029Z.jpg</v>
      </c>
    </row>
    <row r="180" spans="1:13" x14ac:dyDescent="0.25">
      <c r="A180" s="2" t="s">
        <v>14</v>
      </c>
      <c r="B180" s="4">
        <v>46056</v>
      </c>
      <c r="C180" s="5">
        <v>0.41587962962962965</v>
      </c>
      <c r="D180" s="8" t="s">
        <v>9876</v>
      </c>
      <c r="E180" s="8" t="s">
        <v>5137</v>
      </c>
      <c r="F180" s="8"/>
      <c r="H180" s="8"/>
      <c r="I180" s="8" t="s">
        <v>11385</v>
      </c>
      <c r="J180" s="8" t="s">
        <v>2987</v>
      </c>
      <c r="K180" t="s">
        <v>11386</v>
      </c>
      <c r="L180" t="s">
        <v>11387</v>
      </c>
      <c r="M180" s="3" t="str">
        <f>HYPERLINK(склад2въезд13192021222378[[#This Row],[RelativePath]])</f>
        <v>12 Площадка 3 кран\K07156189_20_20260203T095852Z.jpg</v>
      </c>
    </row>
    <row r="181" spans="1:13" x14ac:dyDescent="0.25">
      <c r="A181" s="2" t="s">
        <v>14</v>
      </c>
      <c r="B181" s="4">
        <v>46056</v>
      </c>
      <c r="C181" s="5">
        <v>0.62693287037037038</v>
      </c>
      <c r="D181" s="8" t="s">
        <v>9876</v>
      </c>
      <c r="E181" s="8" t="s">
        <v>5137</v>
      </c>
      <c r="F181" s="8"/>
      <c r="H181" s="8"/>
      <c r="I181" s="8" t="s">
        <v>11388</v>
      </c>
      <c r="J181" s="8" t="s">
        <v>2987</v>
      </c>
      <c r="K181" t="s">
        <v>11389</v>
      </c>
      <c r="L181" t="s">
        <v>11390</v>
      </c>
      <c r="M181" s="3" t="str">
        <f>HYPERLINK(склад2въезд13192021222378[[#This Row],[RelativePath]])</f>
        <v>12 Площадка 3 кран\K07156189_20_20260203T150247Z.jpg</v>
      </c>
    </row>
    <row r="182" spans="1:13" x14ac:dyDescent="0.25">
      <c r="A182" s="2" t="s">
        <v>15</v>
      </c>
      <c r="B182" s="4">
        <v>46057</v>
      </c>
      <c r="C182" s="5">
        <v>0.60813657407407407</v>
      </c>
      <c r="D182" s="8" t="s">
        <v>9914</v>
      </c>
      <c r="E182" s="8" t="s">
        <v>4247</v>
      </c>
      <c r="F182" s="8"/>
      <c r="H182" s="8"/>
      <c r="I182" s="8" t="s">
        <v>11547</v>
      </c>
      <c r="J182" s="8" t="s">
        <v>2987</v>
      </c>
      <c r="K182" t="s">
        <v>11548</v>
      </c>
      <c r="L182" t="s">
        <v>11549</v>
      </c>
      <c r="M182" s="3" t="str">
        <f>HYPERLINK(склад2въезд13192021222378[[#This Row],[RelativePath]])</f>
        <v>12 Площадка 3 кран\K07156189_20_20260204T143543Z.jpg</v>
      </c>
    </row>
    <row r="183" spans="1:13" x14ac:dyDescent="0.25">
      <c r="A183" s="2" t="s">
        <v>16</v>
      </c>
      <c r="B183" s="4">
        <v>46058</v>
      </c>
      <c r="C183" s="5">
        <v>0.71260416666666671</v>
      </c>
      <c r="D183" s="8" t="s">
        <v>2004</v>
      </c>
      <c r="E183" s="8" t="s">
        <v>8</v>
      </c>
      <c r="F183" s="8"/>
      <c r="H183" s="8"/>
      <c r="I183" s="8" t="s">
        <v>11550</v>
      </c>
      <c r="J183" s="8" t="s">
        <v>2987</v>
      </c>
      <c r="K183" t="s">
        <v>11551</v>
      </c>
      <c r="L183" t="s">
        <v>11552</v>
      </c>
      <c r="M183" s="3" t="str">
        <f>HYPERLINK(склад2въезд13192021222378[[#This Row],[RelativePath]])</f>
        <v>12 Площадка 3 кран\K07156189_20_20260205T170609Z.jpg</v>
      </c>
    </row>
    <row r="184" spans="1:13" x14ac:dyDescent="0.25">
      <c r="A184" s="2" t="s">
        <v>17</v>
      </c>
      <c r="B184" s="4">
        <v>46059</v>
      </c>
      <c r="C184" s="5">
        <v>0.49523148148148149</v>
      </c>
      <c r="D184" s="8" t="s">
        <v>4</v>
      </c>
      <c r="E184" s="8" t="s">
        <v>8</v>
      </c>
      <c r="F184" s="8"/>
      <c r="H184" s="8"/>
      <c r="I184" s="8" t="s">
        <v>11553</v>
      </c>
      <c r="J184" s="8" t="s">
        <v>2987</v>
      </c>
      <c r="K184" t="s">
        <v>11554</v>
      </c>
      <c r="L184" t="s">
        <v>11555</v>
      </c>
      <c r="M184" s="3" t="str">
        <f>HYPERLINK(склад2въезд13192021222378[[#This Row],[RelativePath]])</f>
        <v>12 Площадка 3 кран\K07156189_20_20260206T115308Z.jpg</v>
      </c>
    </row>
    <row r="185" spans="1:13" x14ac:dyDescent="0.25">
      <c r="A185" s="2" t="s">
        <v>17</v>
      </c>
      <c r="B185" s="4">
        <v>46059</v>
      </c>
      <c r="C185" s="5">
        <v>0.50211805555555555</v>
      </c>
      <c r="D185" s="8" t="s">
        <v>9876</v>
      </c>
      <c r="E185" s="8" t="s">
        <v>5137</v>
      </c>
      <c r="F185" s="8"/>
      <c r="H185" s="8"/>
      <c r="I185" s="8" t="s">
        <v>11556</v>
      </c>
      <c r="J185" s="8" t="s">
        <v>2987</v>
      </c>
      <c r="K185" t="s">
        <v>11557</v>
      </c>
      <c r="L185" t="s">
        <v>11558</v>
      </c>
      <c r="M185" s="3" t="str">
        <f>HYPERLINK(склад2въезд13192021222378[[#This Row],[RelativePath]])</f>
        <v>12 Площадка 3 кран\K07156189_20_20260206T120303Z.jpg</v>
      </c>
    </row>
    <row r="186" spans="1:13" x14ac:dyDescent="0.25">
      <c r="A186" s="2" t="s">
        <v>17</v>
      </c>
      <c r="B186" s="4">
        <v>46059</v>
      </c>
      <c r="C186" s="5">
        <v>0.69060185185185186</v>
      </c>
      <c r="D186" s="8" t="s">
        <v>4</v>
      </c>
      <c r="E186" s="8" t="s">
        <v>8</v>
      </c>
      <c r="F186" s="8"/>
      <c r="H186" s="8"/>
      <c r="I186" s="8" t="s">
        <v>11559</v>
      </c>
      <c r="J186" s="8" t="s">
        <v>2987</v>
      </c>
      <c r="K186" t="s">
        <v>11560</v>
      </c>
      <c r="L186" t="s">
        <v>11561</v>
      </c>
      <c r="M186" s="3" t="str">
        <f>HYPERLINK(склад2въезд13192021222378[[#This Row],[RelativePath]])</f>
        <v>12 Площадка 3 кран\K07156189_20_20260206T163428Z.jpg</v>
      </c>
    </row>
    <row r="187" spans="1:13" x14ac:dyDescent="0.25">
      <c r="A187" s="2" t="s">
        <v>18</v>
      </c>
      <c r="B187" s="4">
        <v>46060</v>
      </c>
      <c r="C187" s="5">
        <v>0.34230324074074076</v>
      </c>
      <c r="D187" s="8" t="s">
        <v>2004</v>
      </c>
      <c r="E187" s="8" t="s">
        <v>8</v>
      </c>
      <c r="F187" s="8"/>
      <c r="H187" s="8"/>
      <c r="I187" s="8" t="s">
        <v>11754</v>
      </c>
      <c r="J187" s="8" t="s">
        <v>2987</v>
      </c>
      <c r="K187" t="s">
        <v>11755</v>
      </c>
      <c r="L187" t="s">
        <v>11756</v>
      </c>
      <c r="M187" s="3" t="str">
        <f>HYPERLINK(склад2въезд13192021222378[[#This Row],[RelativePath]])</f>
        <v>12 Площадка 3 кран\K07156189_20_20260207T081255Z.jpg</v>
      </c>
    </row>
    <row r="188" spans="1:13" x14ac:dyDescent="0.25">
      <c r="A188" s="2" t="s">
        <v>22</v>
      </c>
      <c r="B188" s="4">
        <v>46061</v>
      </c>
      <c r="C188" s="5">
        <v>0.67795138888888884</v>
      </c>
      <c r="D188" s="8" t="s">
        <v>9876</v>
      </c>
      <c r="E188" s="8" t="s">
        <v>5137</v>
      </c>
      <c r="F188" s="8"/>
      <c r="H188" s="8"/>
      <c r="I188" s="8" t="s">
        <v>11757</v>
      </c>
      <c r="J188" s="8" t="s">
        <v>2987</v>
      </c>
      <c r="K188" t="s">
        <v>11758</v>
      </c>
      <c r="L188" t="s">
        <v>11759</v>
      </c>
      <c r="M188" s="3" t="str">
        <f>HYPERLINK(склад2въезд13192021222378[[#This Row],[RelativePath]])</f>
        <v>12 Площадка 3 кран\K07156189_20_20260208T161615Z.jpg</v>
      </c>
    </row>
    <row r="189" spans="1:13" x14ac:dyDescent="0.25">
      <c r="A189" s="2" t="s">
        <v>22</v>
      </c>
      <c r="B189" s="4">
        <v>46061</v>
      </c>
      <c r="C189" s="5">
        <v>0.70753472222222225</v>
      </c>
      <c r="D189" s="8" t="s">
        <v>9876</v>
      </c>
      <c r="E189" s="8" t="s">
        <v>5137</v>
      </c>
      <c r="F189" s="8"/>
      <c r="H189" s="8"/>
      <c r="I189" s="8" t="s">
        <v>11760</v>
      </c>
      <c r="J189" s="8" t="s">
        <v>2987</v>
      </c>
      <c r="K189" t="s">
        <v>11761</v>
      </c>
      <c r="L189" t="s">
        <v>11762</v>
      </c>
      <c r="M189" s="3" t="str">
        <f>HYPERLINK(склад2въезд13192021222378[[#This Row],[RelativePath]])</f>
        <v>12 Площадка 3 кран\K07156189_20_20260208T165851Z.jpg</v>
      </c>
    </row>
    <row r="190" spans="1:13" x14ac:dyDescent="0.25">
      <c r="A190" s="2" t="s">
        <v>22</v>
      </c>
      <c r="B190" s="4">
        <v>46061</v>
      </c>
      <c r="C190" s="5">
        <v>0.72619212962962965</v>
      </c>
      <c r="D190" s="8" t="s">
        <v>4</v>
      </c>
      <c r="E190" s="8" t="s">
        <v>8</v>
      </c>
      <c r="F190" s="8"/>
      <c r="H190" s="8"/>
      <c r="I190" s="8" t="s">
        <v>11763</v>
      </c>
      <c r="J190" s="8" t="s">
        <v>2987</v>
      </c>
      <c r="K190" t="s">
        <v>11764</v>
      </c>
      <c r="L190" t="s">
        <v>11765</v>
      </c>
      <c r="M190" s="3" t="str">
        <f>HYPERLINK(склад2въезд13192021222378[[#This Row],[RelativePath]])</f>
        <v>12 Площадка 3 кран\K07156189_20_20260208T172543Z.jpg</v>
      </c>
    </row>
  </sheetData>
  <conditionalFormatting sqref="D191:D201 E191:E204 G2:H190 D2:E190">
    <cfRule type="containsText" dxfId="613" priority="14" operator="containsText" text="Выезд с территории">
      <formula>NOT(ISERROR(SEARCH("Выезд с территории",D2)))</formula>
    </cfRule>
  </conditionalFormatting>
  <conditionalFormatting sqref="F2:F190">
    <cfRule type="notContainsText" dxfId="612" priority="13" operator="notContains" text="порожний">
      <formula>ISERROR(SEARCH("порожний",F2))</formula>
    </cfRule>
  </conditionalFormatting>
  <conditionalFormatting sqref="E2:E204">
    <cfRule type="containsText" dxfId="611" priority="11" operator="containsText" text="Газель базы">
      <formula>NOT(ISERROR(SEARCH("Газель базы",E2)))</formula>
    </cfRule>
    <cfRule type="containsText" dxfId="610" priority="12" operator="containsText" text="Погрузчик базы">
      <formula>NOT(ISERROR(SEARCH("Погрузчик базы",E2)))</formula>
    </cfRule>
  </conditionalFormatting>
  <conditionalFormatting sqref="E2:E204">
    <cfRule type="containsText" dxfId="609" priority="10" operator="containsText" text="Трактор базы">
      <formula>NOT(ISERROR(SEARCH("Трактор базы",E2)))</formula>
    </cfRule>
  </conditionalFormatting>
  <conditionalFormatting sqref="A2:C190">
    <cfRule type="expression" dxfId="608" priority="9">
      <formula>$A2="пн"</formula>
    </cfRule>
  </conditionalFormatting>
  <conditionalFormatting sqref="A2:C192">
    <cfRule type="expression" dxfId="607" priority="3">
      <formula>$A2="вс"</formula>
    </cfRule>
    <cfRule type="expression" dxfId="606" priority="4">
      <formula>$A2="сб"</formula>
    </cfRule>
    <cfRule type="expression" dxfId="605" priority="5">
      <formula>$A2="пт"</formula>
    </cfRule>
    <cfRule type="expression" dxfId="604" priority="6">
      <formula>$A2="чт"</formula>
    </cfRule>
    <cfRule type="expression" dxfId="603" priority="7">
      <formula>$A2="ср"</formula>
    </cfRule>
    <cfRule type="expression" dxfId="602" priority="8">
      <formula>$A2="вт"</formula>
    </cfRule>
  </conditionalFormatting>
  <conditionalFormatting sqref="D2:D201">
    <cfRule type="containsText" dxfId="60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1">
    <cfRule type="containsText" dxfId="60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165"/>
  <sheetViews>
    <sheetView zoomScale="90" zoomScaleNormal="90" workbookViewId="0">
      <pane ySplit="1" topLeftCell="A155" activePane="bottomLeft" state="frozen"/>
      <selection pane="bottomLeft" activeCell="I164" sqref="I164:I16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8554687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8" t="s">
        <v>4</v>
      </c>
      <c r="E2" s="8" t="s">
        <v>8</v>
      </c>
      <c r="F2" s="8"/>
      <c r="H2" s="8"/>
      <c r="I2" s="8" t="s">
        <v>1937</v>
      </c>
      <c r="J2" s="8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8" t="s">
        <v>4</v>
      </c>
      <c r="E3" s="8" t="s">
        <v>8</v>
      </c>
      <c r="F3" s="8"/>
      <c r="H3" s="8"/>
      <c r="I3" s="8" t="s">
        <v>1940</v>
      </c>
      <c r="J3" s="8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8" t="s">
        <v>4</v>
      </c>
      <c r="E4" s="8" t="s">
        <v>8</v>
      </c>
      <c r="F4" s="8"/>
      <c r="H4" s="8"/>
      <c r="I4" s="8" t="s">
        <v>1943</v>
      </c>
      <c r="J4" s="8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8" t="s">
        <v>4</v>
      </c>
      <c r="E5" s="8" t="s">
        <v>8</v>
      </c>
      <c r="F5" s="8"/>
      <c r="H5" s="8"/>
      <c r="I5" s="8" t="s">
        <v>1946</v>
      </c>
      <c r="J5" s="8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8" t="s">
        <v>4</v>
      </c>
      <c r="E6" s="8" t="s">
        <v>8</v>
      </c>
      <c r="F6" s="8"/>
      <c r="H6" s="8"/>
      <c r="I6" s="8" t="s">
        <v>1949</v>
      </c>
      <c r="J6" s="8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8" t="s">
        <v>289</v>
      </c>
      <c r="E7" s="8" t="s">
        <v>86</v>
      </c>
      <c r="F7" s="8" t="s">
        <v>1998</v>
      </c>
      <c r="H7" s="8"/>
      <c r="I7" s="8" t="s">
        <v>1952</v>
      </c>
      <c r="J7" s="8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8" t="s">
        <v>1999</v>
      </c>
      <c r="E8" s="8" t="s">
        <v>86</v>
      </c>
      <c r="F8" s="8" t="s">
        <v>1998</v>
      </c>
      <c r="H8" s="8"/>
      <c r="I8" s="8" t="s">
        <v>1955</v>
      </c>
      <c r="J8" s="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8" t="s">
        <v>1999</v>
      </c>
      <c r="E9" s="8" t="s">
        <v>86</v>
      </c>
      <c r="F9" s="8" t="s">
        <v>1998</v>
      </c>
      <c r="H9" s="8"/>
      <c r="I9" s="8" t="s">
        <v>1958</v>
      </c>
      <c r="J9" s="8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8" t="s">
        <v>4</v>
      </c>
      <c r="E10" s="8" t="s">
        <v>8</v>
      </c>
      <c r="F10" s="8"/>
      <c r="H10" s="8"/>
      <c r="I10" s="8" t="s">
        <v>1961</v>
      </c>
      <c r="J10" s="8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8" t="s">
        <v>4</v>
      </c>
      <c r="E11" s="8" t="s">
        <v>8</v>
      </c>
      <c r="F11" s="8"/>
      <c r="H11" s="8"/>
      <c r="I11" s="8" t="s">
        <v>1964</v>
      </c>
      <c r="J11" s="8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8" t="s">
        <v>4</v>
      </c>
      <c r="E12" s="8" t="s">
        <v>8</v>
      </c>
      <c r="F12" s="8"/>
      <c r="H12" s="8"/>
      <c r="I12" s="8" t="s">
        <v>1967</v>
      </c>
      <c r="J12" s="8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8" t="s">
        <v>4</v>
      </c>
      <c r="E13" s="8" t="s">
        <v>8</v>
      </c>
      <c r="F13" s="8"/>
      <c r="H13" s="8"/>
      <c r="I13" s="8" t="s">
        <v>1970</v>
      </c>
      <c r="J13" s="8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8" t="s">
        <v>4</v>
      </c>
      <c r="E14" s="8" t="s">
        <v>8</v>
      </c>
      <c r="F14" s="8"/>
      <c r="H14" s="8"/>
      <c r="I14" s="8" t="s">
        <v>1973</v>
      </c>
      <c r="J14" s="8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8" t="s">
        <v>4</v>
      </c>
      <c r="E15" s="8" t="s">
        <v>8</v>
      </c>
      <c r="F15" s="8"/>
      <c r="H15" s="8"/>
      <c r="I15" s="8" t="s">
        <v>1976</v>
      </c>
      <c r="J15" s="8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8" t="s">
        <v>4</v>
      </c>
      <c r="E16" s="8" t="s">
        <v>8</v>
      </c>
      <c r="F16" s="8"/>
      <c r="H16" s="8"/>
      <c r="I16" s="8" t="s">
        <v>1979</v>
      </c>
      <c r="J16" s="8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8" t="s">
        <v>4</v>
      </c>
      <c r="E17" s="8" t="s">
        <v>8</v>
      </c>
      <c r="F17" s="8"/>
      <c r="H17" s="8"/>
      <c r="I17" s="8" t="s">
        <v>1982</v>
      </c>
      <c r="J17" s="8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8" t="s">
        <v>4</v>
      </c>
      <c r="E18" s="8" t="s">
        <v>8</v>
      </c>
      <c r="F18" s="8"/>
      <c r="H18" s="8"/>
      <c r="I18" s="8" t="s">
        <v>1985</v>
      </c>
      <c r="J18" s="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8" t="s">
        <v>4</v>
      </c>
      <c r="E19" s="8" t="s">
        <v>8</v>
      </c>
      <c r="F19" s="8"/>
      <c r="H19" s="8"/>
      <c r="I19" s="8" t="s">
        <v>1988</v>
      </c>
      <c r="J19" s="8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8" t="s">
        <v>4</v>
      </c>
      <c r="E20" s="8" t="s">
        <v>8</v>
      </c>
      <c r="F20" s="8"/>
      <c r="H20" s="8"/>
      <c r="I20" s="8" t="s">
        <v>1991</v>
      </c>
      <c r="J20" s="8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8" t="s">
        <v>4</v>
      </c>
      <c r="E21" s="8" t="s">
        <v>8</v>
      </c>
      <c r="F21" s="8"/>
      <c r="H21" s="8"/>
      <c r="I21" s="8" t="s">
        <v>1994</v>
      </c>
      <c r="J21" s="8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8" t="s">
        <v>4</v>
      </c>
      <c r="E22" s="8" t="s">
        <v>8</v>
      </c>
      <c r="F22" s="8"/>
      <c r="H22" s="8"/>
      <c r="I22" s="8" t="s">
        <v>2976</v>
      </c>
      <c r="J22" s="8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8" t="s">
        <v>533</v>
      </c>
      <c r="E23" s="8" t="s">
        <v>531</v>
      </c>
      <c r="F23" s="8" t="s">
        <v>58</v>
      </c>
      <c r="H23" s="8" t="s">
        <v>2979</v>
      </c>
      <c r="I23" s="8" t="s">
        <v>2896</v>
      </c>
      <c r="J23" s="8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8" t="s">
        <v>533</v>
      </c>
      <c r="E24" s="8" t="s">
        <v>531</v>
      </c>
      <c r="F24" s="8" t="s">
        <v>58</v>
      </c>
      <c r="H24" s="8" t="s">
        <v>2979</v>
      </c>
      <c r="I24" s="8" t="s">
        <v>2899</v>
      </c>
      <c r="J24" s="8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8" t="s">
        <v>533</v>
      </c>
      <c r="E25" s="8" t="s">
        <v>531</v>
      </c>
      <c r="F25" s="8" t="s">
        <v>58</v>
      </c>
      <c r="H25" s="8" t="s">
        <v>2979</v>
      </c>
      <c r="I25" s="8" t="s">
        <v>2902</v>
      </c>
      <c r="J25" s="8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8" t="s">
        <v>2004</v>
      </c>
      <c r="E26" s="8"/>
      <c r="F26" s="8"/>
      <c r="H26" s="8"/>
      <c r="I26" s="8" t="s">
        <v>2905</v>
      </c>
      <c r="J26" s="8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8" t="s">
        <v>2004</v>
      </c>
      <c r="E27" s="8"/>
      <c r="F27" s="8"/>
      <c r="H27" s="8"/>
      <c r="I27" s="8" t="s">
        <v>2908</v>
      </c>
      <c r="J27" s="8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8" t="s">
        <v>2014</v>
      </c>
      <c r="E28" s="8"/>
      <c r="F28" s="8"/>
      <c r="H28" s="8"/>
      <c r="I28" s="8" t="s">
        <v>2911</v>
      </c>
      <c r="J28" s="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8" t="s">
        <v>2004</v>
      </c>
      <c r="E29" s="8"/>
      <c r="F29" s="8"/>
      <c r="H29" s="8"/>
      <c r="I29" s="8" t="s">
        <v>2914</v>
      </c>
      <c r="J29" s="8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8" t="s">
        <v>2004</v>
      </c>
      <c r="E30" s="8"/>
      <c r="F30" s="8"/>
      <c r="H30" s="8"/>
      <c r="I30" s="8" t="s">
        <v>2917</v>
      </c>
      <c r="J30" s="8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8" t="s">
        <v>2014</v>
      </c>
      <c r="E31" s="8"/>
      <c r="F31" s="8"/>
      <c r="H31" s="8"/>
      <c r="I31" s="8" t="s">
        <v>4166</v>
      </c>
      <c r="J31" s="8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8" t="s">
        <v>4</v>
      </c>
      <c r="E32" s="8" t="s">
        <v>4249</v>
      </c>
      <c r="F32" s="8"/>
      <c r="H32" s="8"/>
      <c r="I32" s="8" t="s">
        <v>4169</v>
      </c>
      <c r="J32" s="8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8" t="s">
        <v>4</v>
      </c>
      <c r="E33" s="8" t="s">
        <v>4250</v>
      </c>
      <c r="F33" s="8"/>
      <c r="H33" s="8"/>
      <c r="I33" s="8" t="s">
        <v>4172</v>
      </c>
      <c r="J33" s="8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8" t="s">
        <v>4</v>
      </c>
      <c r="E34" s="8" t="s">
        <v>4251</v>
      </c>
      <c r="F34" s="8"/>
      <c r="H34" s="8"/>
      <c r="I34" s="8" t="s">
        <v>4175</v>
      </c>
      <c r="J34" s="8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8" t="s">
        <v>4</v>
      </c>
      <c r="E35" s="8" t="s">
        <v>8</v>
      </c>
      <c r="F35" s="8"/>
      <c r="H35" s="8"/>
      <c r="I35" s="8" t="s">
        <v>4178</v>
      </c>
      <c r="J35" s="8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8" t="s">
        <v>4</v>
      </c>
      <c r="E36" s="8" t="s">
        <v>8</v>
      </c>
      <c r="F36" s="8"/>
      <c r="H36" s="8"/>
      <c r="I36" s="8" t="s">
        <v>4181</v>
      </c>
      <c r="J36" s="8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8" t="s">
        <v>4212</v>
      </c>
      <c r="E37" s="8"/>
      <c r="F37" s="8"/>
      <c r="H37" s="8"/>
      <c r="I37" s="8" t="s">
        <v>4187</v>
      </c>
      <c r="J37" s="8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8" t="s">
        <v>2004</v>
      </c>
      <c r="E38" s="8"/>
      <c r="F38" s="8"/>
      <c r="H38" s="8"/>
      <c r="I38" s="8" t="s">
        <v>4184</v>
      </c>
      <c r="J38" s="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8" t="s">
        <v>4298</v>
      </c>
      <c r="E39" s="8"/>
      <c r="F39" s="8"/>
      <c r="H39" s="8"/>
      <c r="I39" s="8" t="s">
        <v>4294</v>
      </c>
      <c r="J39" s="8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8" t="s">
        <v>2014</v>
      </c>
      <c r="E40" s="8"/>
      <c r="F40" s="8"/>
      <c r="H40" s="8"/>
      <c r="I40" s="8" t="s">
        <v>4981</v>
      </c>
      <c r="J40" s="8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8" t="s">
        <v>2014</v>
      </c>
      <c r="E41" s="8"/>
      <c r="F41" s="8"/>
      <c r="H41" s="8"/>
      <c r="I41" s="8" t="s">
        <v>4984</v>
      </c>
      <c r="J41" s="8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8" t="s">
        <v>2014</v>
      </c>
      <c r="E42" s="8"/>
      <c r="F42" s="8"/>
      <c r="H42" s="8"/>
      <c r="I42" s="8" t="s">
        <v>4987</v>
      </c>
      <c r="J42" s="8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8" t="s">
        <v>2014</v>
      </c>
      <c r="E43" s="8"/>
      <c r="F43" s="8"/>
      <c r="H43" s="8"/>
      <c r="I43" s="8" t="s">
        <v>4990</v>
      </c>
      <c r="J43" s="8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8" t="s">
        <v>2014</v>
      </c>
      <c r="E44" s="8"/>
      <c r="F44" s="8"/>
      <c r="H44" s="8"/>
      <c r="I44" s="8" t="s">
        <v>4993</v>
      </c>
      <c r="J44" s="8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8" t="s">
        <v>2014</v>
      </c>
      <c r="E45" s="8"/>
      <c r="F45" s="8"/>
      <c r="H45" s="8"/>
      <c r="I45" s="8" t="s">
        <v>4996</v>
      </c>
      <c r="J45" s="8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8" t="s">
        <v>4</v>
      </c>
      <c r="E46" s="8" t="s">
        <v>5266</v>
      </c>
      <c r="F46" s="8"/>
      <c r="H46" s="8"/>
      <c r="I46" s="8" t="s">
        <v>5220</v>
      </c>
      <c r="J46" s="8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8" t="s">
        <v>4</v>
      </c>
      <c r="E47" s="8" t="s">
        <v>5267</v>
      </c>
      <c r="F47" s="8"/>
      <c r="H47" s="8"/>
      <c r="I47" s="8" t="s">
        <v>5223</v>
      </c>
      <c r="J47" s="8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8" t="s">
        <v>159</v>
      </c>
      <c r="E48" s="8" t="s">
        <v>5480</v>
      </c>
      <c r="F48" s="8" t="s">
        <v>4240</v>
      </c>
      <c r="H48" s="8"/>
      <c r="I48" s="8" t="s">
        <v>5468</v>
      </c>
      <c r="J48" s="8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8" t="s">
        <v>4</v>
      </c>
      <c r="E49" s="8" t="s">
        <v>8</v>
      </c>
      <c r="F49" s="8"/>
      <c r="H49" s="8"/>
      <c r="I49" s="8" t="s">
        <v>5471</v>
      </c>
      <c r="J49" s="8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8" t="s">
        <v>6191</v>
      </c>
      <c r="E50" s="8" t="s">
        <v>5480</v>
      </c>
      <c r="F50" s="8" t="s">
        <v>6182</v>
      </c>
      <c r="H50" s="8"/>
      <c r="I50" s="8" t="s">
        <v>5666</v>
      </c>
      <c r="J50" s="8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8" t="s">
        <v>6191</v>
      </c>
      <c r="E51" s="8" t="s">
        <v>5480</v>
      </c>
      <c r="F51" s="8" t="s">
        <v>6182</v>
      </c>
      <c r="H51" s="8" t="s">
        <v>2936</v>
      </c>
      <c r="I51" s="8" t="s">
        <v>5669</v>
      </c>
      <c r="J51" s="8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8" t="s">
        <v>4</v>
      </c>
      <c r="E52" s="8" t="s">
        <v>8</v>
      </c>
      <c r="F52" s="8"/>
      <c r="H52" s="8"/>
      <c r="I52" s="8" t="s">
        <v>5672</v>
      </c>
      <c r="J52" s="8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8" t="s">
        <v>4</v>
      </c>
      <c r="E53" s="8" t="s">
        <v>8</v>
      </c>
      <c r="F53" s="8"/>
      <c r="H53" s="8"/>
      <c r="I53" s="8" t="s">
        <v>5675</v>
      </c>
      <c r="J53" s="8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8" t="s">
        <v>4</v>
      </c>
      <c r="E54" s="8" t="s">
        <v>8</v>
      </c>
      <c r="F54" s="8"/>
      <c r="H54" s="8"/>
      <c r="I54" s="8" t="s">
        <v>5678</v>
      </c>
      <c r="J54" s="8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8" t="s">
        <v>2014</v>
      </c>
      <c r="E55" s="8"/>
      <c r="F55" s="8"/>
      <c r="H55" s="8"/>
      <c r="I55" s="8" t="s">
        <v>5681</v>
      </c>
      <c r="J55" s="8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8" t="s">
        <v>6191</v>
      </c>
      <c r="E56" s="8" t="s">
        <v>5480</v>
      </c>
      <c r="F56" s="8" t="s">
        <v>6172</v>
      </c>
      <c r="H56" s="8"/>
      <c r="I56" s="8" t="s">
        <v>5990</v>
      </c>
      <c r="J56" s="8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8" t="s">
        <v>4</v>
      </c>
      <c r="E57" s="8" t="s">
        <v>8</v>
      </c>
      <c r="F57" s="8"/>
      <c r="H57" s="8"/>
      <c r="I57" s="8" t="s">
        <v>5993</v>
      </c>
      <c r="J57" s="8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8" t="s">
        <v>4</v>
      </c>
      <c r="E58" s="8" t="s">
        <v>8</v>
      </c>
      <c r="F58" s="8"/>
      <c r="H58" s="8"/>
      <c r="I58" s="8" t="s">
        <v>5996</v>
      </c>
      <c r="J58" s="8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8" t="s">
        <v>4</v>
      </c>
      <c r="E59" s="8" t="s">
        <v>6167</v>
      </c>
      <c r="F59" s="8"/>
      <c r="H59" s="8"/>
      <c r="I59" s="8" t="s">
        <v>5999</v>
      </c>
      <c r="J59" s="8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8" t="s">
        <v>4</v>
      </c>
      <c r="E60" s="8" t="s">
        <v>8</v>
      </c>
      <c r="F60" s="8"/>
      <c r="H60" s="8"/>
      <c r="I60" s="8" t="s">
        <v>6002</v>
      </c>
      <c r="J60" s="8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8" t="s">
        <v>2004</v>
      </c>
      <c r="E61" s="8" t="s">
        <v>8</v>
      </c>
      <c r="F61" s="8"/>
      <c r="H61" s="8"/>
      <c r="I61" s="8" t="s">
        <v>6255</v>
      </c>
      <c r="J61" s="8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8" t="s">
        <v>289</v>
      </c>
      <c r="E62" s="8" t="s">
        <v>5480</v>
      </c>
      <c r="F62" s="8" t="s">
        <v>528</v>
      </c>
      <c r="H62" s="8"/>
      <c r="I62" s="8" t="s">
        <v>6515</v>
      </c>
      <c r="J62" s="8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8" t="s">
        <v>289</v>
      </c>
      <c r="E63" s="8" t="s">
        <v>5480</v>
      </c>
      <c r="F63" s="8" t="s">
        <v>528</v>
      </c>
      <c r="H63" s="8"/>
      <c r="I63" s="8" t="s">
        <v>6518</v>
      </c>
      <c r="J63" s="8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8" t="s">
        <v>289</v>
      </c>
      <c r="E64" s="8" t="s">
        <v>5480</v>
      </c>
      <c r="F64" s="8" t="s">
        <v>1621</v>
      </c>
      <c r="H64" s="8"/>
      <c r="I64" s="8" t="s">
        <v>6521</v>
      </c>
      <c r="J64" s="8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8" t="s">
        <v>533</v>
      </c>
      <c r="E65" s="8" t="s">
        <v>531</v>
      </c>
      <c r="F65" s="8" t="s">
        <v>58</v>
      </c>
      <c r="H65" s="8"/>
      <c r="I65" s="8" t="s">
        <v>6644</v>
      </c>
      <c r="J65" s="8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8" t="s">
        <v>533</v>
      </c>
      <c r="E66" s="8" t="s">
        <v>531</v>
      </c>
      <c r="F66" s="8" t="s">
        <v>58</v>
      </c>
      <c r="H66" s="8"/>
      <c r="I66" s="8" t="s">
        <v>6647</v>
      </c>
      <c r="J66" s="8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8" t="s">
        <v>533</v>
      </c>
      <c r="E67" s="8" t="s">
        <v>531</v>
      </c>
      <c r="F67" s="8" t="s">
        <v>58</v>
      </c>
      <c r="H67" s="8"/>
      <c r="I67" s="8" t="s">
        <v>6650</v>
      </c>
      <c r="J67" s="8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8" t="s">
        <v>4</v>
      </c>
      <c r="E68" s="8" t="s">
        <v>8</v>
      </c>
      <c r="F68" s="8"/>
      <c r="H68" s="8"/>
      <c r="I68" s="8" t="s">
        <v>6653</v>
      </c>
      <c r="J68" s="8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8" t="s">
        <v>289</v>
      </c>
      <c r="E69" s="8" t="s">
        <v>5480</v>
      </c>
      <c r="F69" s="8" t="s">
        <v>528</v>
      </c>
      <c r="H69" s="8"/>
      <c r="I69" s="8" t="s">
        <v>6829</v>
      </c>
      <c r="J69" s="8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8" t="s">
        <v>289</v>
      </c>
      <c r="E70" s="8" t="s">
        <v>5480</v>
      </c>
      <c r="F70" s="8" t="s">
        <v>528</v>
      </c>
      <c r="H70" s="8" t="s">
        <v>2936</v>
      </c>
      <c r="I70" s="8" t="s">
        <v>6832</v>
      </c>
      <c r="J70" s="8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8" t="s">
        <v>158</v>
      </c>
      <c r="E71" s="8" t="s">
        <v>5480</v>
      </c>
      <c r="F71" s="8" t="s">
        <v>528</v>
      </c>
      <c r="H71" s="8" t="s">
        <v>5102</v>
      </c>
      <c r="I71" s="8" t="s">
        <v>6835</v>
      </c>
      <c r="J71" s="8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8" t="s">
        <v>289</v>
      </c>
      <c r="E72" s="8" t="s">
        <v>5480</v>
      </c>
      <c r="F72" s="8" t="s">
        <v>528</v>
      </c>
      <c r="H72" s="8"/>
      <c r="I72" s="8" t="s">
        <v>6838</v>
      </c>
      <c r="J72" s="8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8" t="s">
        <v>158</v>
      </c>
      <c r="E73" s="8" t="s">
        <v>5480</v>
      </c>
      <c r="F73" s="8" t="s">
        <v>528</v>
      </c>
      <c r="H73" s="8" t="s">
        <v>5102</v>
      </c>
      <c r="I73" s="8" t="s">
        <v>6841</v>
      </c>
      <c r="J73" s="8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8" t="s">
        <v>4223</v>
      </c>
      <c r="E74" s="8" t="s">
        <v>5480</v>
      </c>
      <c r="F74" s="8" t="s">
        <v>6872</v>
      </c>
      <c r="H74" s="8" t="s">
        <v>6531</v>
      </c>
      <c r="I74" s="8" t="s">
        <v>6844</v>
      </c>
      <c r="J74" s="8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8" t="s">
        <v>4223</v>
      </c>
      <c r="E75" s="8" t="s">
        <v>5480</v>
      </c>
      <c r="F75" s="8" t="s">
        <v>6872</v>
      </c>
      <c r="H75" s="8" t="s">
        <v>2936</v>
      </c>
      <c r="I75" s="8" t="s">
        <v>6847</v>
      </c>
      <c r="J75" s="8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8" t="s">
        <v>158</v>
      </c>
      <c r="E76" s="8" t="s">
        <v>5480</v>
      </c>
      <c r="F76" s="8" t="s">
        <v>6872</v>
      </c>
      <c r="H76" s="8" t="s">
        <v>5102</v>
      </c>
      <c r="I76" s="8" t="s">
        <v>6850</v>
      </c>
      <c r="J76" s="8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8" t="s">
        <v>4</v>
      </c>
      <c r="E77" s="8" t="s">
        <v>6873</v>
      </c>
      <c r="F77" s="8"/>
      <c r="H77" s="8" t="s">
        <v>6531</v>
      </c>
      <c r="I77" s="8" t="s">
        <v>6853</v>
      </c>
      <c r="J77" s="8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8" t="s">
        <v>4</v>
      </c>
      <c r="E78" s="8" t="s">
        <v>2932</v>
      </c>
      <c r="F78" s="8"/>
      <c r="H78" s="8"/>
      <c r="I78" s="8" t="s">
        <v>6856</v>
      </c>
      <c r="J78" s="8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8" t="s">
        <v>4</v>
      </c>
      <c r="E79" s="8" t="s">
        <v>6874</v>
      </c>
      <c r="F79" s="8"/>
      <c r="H79" s="8"/>
      <c r="I79" s="8" t="s">
        <v>6859</v>
      </c>
      <c r="J79" s="8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8" t="s">
        <v>4</v>
      </c>
      <c r="E80" s="8" t="s">
        <v>8</v>
      </c>
      <c r="F80" s="8"/>
      <c r="H80" s="8"/>
      <c r="I80" s="8" t="s">
        <v>6862</v>
      </c>
      <c r="J80" s="8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s="8" t="s">
        <v>2004</v>
      </c>
      <c r="E81" s="8" t="s">
        <v>8</v>
      </c>
      <c r="F81" s="8"/>
      <c r="H81" s="8"/>
      <c r="I81" s="8" t="s">
        <v>7163</v>
      </c>
      <c r="J81" s="8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s="8" t="s">
        <v>2004</v>
      </c>
      <c r="E82" s="8" t="s">
        <v>8</v>
      </c>
      <c r="F82" s="8"/>
      <c r="H82" s="8"/>
      <c r="I82" s="8" t="s">
        <v>7157</v>
      </c>
      <c r="J82" s="8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s="8" t="s">
        <v>2004</v>
      </c>
      <c r="E83" s="8" t="s">
        <v>8</v>
      </c>
      <c r="F83" s="8"/>
      <c r="H83" s="8"/>
      <c r="I83" s="8" t="s">
        <v>7211</v>
      </c>
      <c r="J83" s="8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s="8" t="s">
        <v>2004</v>
      </c>
      <c r="E84" s="8" t="s">
        <v>8</v>
      </c>
      <c r="F84" s="8"/>
      <c r="H84" s="8"/>
      <c r="I84" s="8" t="s">
        <v>7311</v>
      </c>
      <c r="J84" s="8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s="8" t="s">
        <v>2004</v>
      </c>
      <c r="E85" s="8" t="s">
        <v>8</v>
      </c>
      <c r="F85" s="8"/>
      <c r="H85" s="8"/>
      <c r="I85" s="8" t="s">
        <v>7314</v>
      </c>
      <c r="J85" s="8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s="8" t="s">
        <v>4223</v>
      </c>
      <c r="E86" s="8" t="s">
        <v>5480</v>
      </c>
      <c r="F86" s="8" t="s">
        <v>60</v>
      </c>
      <c r="H86" s="8"/>
      <c r="I86" s="8" t="s">
        <v>7679</v>
      </c>
      <c r="J86" s="8" t="s">
        <v>2988</v>
      </c>
      <c r="K86" t="s">
        <v>7680</v>
      </c>
      <c r="L86" t="s">
        <v>7681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s="8" t="s">
        <v>2004</v>
      </c>
      <c r="E87" s="8" t="s">
        <v>8</v>
      </c>
      <c r="F87" s="8"/>
      <c r="H87" s="8"/>
      <c r="I87" s="8" t="s">
        <v>7682</v>
      </c>
      <c r="J87" s="8" t="s">
        <v>2988</v>
      </c>
      <c r="K87" t="s">
        <v>7683</v>
      </c>
      <c r="L87" t="s">
        <v>7684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s="8" t="s">
        <v>4</v>
      </c>
      <c r="E88" s="8" t="s">
        <v>4193</v>
      </c>
      <c r="F88" s="8"/>
      <c r="H88" s="8" t="s">
        <v>7718</v>
      </c>
      <c r="I88" s="8" t="s">
        <v>7685</v>
      </c>
      <c r="J88" s="8" t="s">
        <v>2988</v>
      </c>
      <c r="K88" t="s">
        <v>7686</v>
      </c>
      <c r="L88" t="s">
        <v>7687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s="8" t="s">
        <v>4223</v>
      </c>
      <c r="E89" s="8" t="s">
        <v>5480</v>
      </c>
      <c r="F89" s="8" t="s">
        <v>7713</v>
      </c>
      <c r="H89" s="8"/>
      <c r="I89" s="8" t="s">
        <v>7688</v>
      </c>
      <c r="J89" s="8" t="s">
        <v>2988</v>
      </c>
      <c r="K89" t="s">
        <v>7689</v>
      </c>
      <c r="L89" t="s">
        <v>7690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s="8" t="s">
        <v>4223</v>
      </c>
      <c r="E90" s="8" t="s">
        <v>5480</v>
      </c>
      <c r="F90" s="8" t="s">
        <v>7719</v>
      </c>
      <c r="H90" s="8"/>
      <c r="I90" s="8" t="s">
        <v>7691</v>
      </c>
      <c r="J90" s="8" t="s">
        <v>2988</v>
      </c>
      <c r="K90" t="s">
        <v>7692</v>
      </c>
      <c r="L90" t="s">
        <v>7693</v>
      </c>
      <c r="M90" s="3" t="str">
        <f>HYPERLINK(склад2въезд131920212223789[[#This Row],[RelativePath]])</f>
        <v>13 Склад хол\K07156189_23_20251225T162309Z.jpg</v>
      </c>
    </row>
    <row r="91" spans="1:13" x14ac:dyDescent="0.25">
      <c r="A91" s="2" t="s">
        <v>17</v>
      </c>
      <c r="B91" s="4">
        <v>46017</v>
      </c>
      <c r="C91" s="5">
        <v>0.39837962962962964</v>
      </c>
      <c r="D91" s="8" t="s">
        <v>4223</v>
      </c>
      <c r="E91" s="8" t="s">
        <v>5480</v>
      </c>
      <c r="F91" s="8" t="s">
        <v>60</v>
      </c>
      <c r="H91" s="8"/>
      <c r="I91" s="8" t="s">
        <v>7792</v>
      </c>
      <c r="J91" s="8" t="s">
        <v>2988</v>
      </c>
      <c r="K91" t="s">
        <v>7793</v>
      </c>
      <c r="L91" t="s">
        <v>7794</v>
      </c>
      <c r="M91" s="3" t="str">
        <f>HYPERLINK(склад2въезд131920212223789[[#This Row],[RelativePath]])</f>
        <v>13 Склад хол\K07156189_23_20251226T093340Z.jpg</v>
      </c>
    </row>
    <row r="92" spans="1:13" x14ac:dyDescent="0.25">
      <c r="A92" s="2" t="s">
        <v>17</v>
      </c>
      <c r="B92" s="4">
        <v>46017</v>
      </c>
      <c r="C92" s="5">
        <v>0.39859953703703704</v>
      </c>
      <c r="D92" s="8" t="s">
        <v>4223</v>
      </c>
      <c r="E92" s="8" t="s">
        <v>5480</v>
      </c>
      <c r="F92" s="8" t="s">
        <v>60</v>
      </c>
      <c r="H92" s="8"/>
      <c r="I92" s="8" t="s">
        <v>7795</v>
      </c>
      <c r="J92" s="8" t="s">
        <v>2988</v>
      </c>
      <c r="K92" t="s">
        <v>7796</v>
      </c>
      <c r="L92" t="s">
        <v>7797</v>
      </c>
      <c r="M92" s="3" t="str">
        <f>HYPERLINK(склад2въезд131920212223789[[#This Row],[RelativePath]])</f>
        <v>13 Склад хол\K07156189_23_20251226T093359Z.jpg</v>
      </c>
    </row>
    <row r="93" spans="1:13" x14ac:dyDescent="0.25">
      <c r="A93" s="2" t="s">
        <v>17</v>
      </c>
      <c r="B93" s="4">
        <v>46017</v>
      </c>
      <c r="C93" s="5">
        <v>0.40739583333333335</v>
      </c>
      <c r="D93" s="8" t="s">
        <v>4223</v>
      </c>
      <c r="E93" s="8" t="s">
        <v>5480</v>
      </c>
      <c r="F93" s="8" t="s">
        <v>7719</v>
      </c>
      <c r="H93" s="8"/>
      <c r="I93" s="8" t="s">
        <v>7798</v>
      </c>
      <c r="J93" s="8" t="s">
        <v>2988</v>
      </c>
      <c r="K93" t="s">
        <v>7799</v>
      </c>
      <c r="L93" t="s">
        <v>7800</v>
      </c>
      <c r="M93" s="3" t="str">
        <f>HYPERLINK(склад2въезд131920212223789[[#This Row],[RelativePath]])</f>
        <v>13 Склад хол\K07156189_23_20251226T094639Z.jpg</v>
      </c>
    </row>
    <row r="94" spans="1:13" x14ac:dyDescent="0.25">
      <c r="A94" s="2" t="s">
        <v>17</v>
      </c>
      <c r="B94" s="4">
        <v>46017</v>
      </c>
      <c r="C94" s="5">
        <v>0.42027777777777775</v>
      </c>
      <c r="D94" s="8" t="s">
        <v>4</v>
      </c>
      <c r="E94" s="8" t="s">
        <v>4193</v>
      </c>
      <c r="F94" s="8"/>
      <c r="H94" s="8" t="s">
        <v>7718</v>
      </c>
      <c r="I94" s="8" t="s">
        <v>7801</v>
      </c>
      <c r="J94" s="8" t="s">
        <v>2988</v>
      </c>
      <c r="K94" t="s">
        <v>7802</v>
      </c>
      <c r="L94" t="s">
        <v>7803</v>
      </c>
      <c r="M94" s="3" t="str">
        <f>HYPERLINK(склад2въезд131920212223789[[#This Row],[RelativePath]])</f>
        <v>13 Склад хол\K07156189_23_20251226T100512Z.jpg</v>
      </c>
    </row>
    <row r="95" spans="1:13" x14ac:dyDescent="0.25">
      <c r="A95" s="2" t="s">
        <v>17</v>
      </c>
      <c r="B95" s="4">
        <v>46017</v>
      </c>
      <c r="C95" s="5">
        <v>0.44064814814814812</v>
      </c>
      <c r="D95" s="8" t="s">
        <v>4</v>
      </c>
      <c r="E95" s="8" t="s">
        <v>8</v>
      </c>
      <c r="F95" s="8"/>
      <c r="H95" s="8" t="s">
        <v>2936</v>
      </c>
      <c r="I95" s="8" t="s">
        <v>7804</v>
      </c>
      <c r="J95" s="8" t="s">
        <v>2988</v>
      </c>
      <c r="K95" t="s">
        <v>7805</v>
      </c>
      <c r="L95" t="s">
        <v>7806</v>
      </c>
      <c r="M95" s="3" t="str">
        <f>HYPERLINK(склад2въезд131920212223789[[#This Row],[RelativePath]])</f>
        <v>13 Склад хол\K07156189_23_20251226T103432Z.jpg</v>
      </c>
    </row>
    <row r="96" spans="1:13" x14ac:dyDescent="0.25">
      <c r="A96" s="2" t="s">
        <v>17</v>
      </c>
      <c r="B96" s="4">
        <v>46017</v>
      </c>
      <c r="C96" s="5">
        <v>0.4448611111111111</v>
      </c>
      <c r="D96" s="8" t="s">
        <v>4</v>
      </c>
      <c r="E96" s="8" t="s">
        <v>8</v>
      </c>
      <c r="F96" s="8"/>
      <c r="H96" s="8" t="s">
        <v>2936</v>
      </c>
      <c r="I96" s="8" t="s">
        <v>7807</v>
      </c>
      <c r="J96" s="8" t="s">
        <v>2988</v>
      </c>
      <c r="K96" t="s">
        <v>7808</v>
      </c>
      <c r="L96" t="s">
        <v>7809</v>
      </c>
      <c r="M96" s="3" t="str">
        <f>HYPERLINK(склад2въезд131920212223789[[#This Row],[RelativePath]])</f>
        <v>13 Склад хол\K07156189_23_20251226T104036Z.jpg</v>
      </c>
    </row>
    <row r="97" spans="1:13" x14ac:dyDescent="0.25">
      <c r="A97" s="2" t="s">
        <v>17</v>
      </c>
      <c r="B97" s="4">
        <v>46017</v>
      </c>
      <c r="C97" s="5">
        <v>0.4556365740740741</v>
      </c>
      <c r="D97" s="8" t="s">
        <v>4223</v>
      </c>
      <c r="E97" s="8" t="s">
        <v>5480</v>
      </c>
      <c r="F97" s="8" t="s">
        <v>7714</v>
      </c>
      <c r="H97" s="8"/>
      <c r="I97" s="8" t="s">
        <v>7810</v>
      </c>
      <c r="J97" s="8" t="s">
        <v>2988</v>
      </c>
      <c r="K97" t="s">
        <v>7811</v>
      </c>
      <c r="L97" t="s">
        <v>7812</v>
      </c>
      <c r="M97" s="3" t="str">
        <f>HYPERLINK(склад2въезд131920212223789[[#This Row],[RelativePath]])</f>
        <v>13 Склад хол\K07156189_23_20251226T105607Z.jpg</v>
      </c>
    </row>
    <row r="98" spans="1:13" x14ac:dyDescent="0.25">
      <c r="A98" s="2" t="s">
        <v>17</v>
      </c>
      <c r="B98" s="4">
        <v>46017</v>
      </c>
      <c r="C98" s="5">
        <v>0.51545138888888886</v>
      </c>
      <c r="D98" s="8" t="s">
        <v>4223</v>
      </c>
      <c r="E98" s="8" t="s">
        <v>5480</v>
      </c>
      <c r="F98" s="8" t="s">
        <v>60</v>
      </c>
      <c r="H98" s="8"/>
      <c r="I98" s="8" t="s">
        <v>7813</v>
      </c>
      <c r="J98" s="8" t="s">
        <v>2988</v>
      </c>
      <c r="K98" t="s">
        <v>7814</v>
      </c>
      <c r="L98" t="s">
        <v>7815</v>
      </c>
      <c r="M98" s="3" t="str">
        <f>HYPERLINK(склад2въезд131920212223789[[#This Row],[RelativePath]])</f>
        <v>13 Склад хол\K07156189_23_20251226T122215Z.jpg</v>
      </c>
    </row>
    <row r="99" spans="1:13" x14ac:dyDescent="0.25">
      <c r="A99" s="2" t="s">
        <v>17</v>
      </c>
      <c r="B99" s="4">
        <v>46017</v>
      </c>
      <c r="C99" s="5">
        <v>0.70399305555555558</v>
      </c>
      <c r="D99" s="8" t="s">
        <v>4</v>
      </c>
      <c r="E99" s="8" t="s">
        <v>8</v>
      </c>
      <c r="F99" s="8"/>
      <c r="H99" s="8"/>
      <c r="I99" s="8" t="s">
        <v>7816</v>
      </c>
      <c r="J99" s="8" t="s">
        <v>2988</v>
      </c>
      <c r="K99" t="s">
        <v>7817</v>
      </c>
      <c r="L99" t="s">
        <v>7818</v>
      </c>
      <c r="M99" s="3" t="str">
        <f>HYPERLINK(склад2въезд131920212223789[[#This Row],[RelativePath]])</f>
        <v>13 Склад хол\K07156189_23_20251226T165345Z.jpg</v>
      </c>
    </row>
    <row r="100" spans="1:13" x14ac:dyDescent="0.25">
      <c r="A100" s="2" t="s">
        <v>18</v>
      </c>
      <c r="B100" s="4">
        <v>46018</v>
      </c>
      <c r="C100" s="5">
        <v>0.64461805555555551</v>
      </c>
      <c r="D100" s="8" t="s">
        <v>4</v>
      </c>
      <c r="E100" s="8" t="s">
        <v>8</v>
      </c>
      <c r="F100" s="8"/>
      <c r="H100" s="8"/>
      <c r="I100" s="8" t="s">
        <v>7983</v>
      </c>
      <c r="J100" s="8" t="s">
        <v>2988</v>
      </c>
      <c r="K100" t="s">
        <v>7984</v>
      </c>
      <c r="L100" t="s">
        <v>7985</v>
      </c>
      <c r="M100" s="3" t="str">
        <f>HYPERLINK(склад2въезд131920212223789[[#This Row],[RelativePath]])</f>
        <v>13 Склад хол\K07156189_23_20251227T152815Z.jpg</v>
      </c>
    </row>
    <row r="101" spans="1:13" x14ac:dyDescent="0.25">
      <c r="A101" s="2" t="s">
        <v>18</v>
      </c>
      <c r="B101" s="4">
        <v>46018</v>
      </c>
      <c r="C101" s="5">
        <v>0.71253472222222225</v>
      </c>
      <c r="D101" s="8" t="s">
        <v>4</v>
      </c>
      <c r="E101" s="8" t="s">
        <v>8</v>
      </c>
      <c r="F101" s="8"/>
      <c r="H101" s="8"/>
      <c r="I101" s="8" t="s">
        <v>7986</v>
      </c>
      <c r="J101" s="8" t="s">
        <v>2988</v>
      </c>
      <c r="K101" t="s">
        <v>7987</v>
      </c>
      <c r="L101" t="s">
        <v>7988</v>
      </c>
      <c r="M101" s="3" t="str">
        <f>HYPERLINK(склад2въезд131920212223789[[#This Row],[RelativePath]])</f>
        <v>13 Склад хол\K07156189_23_20251227T170603Z.jpg</v>
      </c>
    </row>
    <row r="102" spans="1:13" x14ac:dyDescent="0.25">
      <c r="A102" s="2" t="s">
        <v>22</v>
      </c>
      <c r="B102" s="4">
        <v>46019</v>
      </c>
      <c r="C102" s="5">
        <v>0.57256944444444446</v>
      </c>
      <c r="D102" s="8" t="s">
        <v>4</v>
      </c>
      <c r="E102" s="8" t="s">
        <v>8</v>
      </c>
      <c r="F102" s="8"/>
      <c r="H102" s="8"/>
      <c r="I102" s="8" t="s">
        <v>7989</v>
      </c>
      <c r="J102" s="8" t="s">
        <v>2988</v>
      </c>
      <c r="K102" t="s">
        <v>7990</v>
      </c>
      <c r="L102" t="s">
        <v>7991</v>
      </c>
      <c r="M102" s="3" t="str">
        <f>HYPERLINK(склад2въезд131920212223789[[#This Row],[RelativePath]])</f>
        <v>13 Склад хол\K07156189_23_20251228T134430Z.jpg</v>
      </c>
    </row>
    <row r="103" spans="1:13" x14ac:dyDescent="0.25">
      <c r="A103" s="2" t="s">
        <v>13</v>
      </c>
      <c r="B103" s="4">
        <v>46020</v>
      </c>
      <c r="C103" s="5">
        <v>0.61881944444444448</v>
      </c>
      <c r="D103" s="8" t="s">
        <v>533</v>
      </c>
      <c r="E103" s="8" t="s">
        <v>531</v>
      </c>
      <c r="F103" s="8" t="s">
        <v>8361</v>
      </c>
      <c r="H103" s="8"/>
      <c r="I103" s="8" t="s">
        <v>8273</v>
      </c>
      <c r="J103" s="8" t="s">
        <v>2988</v>
      </c>
      <c r="K103" t="s">
        <v>8274</v>
      </c>
      <c r="L103" t="s">
        <v>8275</v>
      </c>
      <c r="M103" s="3" t="str">
        <f>HYPERLINK(склад2въезд131920212223789[[#This Row],[RelativePath]])</f>
        <v>13 Склад хол\K07156189_23_20251229T145106Z.jpg</v>
      </c>
    </row>
    <row r="104" spans="1:13" x14ac:dyDescent="0.25">
      <c r="A104" s="2" t="s">
        <v>14</v>
      </c>
      <c r="B104" s="4">
        <v>46021</v>
      </c>
      <c r="C104" s="5">
        <v>0.68046296296296294</v>
      </c>
      <c r="D104" s="8" t="s">
        <v>2004</v>
      </c>
      <c r="E104" s="8" t="s">
        <v>8</v>
      </c>
      <c r="F104" s="8"/>
      <c r="H104" s="8"/>
      <c r="I104" s="8" t="s">
        <v>8276</v>
      </c>
      <c r="J104" s="8" t="s">
        <v>2988</v>
      </c>
      <c r="K104" t="s">
        <v>8277</v>
      </c>
      <c r="L104" t="s">
        <v>8278</v>
      </c>
      <c r="M104" s="3" t="str">
        <f>HYPERLINK(склад2въезд131920212223789[[#This Row],[RelativePath]])</f>
        <v>13 Склад хол\K07156189_23_20251230T161952Z.jpg</v>
      </c>
    </row>
    <row r="105" spans="1:13" x14ac:dyDescent="0.25">
      <c r="A105" s="2" t="s">
        <v>15</v>
      </c>
      <c r="B105" s="4">
        <v>46022</v>
      </c>
      <c r="C105" s="5">
        <v>0.62459490740740742</v>
      </c>
      <c r="D105" s="8" t="s">
        <v>2004</v>
      </c>
      <c r="E105" s="8" t="s">
        <v>8</v>
      </c>
      <c r="F105" s="8"/>
      <c r="H105" s="8"/>
      <c r="I105" s="8" t="s">
        <v>8279</v>
      </c>
      <c r="J105" s="8" t="s">
        <v>2988</v>
      </c>
      <c r="K105" t="s">
        <v>8280</v>
      </c>
      <c r="L105" t="s">
        <v>8281</v>
      </c>
      <c r="M105" s="3" t="str">
        <f>HYPERLINK(склад2въезд131920212223789[[#This Row],[RelativePath]])</f>
        <v>13 Склад хол\K07156189_23_20251231T145925Z.jpg</v>
      </c>
    </row>
    <row r="106" spans="1:13" x14ac:dyDescent="0.25">
      <c r="A106" s="2" t="s">
        <v>16</v>
      </c>
      <c r="B106" s="4">
        <v>46023</v>
      </c>
      <c r="C106" s="5">
        <v>0.71039351851851851</v>
      </c>
      <c r="D106" s="8" t="s">
        <v>2004</v>
      </c>
      <c r="E106" s="8" t="s">
        <v>8</v>
      </c>
      <c r="F106" s="8"/>
      <c r="H106" s="8"/>
      <c r="I106" s="8" t="s">
        <v>8282</v>
      </c>
      <c r="J106" s="8" t="s">
        <v>2988</v>
      </c>
      <c r="K106" t="s">
        <v>8283</v>
      </c>
      <c r="L106" t="s">
        <v>8284</v>
      </c>
      <c r="M106" s="3" t="str">
        <f>HYPERLINK(склад2въезд131920212223789[[#This Row],[RelativePath]])</f>
        <v>13 Склад хол\K07156189_23_20260101T170258Z.jpg</v>
      </c>
    </row>
    <row r="107" spans="1:13" x14ac:dyDescent="0.25">
      <c r="A107" s="2" t="s">
        <v>17</v>
      </c>
      <c r="B107" s="4">
        <v>46024</v>
      </c>
      <c r="C107" s="5">
        <v>0.58374999999999999</v>
      </c>
      <c r="D107" s="8" t="s">
        <v>2004</v>
      </c>
      <c r="E107" s="8" t="s">
        <v>8</v>
      </c>
      <c r="F107" s="8"/>
      <c r="H107" s="8"/>
      <c r="I107" s="8" t="s">
        <v>8465</v>
      </c>
      <c r="J107" s="8" t="s">
        <v>2988</v>
      </c>
      <c r="K107" t="s">
        <v>8466</v>
      </c>
      <c r="L107" t="s">
        <v>8467</v>
      </c>
      <c r="M107" s="3" t="str">
        <f>HYPERLINK(склад2въезд131920212223789[[#This Row],[RelativePath]])</f>
        <v>13 Склад хол\K07156189_23_20260102T140036Z.jpg</v>
      </c>
    </row>
    <row r="108" spans="1:13" x14ac:dyDescent="0.25">
      <c r="A108" s="2" t="s">
        <v>18</v>
      </c>
      <c r="B108" s="4">
        <v>46025</v>
      </c>
      <c r="C108" s="5">
        <v>0.68453703703703705</v>
      </c>
      <c r="D108" s="8" t="s">
        <v>2004</v>
      </c>
      <c r="E108" s="8" t="s">
        <v>8</v>
      </c>
      <c r="F108" s="8"/>
      <c r="H108" s="8"/>
      <c r="I108" s="8" t="s">
        <v>8468</v>
      </c>
      <c r="J108" s="8" t="s">
        <v>2988</v>
      </c>
      <c r="K108" t="s">
        <v>8469</v>
      </c>
      <c r="L108" t="s">
        <v>8470</v>
      </c>
      <c r="M108" s="3" t="str">
        <f>HYPERLINK(склад2въезд131920212223789[[#This Row],[RelativePath]])</f>
        <v>13 Склад хол\K07156189_23_20260103T162544Z.jpg</v>
      </c>
    </row>
    <row r="109" spans="1:13" x14ac:dyDescent="0.25">
      <c r="A109" s="2" t="s">
        <v>22</v>
      </c>
      <c r="B109" s="4">
        <v>46026</v>
      </c>
      <c r="C109" s="5">
        <v>0.60297453703703707</v>
      </c>
      <c r="D109" s="8" t="s">
        <v>2004</v>
      </c>
      <c r="E109" s="8" t="s">
        <v>8</v>
      </c>
      <c r="F109" s="8"/>
      <c r="H109" s="8"/>
      <c r="I109" s="8" t="s">
        <v>8471</v>
      </c>
      <c r="J109" s="8" t="s">
        <v>2988</v>
      </c>
      <c r="K109" t="s">
        <v>8472</v>
      </c>
      <c r="L109" t="s">
        <v>8473</v>
      </c>
      <c r="M109" s="3" t="str">
        <f>HYPERLINK(склад2въезд131920212223789[[#This Row],[RelativePath]])</f>
        <v>13 Склад хол\K07156189_23_20260104T142817Z.jpg</v>
      </c>
    </row>
    <row r="110" spans="1:13" x14ac:dyDescent="0.25">
      <c r="A110" s="2" t="s">
        <v>13</v>
      </c>
      <c r="B110" s="4">
        <v>46027</v>
      </c>
      <c r="C110" s="5">
        <v>0.54106481481481483</v>
      </c>
      <c r="D110" s="8" t="s">
        <v>2004</v>
      </c>
      <c r="E110" s="8" t="s">
        <v>8</v>
      </c>
      <c r="F110" s="8"/>
      <c r="H110" s="8"/>
      <c r="I110" s="8" t="s">
        <v>8778</v>
      </c>
      <c r="J110" s="8" t="s">
        <v>2988</v>
      </c>
      <c r="K110" t="s">
        <v>8779</v>
      </c>
      <c r="L110" t="s">
        <v>8780</v>
      </c>
      <c r="M110" s="3" t="str">
        <f>HYPERLINK(склад2въезд131920212223789[[#This Row],[RelativePath]])</f>
        <v>13 Склад хол\K07156189_23_20260105T125908Z.jpg</v>
      </c>
    </row>
    <row r="111" spans="1:13" x14ac:dyDescent="0.25">
      <c r="A111" s="2" t="s">
        <v>14</v>
      </c>
      <c r="B111" s="4">
        <v>46028</v>
      </c>
      <c r="C111" s="5">
        <v>0.45634259259259258</v>
      </c>
      <c r="D111" s="8" t="s">
        <v>2004</v>
      </c>
      <c r="E111" s="8" t="s">
        <v>8</v>
      </c>
      <c r="F111" s="8"/>
      <c r="H111" s="8"/>
      <c r="I111" s="8" t="s">
        <v>8781</v>
      </c>
      <c r="J111" s="8" t="s">
        <v>2988</v>
      </c>
      <c r="K111" t="s">
        <v>8782</v>
      </c>
      <c r="L111" t="s">
        <v>8783</v>
      </c>
      <c r="M111" s="3" t="str">
        <f>HYPERLINK(склад2въезд131920212223789[[#This Row],[RelativePath]])</f>
        <v>13 Склад хол\K07156189_23_20260106T105708Z.jpg</v>
      </c>
    </row>
    <row r="112" spans="1:13" x14ac:dyDescent="0.25">
      <c r="A112" s="2" t="s">
        <v>15</v>
      </c>
      <c r="B112" s="4">
        <v>46029</v>
      </c>
      <c r="C112" s="5">
        <v>0.5448263888888889</v>
      </c>
      <c r="D112" s="8" t="s">
        <v>2004</v>
      </c>
      <c r="E112" s="8" t="s">
        <v>8</v>
      </c>
      <c r="F112" s="8"/>
      <c r="H112" s="8"/>
      <c r="I112" s="8" t="s">
        <v>8784</v>
      </c>
      <c r="J112" s="8" t="s">
        <v>2988</v>
      </c>
      <c r="K112" t="s">
        <v>8785</v>
      </c>
      <c r="L112" t="s">
        <v>8786</v>
      </c>
      <c r="M112" s="3" t="str">
        <f>HYPERLINK(склад2въезд131920212223789[[#This Row],[RelativePath]])</f>
        <v>13 Склад хол\K07156189_23_20260107T130433Z.jpg</v>
      </c>
    </row>
    <row r="113" spans="1:13" x14ac:dyDescent="0.25">
      <c r="A113" s="2" t="s">
        <v>16</v>
      </c>
      <c r="B113" s="4">
        <v>46030</v>
      </c>
      <c r="C113" s="5">
        <v>0.53621527777777778</v>
      </c>
      <c r="D113" s="8" t="s">
        <v>2004</v>
      </c>
      <c r="E113" s="8" t="s">
        <v>8</v>
      </c>
      <c r="F113" s="8"/>
      <c r="H113" s="8"/>
      <c r="I113" s="8" t="s">
        <v>8787</v>
      </c>
      <c r="J113" s="8" t="s">
        <v>2988</v>
      </c>
      <c r="K113" t="s">
        <v>8788</v>
      </c>
      <c r="L113" t="s">
        <v>8789</v>
      </c>
      <c r="M113" s="3" t="str">
        <f>HYPERLINK(склад2въезд131920212223789[[#This Row],[RelativePath]])</f>
        <v>13 Склад хол\K07156189_23_20260108T125209Z.jpg</v>
      </c>
    </row>
    <row r="114" spans="1:13" x14ac:dyDescent="0.25">
      <c r="A114" s="2" t="s">
        <v>17</v>
      </c>
      <c r="B114" s="4">
        <v>46031</v>
      </c>
      <c r="C114" s="5">
        <v>0.53267361111111111</v>
      </c>
      <c r="D114" s="8" t="s">
        <v>2004</v>
      </c>
      <c r="E114" s="8" t="s">
        <v>8</v>
      </c>
      <c r="F114" s="8"/>
      <c r="H114" s="8"/>
      <c r="I114" s="8" t="s">
        <v>8790</v>
      </c>
      <c r="J114" s="8" t="s">
        <v>2988</v>
      </c>
      <c r="K114" t="s">
        <v>8791</v>
      </c>
      <c r="L114" t="s">
        <v>8792</v>
      </c>
      <c r="M114" s="3" t="str">
        <f>HYPERLINK(склад2въезд131920212223789[[#This Row],[RelativePath]])</f>
        <v>13 Склад хол\K07156189_23_20260109T124703Z.jpg</v>
      </c>
    </row>
    <row r="115" spans="1:13" x14ac:dyDescent="0.25">
      <c r="A115" s="2" t="s">
        <v>18</v>
      </c>
      <c r="B115" s="4">
        <v>46032</v>
      </c>
      <c r="C115" s="5">
        <v>0.50515046296296295</v>
      </c>
      <c r="D115" s="8" t="s">
        <v>2004</v>
      </c>
      <c r="E115" s="8" t="s">
        <v>8</v>
      </c>
      <c r="F115" s="8"/>
      <c r="H115" s="8"/>
      <c r="I115" s="8" t="s">
        <v>8793</v>
      </c>
      <c r="J115" s="8" t="s">
        <v>2988</v>
      </c>
      <c r="K115" t="s">
        <v>8794</v>
      </c>
      <c r="L115" t="s">
        <v>8795</v>
      </c>
      <c r="M115" s="3" t="str">
        <f>HYPERLINK(склад2въезд131920212223789[[#This Row],[RelativePath]])</f>
        <v>13 Склад хол\K07156189_23_20260110T120725Z.jpg</v>
      </c>
    </row>
    <row r="116" spans="1:13" x14ac:dyDescent="0.25">
      <c r="A116" s="2" t="s">
        <v>22</v>
      </c>
      <c r="B116" s="4">
        <v>46033</v>
      </c>
      <c r="C116" s="5">
        <v>0.57033564814814819</v>
      </c>
      <c r="D116" s="8" t="s">
        <v>2004</v>
      </c>
      <c r="E116" s="8" t="s">
        <v>8</v>
      </c>
      <c r="F116" s="8"/>
      <c r="H116" s="8"/>
      <c r="I116" s="8" t="s">
        <v>8796</v>
      </c>
      <c r="J116" s="8" t="s">
        <v>2988</v>
      </c>
      <c r="K116" t="s">
        <v>8797</v>
      </c>
      <c r="L116" t="s">
        <v>8798</v>
      </c>
      <c r="M116" s="3" t="str">
        <f>HYPERLINK(склад2въезд131920212223789[[#This Row],[RelativePath]])</f>
        <v>13 Склад хол\K07156189_23_20260111T134117Z.jpg</v>
      </c>
    </row>
    <row r="117" spans="1:13" x14ac:dyDescent="0.25">
      <c r="A117" s="2" t="s">
        <v>13</v>
      </c>
      <c r="B117" s="4">
        <v>46034</v>
      </c>
      <c r="C117" s="5">
        <v>0.46107638888888891</v>
      </c>
      <c r="D117" s="8" t="s">
        <v>4</v>
      </c>
      <c r="E117" s="8" t="s">
        <v>8045</v>
      </c>
      <c r="F117" s="8"/>
      <c r="H117" s="8"/>
      <c r="I117" s="8" t="s">
        <v>9168</v>
      </c>
      <c r="J117" s="8" t="s">
        <v>2988</v>
      </c>
      <c r="K117" t="s">
        <v>9169</v>
      </c>
      <c r="L117" t="s">
        <v>9170</v>
      </c>
      <c r="M117" s="3" t="str">
        <f>HYPERLINK(склад2въезд131920212223789[[#This Row],[RelativePath]])</f>
        <v>13 Склад хол\K07156189_23_20260112T110357Z.jpg</v>
      </c>
    </row>
    <row r="118" spans="1:13" x14ac:dyDescent="0.25">
      <c r="A118" s="2" t="s">
        <v>13</v>
      </c>
      <c r="B118" s="4">
        <v>46034</v>
      </c>
      <c r="C118" s="5">
        <v>0.48598379629629629</v>
      </c>
      <c r="D118" s="8" t="s">
        <v>7171</v>
      </c>
      <c r="E118" s="8" t="s">
        <v>5480</v>
      </c>
      <c r="F118" s="8" t="s">
        <v>9202</v>
      </c>
      <c r="H118" s="8"/>
      <c r="I118" s="8" t="s">
        <v>9171</v>
      </c>
      <c r="J118" s="8" t="s">
        <v>2988</v>
      </c>
      <c r="K118" t="s">
        <v>9172</v>
      </c>
      <c r="L118" t="s">
        <v>9173</v>
      </c>
      <c r="M118" s="3" t="str">
        <f>HYPERLINK(склад2въезд131920212223789[[#This Row],[RelativePath]])</f>
        <v>13 Склад хол\K07156189_23_20260112T113949Z.jpg</v>
      </c>
    </row>
    <row r="119" spans="1:13" x14ac:dyDescent="0.25">
      <c r="A119" s="2" t="s">
        <v>13</v>
      </c>
      <c r="B119" s="4">
        <v>46034</v>
      </c>
      <c r="C119" s="5">
        <v>0.70489583333333339</v>
      </c>
      <c r="D119" s="8" t="s">
        <v>4</v>
      </c>
      <c r="E119" s="8" t="s">
        <v>8</v>
      </c>
      <c r="F119" s="8"/>
      <c r="H119" s="8"/>
      <c r="I119" s="8" t="s">
        <v>9174</v>
      </c>
      <c r="J119" s="8" t="s">
        <v>2988</v>
      </c>
      <c r="K119" t="s">
        <v>9175</v>
      </c>
      <c r="L119" t="s">
        <v>9176</v>
      </c>
      <c r="M119" s="3" t="str">
        <f>HYPERLINK(склад2въезд131920212223789[[#This Row],[RelativePath]])</f>
        <v>13 Склад хол\K07156189_23_20260112T165503Z.jpg</v>
      </c>
    </row>
    <row r="120" spans="1:13" x14ac:dyDescent="0.25">
      <c r="A120" s="2" t="s">
        <v>14</v>
      </c>
      <c r="B120" s="4">
        <v>46035</v>
      </c>
      <c r="C120" s="5">
        <v>0.46962962962962962</v>
      </c>
      <c r="D120" s="8" t="s">
        <v>4</v>
      </c>
      <c r="E120" s="8" t="s">
        <v>9212</v>
      </c>
      <c r="F120" s="8"/>
      <c r="H120" s="8"/>
      <c r="I120" s="8" t="s">
        <v>9177</v>
      </c>
      <c r="J120" s="8" t="s">
        <v>2988</v>
      </c>
      <c r="K120" t="s">
        <v>9178</v>
      </c>
      <c r="L120" t="s">
        <v>9179</v>
      </c>
      <c r="M120" s="3" t="str">
        <f>HYPERLINK(склад2въезд131920212223789[[#This Row],[RelativePath]])</f>
        <v>13 Склад хол\K07156189_23_20260113T111616Z.jpg</v>
      </c>
    </row>
    <row r="121" spans="1:13" x14ac:dyDescent="0.25">
      <c r="A121" s="2" t="s">
        <v>14</v>
      </c>
      <c r="B121" s="4">
        <v>46035</v>
      </c>
      <c r="C121" s="5">
        <v>0.47291666666666665</v>
      </c>
      <c r="D121" s="8" t="s">
        <v>4</v>
      </c>
      <c r="E121" s="8" t="s">
        <v>9212</v>
      </c>
      <c r="F121" s="8"/>
      <c r="H121" s="8"/>
      <c r="I121" s="8" t="s">
        <v>9180</v>
      </c>
      <c r="J121" s="8" t="s">
        <v>2988</v>
      </c>
      <c r="K121" t="s">
        <v>9181</v>
      </c>
      <c r="L121" t="s">
        <v>9182</v>
      </c>
      <c r="M121" s="3" t="str">
        <f>HYPERLINK(склад2въезд131920212223789[[#This Row],[RelativePath]])</f>
        <v>13 Склад хол\K07156189_23_20260113T112100Z.jpg</v>
      </c>
    </row>
    <row r="122" spans="1:13" x14ac:dyDescent="0.25">
      <c r="A122" s="2" t="s">
        <v>14</v>
      </c>
      <c r="B122" s="4">
        <v>46035</v>
      </c>
      <c r="C122" s="5">
        <v>0.62394675925925924</v>
      </c>
      <c r="D122" s="8" t="s">
        <v>4</v>
      </c>
      <c r="E122" s="8" t="s">
        <v>8</v>
      </c>
      <c r="F122" s="8"/>
      <c r="H122" s="8"/>
      <c r="I122" s="8" t="s">
        <v>9183</v>
      </c>
      <c r="J122" s="8" t="s">
        <v>2988</v>
      </c>
      <c r="K122" t="s">
        <v>9184</v>
      </c>
      <c r="L122" t="s">
        <v>9185</v>
      </c>
      <c r="M122" s="3" t="str">
        <f>HYPERLINK(склад2въезд131920212223789[[#This Row],[RelativePath]])</f>
        <v>13 Склад хол\K07156189_23_20260113T145829Z.jpg</v>
      </c>
    </row>
    <row r="123" spans="1:13" x14ac:dyDescent="0.25">
      <c r="A123" s="2" t="s">
        <v>15</v>
      </c>
      <c r="B123" s="4">
        <v>46036</v>
      </c>
      <c r="C123" s="5">
        <v>0.43501157407407409</v>
      </c>
      <c r="D123" s="8" t="s">
        <v>4</v>
      </c>
      <c r="E123" s="8" t="s">
        <v>8045</v>
      </c>
      <c r="F123" s="8"/>
      <c r="H123" s="8"/>
      <c r="I123" s="8" t="s">
        <v>9324</v>
      </c>
      <c r="J123" s="8" t="s">
        <v>2988</v>
      </c>
      <c r="K123" t="s">
        <v>9325</v>
      </c>
      <c r="L123" t="s">
        <v>9326</v>
      </c>
      <c r="M123" s="3" t="str">
        <f>HYPERLINK(склад2въезд131920212223789[[#This Row],[RelativePath]])</f>
        <v>13 Склад хол\K07156189_23_20260114T102625Z.jpg</v>
      </c>
    </row>
    <row r="124" spans="1:13" x14ac:dyDescent="0.25">
      <c r="A124" s="2" t="s">
        <v>15</v>
      </c>
      <c r="B124" s="4">
        <v>46036</v>
      </c>
      <c r="C124" s="5">
        <v>0.64631944444444445</v>
      </c>
      <c r="D124" s="8" t="s">
        <v>4</v>
      </c>
      <c r="E124" s="8" t="s">
        <v>8045</v>
      </c>
      <c r="F124" s="8"/>
      <c r="H124" s="8"/>
      <c r="I124" s="8" t="s">
        <v>9327</v>
      </c>
      <c r="J124" s="8" t="s">
        <v>2988</v>
      </c>
      <c r="K124" t="s">
        <v>9328</v>
      </c>
      <c r="L124" t="s">
        <v>9329</v>
      </c>
      <c r="M124" s="3" t="str">
        <f>HYPERLINK(склад2въезд131920212223789[[#This Row],[RelativePath]])</f>
        <v>13 Склад хол\K07156189_23_20260114T153042Z.jpg</v>
      </c>
    </row>
    <row r="125" spans="1:13" x14ac:dyDescent="0.25">
      <c r="A125" s="2" t="s">
        <v>15</v>
      </c>
      <c r="B125" s="4">
        <v>46036</v>
      </c>
      <c r="C125" s="5">
        <v>0.68539351851851849</v>
      </c>
      <c r="D125" s="8" t="s">
        <v>4</v>
      </c>
      <c r="E125" s="8" t="s">
        <v>8045</v>
      </c>
      <c r="F125" s="8"/>
      <c r="H125" s="8"/>
      <c r="I125" s="8" t="s">
        <v>9330</v>
      </c>
      <c r="J125" s="8" t="s">
        <v>2988</v>
      </c>
      <c r="K125" t="s">
        <v>9331</v>
      </c>
      <c r="L125" t="s">
        <v>9332</v>
      </c>
      <c r="M125" s="3" t="str">
        <f>HYPERLINK(склад2въезд131920212223789[[#This Row],[RelativePath]])</f>
        <v>13 Склад хол\K07156189_23_20260114T162658Z.jpg</v>
      </c>
    </row>
    <row r="126" spans="1:13" x14ac:dyDescent="0.25">
      <c r="A126" s="2" t="s">
        <v>15</v>
      </c>
      <c r="B126" s="4">
        <v>46036</v>
      </c>
      <c r="C126" s="5">
        <v>0.71561342592592592</v>
      </c>
      <c r="D126" s="8" t="s">
        <v>4</v>
      </c>
      <c r="E126" s="8" t="s">
        <v>8</v>
      </c>
      <c r="F126" s="8"/>
      <c r="H126" s="8"/>
      <c r="I126" s="8" t="s">
        <v>9333</v>
      </c>
      <c r="J126" s="8" t="s">
        <v>2988</v>
      </c>
      <c r="K126" t="s">
        <v>9334</v>
      </c>
      <c r="L126" t="s">
        <v>9335</v>
      </c>
      <c r="M126" s="3" t="str">
        <f>HYPERLINK(склад2въезд131920212223789[[#This Row],[RelativePath]])</f>
        <v>13 Склад хол\K07156189_23_20260114T171029Z.jpg</v>
      </c>
    </row>
    <row r="127" spans="1:13" x14ac:dyDescent="0.25">
      <c r="A127" s="2" t="s">
        <v>16</v>
      </c>
      <c r="B127" s="4">
        <v>46037</v>
      </c>
      <c r="C127" s="5">
        <v>0.61901620370370369</v>
      </c>
      <c r="D127" s="8" t="s">
        <v>4</v>
      </c>
      <c r="E127" s="8" t="s">
        <v>8</v>
      </c>
      <c r="F127" s="8"/>
      <c r="H127" s="8"/>
      <c r="I127" s="8" t="s">
        <v>9549</v>
      </c>
      <c r="J127" s="8" t="s">
        <v>2988</v>
      </c>
      <c r="K127" t="s">
        <v>9550</v>
      </c>
      <c r="L127" t="s">
        <v>9551</v>
      </c>
      <c r="M127" s="3" t="str">
        <f>HYPERLINK(склад2въезд131920212223789[[#This Row],[RelativePath]])</f>
        <v>13 Склад хол\K07156189_23_20260115T145123Z.jpg</v>
      </c>
    </row>
    <row r="128" spans="1:13" x14ac:dyDescent="0.25">
      <c r="A128" s="2" t="s">
        <v>16</v>
      </c>
      <c r="B128" s="4">
        <v>46037</v>
      </c>
      <c r="C128" s="5">
        <v>0.6963773148148148</v>
      </c>
      <c r="D128" s="8" t="s">
        <v>4</v>
      </c>
      <c r="E128" s="8" t="s">
        <v>8</v>
      </c>
      <c r="F128" s="8"/>
      <c r="H128" s="8"/>
      <c r="I128" s="8" t="s">
        <v>9552</v>
      </c>
      <c r="J128" s="8" t="s">
        <v>2988</v>
      </c>
      <c r="K128" t="s">
        <v>9553</v>
      </c>
      <c r="L128" t="s">
        <v>9554</v>
      </c>
      <c r="M128" s="3" t="str">
        <f>HYPERLINK(склад2въезд131920212223789[[#This Row],[RelativePath]])</f>
        <v>13 Склад хол\K07156189_23_20260115T164247Z.jpg</v>
      </c>
    </row>
    <row r="129" spans="1:13" x14ac:dyDescent="0.25">
      <c r="A129" s="2" t="s">
        <v>17</v>
      </c>
      <c r="B129" s="4">
        <v>46038</v>
      </c>
      <c r="C129" s="5">
        <v>0.45244212962962965</v>
      </c>
      <c r="D129" s="8" t="s">
        <v>4</v>
      </c>
      <c r="E129" s="8" t="s">
        <v>9212</v>
      </c>
      <c r="F129" s="8"/>
      <c r="H129" s="8"/>
      <c r="I129" s="8" t="s">
        <v>9555</v>
      </c>
      <c r="J129" s="8" t="s">
        <v>2988</v>
      </c>
      <c r="K129" t="s">
        <v>9556</v>
      </c>
      <c r="L129" t="s">
        <v>9557</v>
      </c>
      <c r="M129" s="3" t="str">
        <f>HYPERLINK(склад2въезд131920212223789[[#This Row],[RelativePath]])</f>
        <v>13 Склад хол\K07156189_23_20260116T105131Z.jpg</v>
      </c>
    </row>
    <row r="130" spans="1:13" x14ac:dyDescent="0.25">
      <c r="A130" s="2" t="s">
        <v>17</v>
      </c>
      <c r="B130" s="4">
        <v>46038</v>
      </c>
      <c r="C130" s="5">
        <v>0.46002314814814815</v>
      </c>
      <c r="D130" s="8" t="s">
        <v>4</v>
      </c>
      <c r="E130" s="8" t="s">
        <v>9212</v>
      </c>
      <c r="F130" s="8"/>
      <c r="H130" s="8"/>
      <c r="I130" s="8" t="s">
        <v>9558</v>
      </c>
      <c r="J130" s="8" t="s">
        <v>2988</v>
      </c>
      <c r="K130" t="s">
        <v>9559</v>
      </c>
      <c r="L130" t="s">
        <v>9560</v>
      </c>
      <c r="M130" s="3" t="str">
        <f>HYPERLINK(склад2въезд131920212223789[[#This Row],[RelativePath]])</f>
        <v>13 Склад хол\K07156189_23_20260116T110226Z.jpg</v>
      </c>
    </row>
    <row r="131" spans="1:13" x14ac:dyDescent="0.25">
      <c r="A131" s="2" t="s">
        <v>17</v>
      </c>
      <c r="B131" s="4">
        <v>46038</v>
      </c>
      <c r="C131" s="5">
        <v>0.52314814814814814</v>
      </c>
      <c r="D131" s="8" t="s">
        <v>4</v>
      </c>
      <c r="E131" s="8" t="s">
        <v>9212</v>
      </c>
      <c r="F131" s="8"/>
      <c r="H131" s="8"/>
      <c r="I131" s="8" t="s">
        <v>9561</v>
      </c>
      <c r="J131" s="8" t="s">
        <v>2988</v>
      </c>
      <c r="K131" t="s">
        <v>9562</v>
      </c>
      <c r="L131" t="s">
        <v>9563</v>
      </c>
      <c r="M131" s="3" t="str">
        <f>HYPERLINK(склад2въезд131920212223789[[#This Row],[RelativePath]])</f>
        <v>13 Склад хол\K07156189_23_20260116T123320Z.jpg</v>
      </c>
    </row>
    <row r="132" spans="1:13" x14ac:dyDescent="0.25">
      <c r="A132" s="2" t="s">
        <v>17</v>
      </c>
      <c r="B132" s="4">
        <v>46038</v>
      </c>
      <c r="C132" s="5">
        <v>0.52364583333333337</v>
      </c>
      <c r="D132" s="8" t="s">
        <v>4</v>
      </c>
      <c r="E132" s="8" t="s">
        <v>9212</v>
      </c>
      <c r="F132" s="8"/>
      <c r="H132" s="8"/>
      <c r="I132" s="8" t="s">
        <v>9564</v>
      </c>
      <c r="J132" s="8" t="s">
        <v>2988</v>
      </c>
      <c r="K132" t="s">
        <v>9565</v>
      </c>
      <c r="L132" t="s">
        <v>9566</v>
      </c>
      <c r="M132" s="3" t="str">
        <f>HYPERLINK(склад2въезд131920212223789[[#This Row],[RelativePath]])</f>
        <v>13 Склад хол\K07156189_23_20260116T123403Z.jpg</v>
      </c>
    </row>
    <row r="133" spans="1:13" x14ac:dyDescent="0.25">
      <c r="A133" s="2" t="s">
        <v>17</v>
      </c>
      <c r="B133" s="4">
        <v>46038</v>
      </c>
      <c r="C133" s="5">
        <v>0.70064814814814813</v>
      </c>
      <c r="D133" s="8" t="s">
        <v>4</v>
      </c>
      <c r="E133" s="8" t="s">
        <v>8</v>
      </c>
      <c r="F133" s="8"/>
      <c r="H133" s="8"/>
      <c r="I133" s="8" t="s">
        <v>9567</v>
      </c>
      <c r="J133" s="8" t="s">
        <v>2988</v>
      </c>
      <c r="K133" t="s">
        <v>9568</v>
      </c>
      <c r="L133" t="s">
        <v>9569</v>
      </c>
      <c r="M133" s="3" t="str">
        <f>HYPERLINK(склад2въезд131920212223789[[#This Row],[RelativePath]])</f>
        <v>13 Склад хол\K07156189_23_20260116T164856Z.jpg</v>
      </c>
    </row>
    <row r="134" spans="1:13" x14ac:dyDescent="0.25">
      <c r="A134" s="2" t="s">
        <v>18</v>
      </c>
      <c r="B134" s="4">
        <v>46039</v>
      </c>
      <c r="C134" s="5">
        <v>0.59474537037037034</v>
      </c>
      <c r="D134" s="8" t="s">
        <v>2004</v>
      </c>
      <c r="E134" s="8" t="s">
        <v>8</v>
      </c>
      <c r="F134" s="8"/>
      <c r="H134" s="8"/>
      <c r="I134" s="8" t="s">
        <v>9677</v>
      </c>
      <c r="J134" s="8" t="s">
        <v>2988</v>
      </c>
      <c r="K134" t="s">
        <v>9678</v>
      </c>
      <c r="L134" t="s">
        <v>9679</v>
      </c>
      <c r="M134" s="3" t="str">
        <f>HYPERLINK(склад2въезд131920212223789[[#This Row],[RelativePath]])</f>
        <v>13 Склад хол\K07156189_23_20260117T141626Z.jpg</v>
      </c>
    </row>
    <row r="135" spans="1:13" x14ac:dyDescent="0.25">
      <c r="A135" s="2" t="s">
        <v>22</v>
      </c>
      <c r="B135" s="4">
        <v>46040</v>
      </c>
      <c r="C135" s="5">
        <v>0.71983796296296299</v>
      </c>
      <c r="D135" s="8" t="s">
        <v>2004</v>
      </c>
      <c r="E135" s="8" t="s">
        <v>8</v>
      </c>
      <c r="F135" s="8"/>
      <c r="H135" s="8"/>
      <c r="I135" s="8" t="s">
        <v>9680</v>
      </c>
      <c r="J135" s="8" t="s">
        <v>2988</v>
      </c>
      <c r="K135" t="s">
        <v>9681</v>
      </c>
      <c r="L135" t="s">
        <v>9682</v>
      </c>
      <c r="M135" s="3" t="str">
        <f>HYPERLINK(склад2въезд131920212223789[[#This Row],[RelativePath]])</f>
        <v>13 Склад хол\K07156189_23_20260118T171634Z.jpg</v>
      </c>
    </row>
    <row r="136" spans="1:13" x14ac:dyDescent="0.25">
      <c r="A136" s="2" t="s">
        <v>13</v>
      </c>
      <c r="B136" s="4">
        <v>46041</v>
      </c>
      <c r="C136" s="5">
        <v>0.69590277777777776</v>
      </c>
      <c r="D136" s="8" t="s">
        <v>2004</v>
      </c>
      <c r="E136" s="8" t="s">
        <v>8</v>
      </c>
      <c r="F136" s="8"/>
      <c r="H136" s="8"/>
      <c r="I136" s="8" t="s">
        <v>9870</v>
      </c>
      <c r="J136" s="8" t="s">
        <v>2988</v>
      </c>
      <c r="K136" t="s">
        <v>9871</v>
      </c>
      <c r="L136" t="s">
        <v>9872</v>
      </c>
      <c r="M136" s="3" t="str">
        <f>HYPERLINK(склад2въезд131920212223789[[#This Row],[RelativePath]])</f>
        <v>13 Склад хол\K07156189_23_20260119T164206Z.jpg</v>
      </c>
    </row>
    <row r="137" spans="1:13" x14ac:dyDescent="0.25">
      <c r="A137" s="2" t="s">
        <v>14</v>
      </c>
      <c r="B137" s="4">
        <v>46042</v>
      </c>
      <c r="C137" s="5">
        <v>0.42664351851851851</v>
      </c>
      <c r="D137" s="8" t="s">
        <v>2004</v>
      </c>
      <c r="E137" s="8" t="s">
        <v>8</v>
      </c>
      <c r="F137" s="8"/>
      <c r="H137" s="8"/>
      <c r="I137" s="8" t="s">
        <v>9873</v>
      </c>
      <c r="J137" s="8" t="s">
        <v>2988</v>
      </c>
      <c r="K137" t="s">
        <v>9874</v>
      </c>
      <c r="L137" t="s">
        <v>9875</v>
      </c>
      <c r="M137" s="3" t="str">
        <f>HYPERLINK(склад2въезд131920212223789[[#This Row],[RelativePath]])</f>
        <v>13 Склад хол\K07156189_23_20260120T101422Z.jpg</v>
      </c>
    </row>
    <row r="138" spans="1:13" x14ac:dyDescent="0.25">
      <c r="A138" s="2" t="s">
        <v>15</v>
      </c>
      <c r="B138" s="4">
        <v>46043</v>
      </c>
      <c r="C138" s="5">
        <v>0.69363425925925926</v>
      </c>
      <c r="D138" s="8" t="s">
        <v>2004</v>
      </c>
      <c r="E138" s="8" t="s">
        <v>8</v>
      </c>
      <c r="F138" s="8"/>
      <c r="H138" s="8"/>
      <c r="I138" s="8" t="s">
        <v>10113</v>
      </c>
      <c r="J138" s="8" t="s">
        <v>2988</v>
      </c>
      <c r="K138" t="s">
        <v>10114</v>
      </c>
      <c r="L138" t="s">
        <v>10115</v>
      </c>
      <c r="M138" s="3" t="str">
        <f>HYPERLINK(склад2въезд131920212223789[[#This Row],[RelativePath]])</f>
        <v>13 Склад хол\K07156189_23_20260121T163850Z.jpg</v>
      </c>
    </row>
    <row r="139" spans="1:13" x14ac:dyDescent="0.25">
      <c r="A139" s="2" t="s">
        <v>16</v>
      </c>
      <c r="B139" s="4">
        <v>46044</v>
      </c>
      <c r="C139" s="5">
        <v>0.50263888888888886</v>
      </c>
      <c r="D139" s="8" t="s">
        <v>7171</v>
      </c>
      <c r="E139" s="8" t="s">
        <v>5480</v>
      </c>
      <c r="F139" s="8" t="s">
        <v>9202</v>
      </c>
      <c r="H139" s="8"/>
      <c r="I139" s="8" t="s">
        <v>10116</v>
      </c>
      <c r="J139" s="8" t="s">
        <v>2988</v>
      </c>
      <c r="K139" t="s">
        <v>10117</v>
      </c>
      <c r="L139" t="s">
        <v>10118</v>
      </c>
      <c r="M139" s="3" t="str">
        <f>HYPERLINK(склад2въезд131920212223789[[#This Row],[RelativePath]])</f>
        <v>13 Склад хол\K07156189_23_20260122T120348Z.jpg</v>
      </c>
    </row>
    <row r="140" spans="1:13" x14ac:dyDescent="0.25">
      <c r="A140" s="2" t="s">
        <v>16</v>
      </c>
      <c r="B140" s="4">
        <v>46044</v>
      </c>
      <c r="C140" s="5">
        <v>0.71048611111111115</v>
      </c>
      <c r="D140" s="8" t="s">
        <v>4</v>
      </c>
      <c r="E140" s="8" t="s">
        <v>8</v>
      </c>
      <c r="F140" s="8"/>
      <c r="H140" s="8"/>
      <c r="I140" s="8" t="s">
        <v>10119</v>
      </c>
      <c r="J140" s="8" t="s">
        <v>2988</v>
      </c>
      <c r="K140" t="s">
        <v>10120</v>
      </c>
      <c r="L140" t="s">
        <v>10121</v>
      </c>
      <c r="M140" s="3" t="str">
        <f>HYPERLINK(склад2въезд131920212223789[[#This Row],[RelativePath]])</f>
        <v>13 Склад хол\K07156189_23_20260122T170306Z.jpg</v>
      </c>
    </row>
    <row r="141" spans="1:13" x14ac:dyDescent="0.25">
      <c r="A141" s="2" t="s">
        <v>17</v>
      </c>
      <c r="B141" s="4">
        <v>46045</v>
      </c>
      <c r="C141" s="5">
        <v>0.48048611111111111</v>
      </c>
      <c r="D141" s="8" t="s">
        <v>4</v>
      </c>
      <c r="E141" s="8" t="s">
        <v>8</v>
      </c>
      <c r="F141" s="8"/>
      <c r="H141" s="8"/>
      <c r="I141" s="8" t="s">
        <v>10433</v>
      </c>
      <c r="J141" s="8" t="s">
        <v>2988</v>
      </c>
      <c r="K141" t="s">
        <v>10434</v>
      </c>
      <c r="L141" t="s">
        <v>10435</v>
      </c>
      <c r="M141" s="3" t="str">
        <f>HYPERLINK(склад2въезд131920212223789[[#This Row],[RelativePath]])</f>
        <v>13 Склад хол\K07156189_23_20260123T113154Z.jpg</v>
      </c>
    </row>
    <row r="142" spans="1:13" x14ac:dyDescent="0.25">
      <c r="A142" s="2" t="s">
        <v>17</v>
      </c>
      <c r="B142" s="4">
        <v>46045</v>
      </c>
      <c r="C142" s="5">
        <v>0.52121527777777776</v>
      </c>
      <c r="D142" s="8" t="s">
        <v>4</v>
      </c>
      <c r="E142" s="8" t="s">
        <v>8</v>
      </c>
      <c r="F142" s="8"/>
      <c r="H142" s="8" t="s">
        <v>2936</v>
      </c>
      <c r="I142" s="8" t="s">
        <v>10436</v>
      </c>
      <c r="J142" s="8" t="s">
        <v>2988</v>
      </c>
      <c r="K142" t="s">
        <v>10437</v>
      </c>
      <c r="L142" t="s">
        <v>10438</v>
      </c>
      <c r="M142" s="3" t="str">
        <f>HYPERLINK(склад2въезд131920212223789[[#This Row],[RelativePath]])</f>
        <v>13 Склад хол\K07156189_23_20260123T123033Z.jpg</v>
      </c>
    </row>
    <row r="143" spans="1:13" x14ac:dyDescent="0.25">
      <c r="A143" s="2" t="s">
        <v>17</v>
      </c>
      <c r="B143" s="4">
        <v>46045</v>
      </c>
      <c r="C143" s="5">
        <v>0.58937499999999998</v>
      </c>
      <c r="D143" s="8" t="s">
        <v>4</v>
      </c>
      <c r="E143" s="8" t="s">
        <v>8</v>
      </c>
      <c r="F143" s="8"/>
      <c r="H143" s="8" t="s">
        <v>2936</v>
      </c>
      <c r="I143" s="8" t="s">
        <v>10439</v>
      </c>
      <c r="J143" s="8" t="s">
        <v>2988</v>
      </c>
      <c r="K143" t="s">
        <v>10440</v>
      </c>
      <c r="L143" t="s">
        <v>10441</v>
      </c>
      <c r="M143" s="3" t="str">
        <f>HYPERLINK(склад2въезд131920212223789[[#This Row],[RelativePath]])</f>
        <v>13 Склад хол\K07156189_23_20260123T140842Z.jpg</v>
      </c>
    </row>
    <row r="144" spans="1:13" x14ac:dyDescent="0.25">
      <c r="A144" s="2" t="s">
        <v>18</v>
      </c>
      <c r="B144" s="4">
        <v>46046</v>
      </c>
      <c r="C144" s="5">
        <v>0.59510416666666666</v>
      </c>
      <c r="D144" s="8" t="s">
        <v>2004</v>
      </c>
      <c r="E144" s="8" t="s">
        <v>8</v>
      </c>
      <c r="F144" s="8"/>
      <c r="H144" s="8"/>
      <c r="I144" s="8" t="s">
        <v>10485</v>
      </c>
      <c r="J144" s="8" t="s">
        <v>2988</v>
      </c>
      <c r="K144" t="s">
        <v>10486</v>
      </c>
      <c r="L144" t="s">
        <v>10487</v>
      </c>
      <c r="M144" s="3" t="str">
        <f>HYPERLINK(склад2въезд131920212223789[[#This Row],[RelativePath]])</f>
        <v>13 Склад хол\K07156189_23_20260124T141657Z.jpg</v>
      </c>
    </row>
    <row r="145" spans="1:13" x14ac:dyDescent="0.25">
      <c r="A145" s="2" t="s">
        <v>22</v>
      </c>
      <c r="B145" s="4">
        <v>46047</v>
      </c>
      <c r="C145" s="5">
        <v>0.66177083333333331</v>
      </c>
      <c r="D145" s="8" t="s">
        <v>2004</v>
      </c>
      <c r="E145" s="8" t="s">
        <v>8</v>
      </c>
      <c r="F145" s="8"/>
      <c r="H145" s="8"/>
      <c r="I145" s="8" t="s">
        <v>10488</v>
      </c>
      <c r="J145" s="8" t="s">
        <v>2988</v>
      </c>
      <c r="K145" t="s">
        <v>10489</v>
      </c>
      <c r="L145" t="s">
        <v>10490</v>
      </c>
      <c r="M145" s="3" t="str">
        <f>HYPERLINK(склад2въезд131920212223789[[#This Row],[RelativePath]])</f>
        <v>13 Склад хол\K07156189_23_20260125T155257Z.jpg</v>
      </c>
    </row>
    <row r="146" spans="1:13" x14ac:dyDescent="0.25">
      <c r="A146" s="2" t="s">
        <v>13</v>
      </c>
      <c r="B146" s="4">
        <v>46048</v>
      </c>
      <c r="C146" s="5">
        <v>0.70393518518518516</v>
      </c>
      <c r="D146" s="8" t="s">
        <v>2004</v>
      </c>
      <c r="E146" s="8" t="s">
        <v>8</v>
      </c>
      <c r="F146" s="8"/>
      <c r="H146" s="8"/>
      <c r="I146" s="8" t="s">
        <v>10624</v>
      </c>
      <c r="J146" s="8" t="s">
        <v>2988</v>
      </c>
      <c r="K146" t="s">
        <v>10625</v>
      </c>
      <c r="L146" t="s">
        <v>10626</v>
      </c>
      <c r="M146" s="3" t="str">
        <f>HYPERLINK(склад2въезд131920212223789[[#This Row],[RelativePath]])</f>
        <v>13 Склад хол\K07156189_23_20260126T165340Z.jpg</v>
      </c>
    </row>
    <row r="147" spans="1:13" x14ac:dyDescent="0.25">
      <c r="A147" s="2" t="s">
        <v>14</v>
      </c>
      <c r="B147" s="4">
        <v>46049</v>
      </c>
      <c r="C147" s="5">
        <v>0.59751157407407407</v>
      </c>
      <c r="D147" s="8" t="s">
        <v>2004</v>
      </c>
      <c r="E147" s="8" t="s">
        <v>8</v>
      </c>
      <c r="F147" s="8"/>
      <c r="H147" s="8"/>
      <c r="I147" s="8" t="s">
        <v>10627</v>
      </c>
      <c r="J147" s="8" t="s">
        <v>2988</v>
      </c>
      <c r="K147" t="s">
        <v>10628</v>
      </c>
      <c r="L147" t="s">
        <v>10629</v>
      </c>
      <c r="M147" s="3" t="str">
        <f>HYPERLINK(склад2въезд131920212223789[[#This Row],[RelativePath]])</f>
        <v>13 Склад хол\K07156189_23_20260127T142025Z.jpg</v>
      </c>
    </row>
    <row r="148" spans="1:13" x14ac:dyDescent="0.25">
      <c r="A148" s="2" t="s">
        <v>15</v>
      </c>
      <c r="B148" s="4">
        <v>46050</v>
      </c>
      <c r="C148" s="5">
        <v>0.41715277777777776</v>
      </c>
      <c r="D148" s="8" t="s">
        <v>2004</v>
      </c>
      <c r="E148" s="8" t="s">
        <v>8</v>
      </c>
      <c r="F148" s="8"/>
      <c r="H148" s="8"/>
      <c r="I148" s="8" t="s">
        <v>10872</v>
      </c>
      <c r="J148" s="8" t="s">
        <v>2988</v>
      </c>
      <c r="K148" t="s">
        <v>10873</v>
      </c>
      <c r="L148" t="s">
        <v>10874</v>
      </c>
      <c r="M148" s="3" t="str">
        <f>HYPERLINK(склад2въезд131920212223789[[#This Row],[RelativePath]])</f>
        <v>13 Склад хол\K07156189_23_20260128T100042Z.jpg</v>
      </c>
    </row>
    <row r="149" spans="1:13" x14ac:dyDescent="0.25">
      <c r="A149" s="2" t="s">
        <v>16</v>
      </c>
      <c r="B149" s="4">
        <v>46051</v>
      </c>
      <c r="C149" s="5">
        <v>0.71858796296296301</v>
      </c>
      <c r="D149" s="8" t="s">
        <v>2004</v>
      </c>
      <c r="E149" s="8" t="s">
        <v>8</v>
      </c>
      <c r="F149" s="8"/>
      <c r="H149" s="8"/>
      <c r="I149" s="8" t="s">
        <v>10875</v>
      </c>
      <c r="J149" s="8" t="s">
        <v>2988</v>
      </c>
      <c r="K149" t="s">
        <v>10876</v>
      </c>
      <c r="L149" t="s">
        <v>10877</v>
      </c>
      <c r="M149" s="3" t="str">
        <f>HYPERLINK(склад2въезд131920212223789[[#This Row],[RelativePath]])</f>
        <v>13 Склад хол\K07156189_23_20260129T171446Z.jpg</v>
      </c>
    </row>
    <row r="150" spans="1:13" x14ac:dyDescent="0.25">
      <c r="A150" s="2" t="s">
        <v>17</v>
      </c>
      <c r="B150" s="4">
        <v>46052</v>
      </c>
      <c r="C150" s="5">
        <v>0.67129629629629628</v>
      </c>
      <c r="D150" s="8" t="s">
        <v>2004</v>
      </c>
      <c r="E150" s="8" t="s">
        <v>8</v>
      </c>
      <c r="F150" s="8"/>
      <c r="H150" s="8"/>
      <c r="I150" s="8" t="s">
        <v>11001</v>
      </c>
      <c r="J150" s="8" t="s">
        <v>2988</v>
      </c>
      <c r="K150" t="s">
        <v>11002</v>
      </c>
      <c r="L150" t="s">
        <v>11003</v>
      </c>
      <c r="M150" s="3" t="str">
        <f>HYPERLINK(склад2въезд131920212223789[[#This Row],[RelativePath]])</f>
        <v>13 Склад хол\K07156189_23_20260130T160640Z.jpg</v>
      </c>
    </row>
    <row r="151" spans="1:13" x14ac:dyDescent="0.25">
      <c r="A151" s="2" t="s">
        <v>18</v>
      </c>
      <c r="B151" s="4">
        <v>46053</v>
      </c>
      <c r="C151" s="5">
        <v>0.89428240740740739</v>
      </c>
      <c r="D151" s="8" t="s">
        <v>2014</v>
      </c>
      <c r="E151" s="8"/>
      <c r="F151" s="8"/>
      <c r="H151" s="8"/>
      <c r="I151" s="8" t="s">
        <v>11055</v>
      </c>
      <c r="J151" s="8" t="s">
        <v>2988</v>
      </c>
      <c r="K151" t="s">
        <v>11056</v>
      </c>
      <c r="L151" t="s">
        <v>11057</v>
      </c>
      <c r="M151" s="3" t="str">
        <f>HYPERLINK(склад2въезд131920212223789[[#This Row],[RelativePath]])</f>
        <v>13 Склад хол\K07156189_23_20260131T212746Z.jpg</v>
      </c>
    </row>
    <row r="152" spans="1:13" x14ac:dyDescent="0.25">
      <c r="A152" s="2" t="s">
        <v>22</v>
      </c>
      <c r="B152" s="4">
        <v>46054</v>
      </c>
      <c r="C152" s="5">
        <v>0.61293981481481485</v>
      </c>
      <c r="D152" s="8" t="s">
        <v>2004</v>
      </c>
      <c r="E152" s="8" t="s">
        <v>8</v>
      </c>
      <c r="F152" s="8"/>
      <c r="H152" s="8"/>
      <c r="I152" s="8" t="s">
        <v>11058</v>
      </c>
      <c r="J152" s="8" t="s">
        <v>2988</v>
      </c>
      <c r="K152" t="s">
        <v>11059</v>
      </c>
      <c r="L152" t="s">
        <v>11060</v>
      </c>
      <c r="M152" s="3" t="str">
        <f>HYPERLINK(склад2въезд131920212223789[[#This Row],[RelativePath]])</f>
        <v>13 Склад хол\K07156189_23_20260201T144238Z.jpg</v>
      </c>
    </row>
    <row r="153" spans="1:13" x14ac:dyDescent="0.25">
      <c r="A153" s="2" t="s">
        <v>13</v>
      </c>
      <c r="B153" s="4">
        <v>46055</v>
      </c>
      <c r="C153" s="5">
        <v>0.62550925925925926</v>
      </c>
      <c r="D153" s="8" t="s">
        <v>2004</v>
      </c>
      <c r="E153" s="8" t="s">
        <v>8</v>
      </c>
      <c r="F153" s="8"/>
      <c r="H153" s="8"/>
      <c r="I153" s="8" t="s">
        <v>11391</v>
      </c>
      <c r="J153" s="8" t="s">
        <v>2988</v>
      </c>
      <c r="K153" t="s">
        <v>11392</v>
      </c>
      <c r="L153" t="s">
        <v>11393</v>
      </c>
      <c r="M153" s="3" t="str">
        <f>HYPERLINK(склад2въезд131920212223789[[#This Row],[RelativePath]])</f>
        <v>13 Склад хол\K07156189_23_20260202T150044Z.jpg</v>
      </c>
    </row>
    <row r="154" spans="1:13" x14ac:dyDescent="0.25">
      <c r="A154" s="2" t="s">
        <v>14</v>
      </c>
      <c r="B154" s="4">
        <v>46056</v>
      </c>
      <c r="C154" s="5">
        <v>0.50785879629629627</v>
      </c>
      <c r="D154" s="8" t="s">
        <v>4</v>
      </c>
      <c r="E154" s="8" t="s">
        <v>8</v>
      </c>
      <c r="F154" s="8"/>
      <c r="H154" s="8"/>
      <c r="I154" s="8" t="s">
        <v>11394</v>
      </c>
      <c r="J154" s="8" t="s">
        <v>2988</v>
      </c>
      <c r="K154" t="s">
        <v>11395</v>
      </c>
      <c r="L154" t="s">
        <v>11396</v>
      </c>
      <c r="M154" s="3" t="str">
        <f>HYPERLINK(склад2въезд131920212223789[[#This Row],[RelativePath]])</f>
        <v>13 Склад хол\K07156189_23_20260203T121119Z.jpg</v>
      </c>
    </row>
    <row r="155" spans="1:13" x14ac:dyDescent="0.25">
      <c r="A155" s="2" t="s">
        <v>14</v>
      </c>
      <c r="B155" s="4">
        <v>46056</v>
      </c>
      <c r="C155" s="5">
        <v>0.61016203703703709</v>
      </c>
      <c r="D155" s="8" t="s">
        <v>159</v>
      </c>
      <c r="E155" s="8" t="s">
        <v>11424</v>
      </c>
      <c r="F155" s="8"/>
      <c r="H155" s="8"/>
      <c r="I155" s="8" t="s">
        <v>11397</v>
      </c>
      <c r="J155" s="8" t="s">
        <v>2988</v>
      </c>
      <c r="K155" t="s">
        <v>11398</v>
      </c>
      <c r="L155" t="s">
        <v>11399</v>
      </c>
      <c r="M155" s="3" t="str">
        <f>HYPERLINK(склад2въезд131920212223789[[#This Row],[RelativePath]])</f>
        <v>13 Склад хол\K07156189_23_20260203T143838Z.jpg</v>
      </c>
    </row>
    <row r="156" spans="1:13" x14ac:dyDescent="0.25">
      <c r="A156" s="2" t="s">
        <v>14</v>
      </c>
      <c r="B156" s="4">
        <v>46056</v>
      </c>
      <c r="C156" s="5">
        <v>0.6564699074074074</v>
      </c>
      <c r="D156" s="8" t="s">
        <v>4</v>
      </c>
      <c r="E156" s="8" t="s">
        <v>8</v>
      </c>
      <c r="F156" s="8"/>
      <c r="H156" s="8"/>
      <c r="I156" s="8" t="s">
        <v>11400</v>
      </c>
      <c r="J156" s="8" t="s">
        <v>2988</v>
      </c>
      <c r="K156" t="s">
        <v>11401</v>
      </c>
      <c r="L156" t="s">
        <v>11402</v>
      </c>
      <c r="M156" s="3" t="str">
        <f>HYPERLINK(склад2въезд131920212223789[[#This Row],[RelativePath]])</f>
        <v>13 Склад хол\K07156189_23_20260203T154519Z.jpg</v>
      </c>
    </row>
    <row r="157" spans="1:13" x14ac:dyDescent="0.25">
      <c r="A157" s="2" t="s">
        <v>14</v>
      </c>
      <c r="B157" s="4">
        <v>46056</v>
      </c>
      <c r="C157" s="5">
        <v>0.75703703703703706</v>
      </c>
      <c r="D157" s="8" t="s">
        <v>4</v>
      </c>
      <c r="E157" s="8" t="s">
        <v>8</v>
      </c>
      <c r="F157" s="8"/>
      <c r="H157" s="8"/>
      <c r="I157" s="8" t="s">
        <v>11403</v>
      </c>
      <c r="J157" s="8" t="s">
        <v>2988</v>
      </c>
      <c r="K157" t="s">
        <v>11404</v>
      </c>
      <c r="L157" t="s">
        <v>11405</v>
      </c>
      <c r="M157" s="3" t="str">
        <f>HYPERLINK(склад2въезд131920212223789[[#This Row],[RelativePath]])</f>
        <v>13 Склад хол\K07156189_23_20260203T181008Z.jpg</v>
      </c>
    </row>
    <row r="158" spans="1:13" x14ac:dyDescent="0.25">
      <c r="A158" s="2" t="s">
        <v>14</v>
      </c>
      <c r="B158" s="4">
        <v>46056</v>
      </c>
      <c r="C158" s="5">
        <v>0.81178240740740737</v>
      </c>
      <c r="D158" s="8" t="s">
        <v>11425</v>
      </c>
      <c r="E158" s="8"/>
      <c r="F158" s="8"/>
      <c r="H158" s="8"/>
      <c r="I158" s="8" t="s">
        <v>11406</v>
      </c>
      <c r="J158" s="8" t="s">
        <v>2988</v>
      </c>
      <c r="K158" t="s">
        <v>11407</v>
      </c>
      <c r="L158" t="s">
        <v>11408</v>
      </c>
      <c r="M158" s="3" t="str">
        <f>HYPERLINK(склад2въезд131920212223789[[#This Row],[RelativePath]])</f>
        <v>13 Склад хол\K07156189_23_20260203T192858Z.jpg</v>
      </c>
    </row>
    <row r="159" spans="1:13" x14ac:dyDescent="0.25">
      <c r="A159" s="2" t="s">
        <v>14</v>
      </c>
      <c r="B159" s="4">
        <v>46056</v>
      </c>
      <c r="C159" s="5">
        <v>0.82072916666666662</v>
      </c>
      <c r="D159" s="8" t="s">
        <v>4</v>
      </c>
      <c r="E159" s="8" t="s">
        <v>11426</v>
      </c>
      <c r="F159" s="8"/>
      <c r="H159" s="8"/>
      <c r="I159" s="8" t="s">
        <v>11409</v>
      </c>
      <c r="J159" s="8" t="s">
        <v>2988</v>
      </c>
      <c r="K159" t="s">
        <v>11410</v>
      </c>
      <c r="L159" t="s">
        <v>11411</v>
      </c>
      <c r="M159" s="3" t="str">
        <f>HYPERLINK(склад2въезд131920212223789[[#This Row],[RelativePath]])</f>
        <v>13 Склад хол\K07156189_23_20260203T194151Z.jpg</v>
      </c>
    </row>
    <row r="160" spans="1:13" x14ac:dyDescent="0.25">
      <c r="A160" s="2" t="s">
        <v>15</v>
      </c>
      <c r="B160" s="4">
        <v>46057</v>
      </c>
      <c r="C160" s="5">
        <v>0.60127314814814814</v>
      </c>
      <c r="D160" s="8" t="s">
        <v>4</v>
      </c>
      <c r="E160" s="8" t="s">
        <v>11424</v>
      </c>
      <c r="F160" s="8"/>
      <c r="H160" s="8"/>
      <c r="I160" s="8" t="s">
        <v>11562</v>
      </c>
      <c r="J160" s="8" t="s">
        <v>2988</v>
      </c>
      <c r="K160" t="s">
        <v>11563</v>
      </c>
      <c r="L160" t="s">
        <v>11564</v>
      </c>
      <c r="M160" s="3" t="str">
        <f>HYPERLINK(склад2въезд131920212223789[[#This Row],[RelativePath]])</f>
        <v>13 Склад хол\K07156189_23_20260204T142550Z.jpg</v>
      </c>
    </row>
    <row r="161" spans="1:13" x14ac:dyDescent="0.25">
      <c r="A161" s="2" t="s">
        <v>16</v>
      </c>
      <c r="B161" s="4">
        <v>46058</v>
      </c>
      <c r="C161" s="5">
        <v>0.60354166666666664</v>
      </c>
      <c r="D161" s="8" t="s">
        <v>4</v>
      </c>
      <c r="E161" s="8" t="s">
        <v>11659</v>
      </c>
      <c r="F161" s="8"/>
      <c r="H161" s="8"/>
      <c r="I161" s="8" t="s">
        <v>11565</v>
      </c>
      <c r="J161" s="8" t="s">
        <v>2988</v>
      </c>
      <c r="K161" t="s">
        <v>11566</v>
      </c>
      <c r="L161" t="s">
        <v>11567</v>
      </c>
      <c r="M161" s="3" t="str">
        <f>HYPERLINK(склад2въезд131920212223789[[#This Row],[RelativePath]])</f>
        <v>13 Склад хол\K07156189_23_20260205T142906Z.jpg</v>
      </c>
    </row>
    <row r="162" spans="1:13" x14ac:dyDescent="0.25">
      <c r="A162" s="2" t="s">
        <v>17</v>
      </c>
      <c r="B162" s="4">
        <v>46059</v>
      </c>
      <c r="C162" s="5">
        <v>0.46490740740740738</v>
      </c>
      <c r="D162" s="8" t="s">
        <v>11660</v>
      </c>
      <c r="E162" s="8"/>
      <c r="F162" s="8"/>
      <c r="H162" s="8"/>
      <c r="I162" s="8" t="s">
        <v>11568</v>
      </c>
      <c r="J162" s="8" t="s">
        <v>2988</v>
      </c>
      <c r="K162" t="s">
        <v>11569</v>
      </c>
      <c r="L162" t="s">
        <v>11570</v>
      </c>
      <c r="M162" s="3" t="str">
        <f>HYPERLINK(склад2въезд131920212223789[[#This Row],[RelativePath]])</f>
        <v>13 Склад хол\K07156189_23_20260206T110928Z.jpg</v>
      </c>
    </row>
    <row r="163" spans="1:13" x14ac:dyDescent="0.25">
      <c r="A163" s="2" t="s">
        <v>17</v>
      </c>
      <c r="B163" s="4">
        <v>46059</v>
      </c>
      <c r="C163" s="5">
        <v>0.66380787037037037</v>
      </c>
      <c r="D163" s="8" t="s">
        <v>4</v>
      </c>
      <c r="E163" s="8" t="s">
        <v>8</v>
      </c>
      <c r="F163" s="8"/>
      <c r="H163" s="8"/>
      <c r="I163" s="8" t="s">
        <v>11571</v>
      </c>
      <c r="J163" s="8" t="s">
        <v>2988</v>
      </c>
      <c r="K163" t="s">
        <v>11572</v>
      </c>
      <c r="L163" t="s">
        <v>11573</v>
      </c>
      <c r="M163" s="3" t="str">
        <f>HYPERLINK(склад2въезд131920212223789[[#This Row],[RelativePath]])</f>
        <v>13 Склад хол\K07156189_23_20260206T155553Z.jpg</v>
      </c>
    </row>
    <row r="164" spans="1:13" x14ac:dyDescent="0.25">
      <c r="A164" s="2" t="s">
        <v>18</v>
      </c>
      <c r="B164" s="4">
        <v>46060</v>
      </c>
      <c r="C164" s="5">
        <v>0.72972222222222227</v>
      </c>
      <c r="D164" s="8" t="s">
        <v>2004</v>
      </c>
      <c r="E164" s="8" t="s">
        <v>8</v>
      </c>
      <c r="F164" s="8"/>
      <c r="H164" s="8"/>
      <c r="I164" s="8" t="s">
        <v>11766</v>
      </c>
      <c r="J164" s="8" t="s">
        <v>2988</v>
      </c>
      <c r="K164" t="s">
        <v>11767</v>
      </c>
      <c r="L164" t="s">
        <v>11768</v>
      </c>
      <c r="M164" s="3" t="str">
        <f>HYPERLINK(склад2въезд131920212223789[[#This Row],[RelativePath]])</f>
        <v>13 Склад хол\K07156189_23_20260207T173048Z.jpg</v>
      </c>
    </row>
    <row r="165" spans="1:13" x14ac:dyDescent="0.25">
      <c r="A165" s="2" t="s">
        <v>22</v>
      </c>
      <c r="B165" s="4">
        <v>46061</v>
      </c>
      <c r="C165" s="5">
        <v>0.70469907407407406</v>
      </c>
      <c r="D165" s="8" t="s">
        <v>2004</v>
      </c>
      <c r="E165" s="8" t="s">
        <v>8</v>
      </c>
      <c r="F165" s="8"/>
      <c r="H165" s="8"/>
      <c r="I165" s="8" t="s">
        <v>11769</v>
      </c>
      <c r="J165" s="8" t="s">
        <v>2988</v>
      </c>
      <c r="K165" t="s">
        <v>11770</v>
      </c>
      <c r="L165" t="s">
        <v>11771</v>
      </c>
      <c r="M165" s="3" t="str">
        <f>HYPERLINK(склад2въезд131920212223789[[#This Row],[RelativePath]])</f>
        <v>13 Склад хол\K07156189_23_20260208T165446Z.jpg</v>
      </c>
    </row>
  </sheetData>
  <conditionalFormatting sqref="D166:D176 E166:E179 G2:H165 D2:E165">
    <cfRule type="containsText" dxfId="599" priority="14" operator="containsText" text="Выезд с территории">
      <formula>NOT(ISERROR(SEARCH("Выезд с территории",D2)))</formula>
    </cfRule>
  </conditionalFormatting>
  <conditionalFormatting sqref="F2:F165">
    <cfRule type="notContainsText" dxfId="598" priority="13" operator="notContains" text="порожний">
      <formula>ISERROR(SEARCH("порожний",F2))</formula>
    </cfRule>
  </conditionalFormatting>
  <conditionalFormatting sqref="E2:E179">
    <cfRule type="containsText" dxfId="597" priority="11" operator="containsText" text="Газель базы">
      <formula>NOT(ISERROR(SEARCH("Газель базы",E2)))</formula>
    </cfRule>
    <cfRule type="containsText" dxfId="596" priority="12" operator="containsText" text="Погрузчик базы">
      <formula>NOT(ISERROR(SEARCH("Погрузчик базы",E2)))</formula>
    </cfRule>
  </conditionalFormatting>
  <conditionalFormatting sqref="E2:E179">
    <cfRule type="containsText" dxfId="595" priority="10" operator="containsText" text="Трактор базы">
      <formula>NOT(ISERROR(SEARCH("Трактор базы",E2)))</formula>
    </cfRule>
  </conditionalFormatting>
  <conditionalFormatting sqref="A2:C165">
    <cfRule type="expression" dxfId="594" priority="9">
      <formula>$A2="пн"</formula>
    </cfRule>
  </conditionalFormatting>
  <conditionalFormatting sqref="A2:C167">
    <cfRule type="expression" dxfId="593" priority="3">
      <formula>$A2="вс"</formula>
    </cfRule>
    <cfRule type="expression" dxfId="592" priority="4">
      <formula>$A2="сб"</formula>
    </cfRule>
    <cfRule type="expression" dxfId="591" priority="5">
      <formula>$A2="пт"</formula>
    </cfRule>
    <cfRule type="expression" dxfId="590" priority="6">
      <formula>$A2="чт"</formula>
    </cfRule>
    <cfRule type="expression" dxfId="589" priority="7">
      <formula>$A2="ср"</formula>
    </cfRule>
    <cfRule type="expression" dxfId="588" priority="8">
      <formula>$A2="вт"</formula>
    </cfRule>
  </conditionalFormatting>
  <conditionalFormatting sqref="D2:D176">
    <cfRule type="containsText" dxfId="58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6">
    <cfRule type="containsText" dxfId="58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3746"/>
  <sheetViews>
    <sheetView topLeftCell="A3538" zoomScale="90" zoomScaleNormal="90" workbookViewId="0">
      <selection activeCell="C3754" sqref="C3754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x14ac:dyDescent="0.25">
      <c r="A1312" t="s">
        <v>2014</v>
      </c>
      <c r="F1312" t="s">
        <v>4166</v>
      </c>
      <c r="G1312" t="s">
        <v>1997</v>
      </c>
    </row>
    <row r="1313" spans="1:7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x14ac:dyDescent="0.25">
      <c r="A1318" t="s">
        <v>4212</v>
      </c>
      <c r="F1318" t="s">
        <v>4187</v>
      </c>
      <c r="G1318" t="s">
        <v>1997</v>
      </c>
    </row>
    <row r="1319" spans="1:7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x14ac:dyDescent="0.25">
      <c r="A1600" t="s">
        <v>2014</v>
      </c>
      <c r="F1600" t="s">
        <v>4981</v>
      </c>
      <c r="G1600" t="s">
        <v>1997</v>
      </c>
    </row>
    <row r="1601" spans="1:7" x14ac:dyDescent="0.25">
      <c r="A1601" t="s">
        <v>2014</v>
      </c>
      <c r="F1601" t="s">
        <v>4984</v>
      </c>
      <c r="G1601" t="s">
        <v>1997</v>
      </c>
    </row>
    <row r="1602" spans="1:7" x14ac:dyDescent="0.25">
      <c r="A1602" t="s">
        <v>2014</v>
      </c>
      <c r="F1602" t="s">
        <v>4987</v>
      </c>
      <c r="G1602" t="s">
        <v>1997</v>
      </c>
    </row>
    <row r="1603" spans="1:7" x14ac:dyDescent="0.25">
      <c r="A1603" t="s">
        <v>2014</v>
      </c>
      <c r="F1603" t="s">
        <v>4990</v>
      </c>
      <c r="G1603" t="s">
        <v>1997</v>
      </c>
    </row>
    <row r="1604" spans="1:7" x14ac:dyDescent="0.25">
      <c r="A1604" t="s">
        <v>2014</v>
      </c>
      <c r="F1604" t="s">
        <v>4993</v>
      </c>
      <c r="G1604" t="s">
        <v>1997</v>
      </c>
    </row>
    <row r="1605" spans="1:7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x14ac:dyDescent="0.25">
      <c r="A1935" t="s">
        <v>2014</v>
      </c>
      <c r="F1935" t="s">
        <v>5681</v>
      </c>
      <c r="G1935" t="s">
        <v>1997</v>
      </c>
    </row>
    <row r="1936" spans="1:7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hidden="1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hidden="1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hidden="1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hidden="1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hidden="1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hidden="1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hidden="1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hidden="1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hidden="1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hidden="1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hidden="1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hidden="1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hidden="1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hidden="1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hidden="1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hidden="1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hidden="1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hidden="1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hidden="1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t="s">
        <v>6899</v>
      </c>
      <c r="G2161" t="s">
        <v>1102</v>
      </c>
    </row>
    <row r="2162" spans="1:7" hidden="1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hidden="1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hidden="1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hidden="1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hidden="1" x14ac:dyDescent="0.25">
      <c r="A2184" t="s">
        <v>4212</v>
      </c>
      <c r="F2184" t="s">
        <v>7160</v>
      </c>
      <c r="G2184" t="s">
        <v>1107</v>
      </c>
    </row>
    <row r="2185" spans="1:7" hidden="1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hidden="1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hidden="1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hidden="1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hidden="1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hidden="1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hidden="1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hidden="1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hidden="1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hidden="1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hidden="1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hidden="1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hidden="1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hidden="1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hidden="1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hidden="1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hidden="1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hidden="1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hidden="1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hidden="1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hidden="1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hidden="1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hidden="1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hidden="1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hidden="1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hidden="1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hidden="1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hidden="1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hidden="1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hidden="1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hidden="1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hidden="1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hidden="1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hidden="1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hidden="1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hidden="1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hidden="1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hidden="1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hidden="1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hidden="1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hidden="1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hidden="1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hidden="1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hidden="1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hidden="1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hidden="1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hidden="1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hidden="1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hidden="1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hidden="1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hidden="1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hidden="1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hidden="1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hidden="1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hidden="1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hidden="1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hidden="1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hidden="1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hidden="1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hidden="1" x14ac:dyDescent="0.25">
      <c r="A2257" t="s">
        <v>2004</v>
      </c>
      <c r="F2257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hidden="1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hidden="1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hidden="1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hidden="1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hidden="1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hidden="1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hidden="1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hidden="1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hidden="1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hidden="1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hidden="1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hidden="1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hidden="1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hidden="1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hidden="1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hidden="1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hidden="1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hidden="1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hidden="1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hidden="1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hidden="1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hidden="1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hidden="1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hidden="1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hidden="1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hidden="1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hidden="1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hidden="1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hidden="1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hidden="1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hidden="1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hidden="1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hidden="1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hidden="1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hidden="1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hidden="1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hidden="1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hidden="1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hidden="1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hidden="1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hidden="1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hidden="1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hidden="1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hidden="1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hidden="1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hidden="1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hidden="1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hidden="1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hidden="1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hidden="1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hidden="1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hidden="1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hidden="1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hidden="1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hidden="1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hidden="1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hidden="1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hidden="1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hidden="1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hidden="1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hidden="1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hidden="1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hidden="1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hidden="1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hidden="1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hidden="1" x14ac:dyDescent="0.25">
      <c r="A2328" t="s">
        <v>4</v>
      </c>
      <c r="B2328" t="s">
        <v>86</v>
      </c>
      <c r="E2328" t="s">
        <v>7710</v>
      </c>
      <c r="F2328" t="s">
        <v>7296</v>
      </c>
      <c r="G2328" t="s">
        <v>1100</v>
      </c>
    </row>
    <row r="2329" spans="1:7" hidden="1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hidden="1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hidden="1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hidden="1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hidden="1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hidden="1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hidden="1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hidden="1" x14ac:dyDescent="0.25">
      <c r="A2338" t="s">
        <v>2004</v>
      </c>
      <c r="F2338" t="s">
        <v>7418</v>
      </c>
      <c r="G2338" t="s">
        <v>1102</v>
      </c>
    </row>
    <row r="2339" spans="1:7" hidden="1" x14ac:dyDescent="0.25">
      <c r="A2339" t="s">
        <v>91</v>
      </c>
      <c r="B2339" t="s">
        <v>7706</v>
      </c>
      <c r="C2339" t="s">
        <v>60</v>
      </c>
      <c r="F2339" t="s">
        <v>7421</v>
      </c>
      <c r="G2339" t="s">
        <v>1102</v>
      </c>
    </row>
    <row r="2340" spans="1:7" hidden="1" x14ac:dyDescent="0.25">
      <c r="A2340" t="s">
        <v>62</v>
      </c>
      <c r="B2340" t="s">
        <v>7706</v>
      </c>
      <c r="C2340" t="s">
        <v>51</v>
      </c>
      <c r="F2340" t="s">
        <v>7424</v>
      </c>
      <c r="G2340" t="s">
        <v>1102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7427</v>
      </c>
      <c r="G2341" t="s">
        <v>1102</v>
      </c>
    </row>
    <row r="2342" spans="1:7" hidden="1" x14ac:dyDescent="0.25">
      <c r="A2342" t="s">
        <v>91</v>
      </c>
      <c r="B2342" t="s">
        <v>4193</v>
      </c>
      <c r="C2342" t="s">
        <v>51</v>
      </c>
      <c r="F2342" t="s">
        <v>7430</v>
      </c>
      <c r="G2342" t="s">
        <v>1102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7433</v>
      </c>
      <c r="G2343" t="s">
        <v>1102</v>
      </c>
    </row>
    <row r="2344" spans="1:7" hidden="1" x14ac:dyDescent="0.25">
      <c r="A2344" t="s">
        <v>62</v>
      </c>
      <c r="B2344" t="s">
        <v>4193</v>
      </c>
      <c r="C2344" t="s">
        <v>4240</v>
      </c>
      <c r="F2344" t="s">
        <v>7436</v>
      </c>
      <c r="G2344" t="s">
        <v>1102</v>
      </c>
    </row>
    <row r="2345" spans="1:7" hidden="1" x14ac:dyDescent="0.25">
      <c r="A2345" t="s">
        <v>2004</v>
      </c>
      <c r="B2345" t="s">
        <v>8</v>
      </c>
      <c r="F2345" t="s">
        <v>7439</v>
      </c>
      <c r="G2345" t="s">
        <v>1103</v>
      </c>
    </row>
    <row r="2346" spans="1:7" hidden="1" x14ac:dyDescent="0.25">
      <c r="A2346" t="s">
        <v>2004</v>
      </c>
      <c r="B2346" t="s">
        <v>8</v>
      </c>
      <c r="F2346" t="s">
        <v>7442</v>
      </c>
      <c r="G2346" t="s">
        <v>1103</v>
      </c>
    </row>
    <row r="2347" spans="1:7" hidden="1" x14ac:dyDescent="0.25">
      <c r="A2347" t="s">
        <v>2004</v>
      </c>
      <c r="B2347" t="s">
        <v>8</v>
      </c>
      <c r="F2347" t="s">
        <v>7478</v>
      </c>
      <c r="G2347" t="s">
        <v>91</v>
      </c>
    </row>
    <row r="2348" spans="1:7" hidden="1" x14ac:dyDescent="0.25">
      <c r="A2348" t="s">
        <v>4</v>
      </c>
      <c r="B2348" t="s">
        <v>7706</v>
      </c>
      <c r="C2348" t="s">
        <v>60</v>
      </c>
      <c r="F2348" t="s">
        <v>7481</v>
      </c>
      <c r="G2348" t="s">
        <v>91</v>
      </c>
    </row>
    <row r="2349" spans="1:7" hidden="1" x14ac:dyDescent="0.25">
      <c r="A2349" t="s">
        <v>4</v>
      </c>
      <c r="B2349" t="s">
        <v>7706</v>
      </c>
      <c r="C2349" t="s">
        <v>51</v>
      </c>
      <c r="F2349" t="s">
        <v>7484</v>
      </c>
      <c r="G2349" t="s">
        <v>91</v>
      </c>
    </row>
    <row r="2350" spans="1:7" hidden="1" x14ac:dyDescent="0.25">
      <c r="A2350" t="s">
        <v>2004</v>
      </c>
      <c r="B2350" t="s">
        <v>8</v>
      </c>
      <c r="F2350" t="s">
        <v>7487</v>
      </c>
      <c r="G2350" t="s">
        <v>91</v>
      </c>
    </row>
    <row r="2351" spans="1:7" hidden="1" x14ac:dyDescent="0.25">
      <c r="A2351" t="s">
        <v>2004</v>
      </c>
      <c r="B2351" t="s">
        <v>8</v>
      </c>
      <c r="F2351" t="s">
        <v>7568</v>
      </c>
      <c r="G2351" t="s">
        <v>1104</v>
      </c>
    </row>
    <row r="2352" spans="1:7" hidden="1" x14ac:dyDescent="0.25">
      <c r="A2352" t="s">
        <v>1606</v>
      </c>
      <c r="B2352" t="s">
        <v>7706</v>
      </c>
      <c r="C2352" t="s">
        <v>60</v>
      </c>
      <c r="F2352" t="s">
        <v>7571</v>
      </c>
      <c r="G2352" t="s">
        <v>1104</v>
      </c>
    </row>
    <row r="2353" spans="1:7" hidden="1" x14ac:dyDescent="0.25">
      <c r="A2353" t="s">
        <v>6171</v>
      </c>
      <c r="B2353" t="s">
        <v>7706</v>
      </c>
      <c r="C2353" t="s">
        <v>60</v>
      </c>
      <c r="F2353" t="s">
        <v>7574</v>
      </c>
      <c r="G2353" t="s">
        <v>1104</v>
      </c>
    </row>
    <row r="2354" spans="1:7" hidden="1" x14ac:dyDescent="0.25">
      <c r="A2354" t="s">
        <v>650</v>
      </c>
      <c r="B2354" t="s">
        <v>7706</v>
      </c>
      <c r="C2354" t="s">
        <v>51</v>
      </c>
      <c r="F2354" t="s">
        <v>7577</v>
      </c>
      <c r="G2354" t="s">
        <v>1104</v>
      </c>
    </row>
    <row r="2355" spans="1:7" hidden="1" x14ac:dyDescent="0.25">
      <c r="A2355" t="s">
        <v>2004</v>
      </c>
      <c r="B2355" t="s">
        <v>8</v>
      </c>
      <c r="F2355" t="s">
        <v>7580</v>
      </c>
      <c r="G2355" t="s">
        <v>1104</v>
      </c>
    </row>
    <row r="2356" spans="1:7" hidden="1" x14ac:dyDescent="0.25">
      <c r="A2356" t="s">
        <v>1615</v>
      </c>
      <c r="B2356" t="s">
        <v>86</v>
      </c>
      <c r="C2356" t="s">
        <v>60</v>
      </c>
      <c r="E2356" t="s">
        <v>7707</v>
      </c>
      <c r="F2356" t="s">
        <v>7595</v>
      </c>
      <c r="G2356" t="s">
        <v>1105</v>
      </c>
    </row>
    <row r="2357" spans="1:7" hidden="1" x14ac:dyDescent="0.25">
      <c r="A2357" t="s">
        <v>1615</v>
      </c>
      <c r="B2357" t="s">
        <v>86</v>
      </c>
      <c r="C2357" t="s">
        <v>60</v>
      </c>
      <c r="E2357" t="s">
        <v>7708</v>
      </c>
      <c r="F2357" t="s">
        <v>7598</v>
      </c>
      <c r="G2357" t="s">
        <v>1105</v>
      </c>
    </row>
    <row r="2358" spans="1:7" hidden="1" x14ac:dyDescent="0.25">
      <c r="A2358" t="s">
        <v>4</v>
      </c>
      <c r="B2358" t="s">
        <v>7706</v>
      </c>
      <c r="C2358" t="s">
        <v>60</v>
      </c>
      <c r="F2358" t="s">
        <v>7601</v>
      </c>
      <c r="G2358" t="s">
        <v>1105</v>
      </c>
    </row>
    <row r="2359" spans="1:7" hidden="1" x14ac:dyDescent="0.25">
      <c r="A2359" t="s">
        <v>290</v>
      </c>
      <c r="B2359" t="s">
        <v>86</v>
      </c>
      <c r="C2359" t="s">
        <v>60</v>
      </c>
      <c r="D2359">
        <v>3</v>
      </c>
      <c r="F2359" t="s">
        <v>7604</v>
      </c>
      <c r="G2359" t="s">
        <v>1105</v>
      </c>
    </row>
    <row r="2360" spans="1:7" hidden="1" x14ac:dyDescent="0.25">
      <c r="A2360" t="s">
        <v>290</v>
      </c>
      <c r="B2360" t="s">
        <v>86</v>
      </c>
      <c r="C2360" t="s">
        <v>60</v>
      </c>
      <c r="D2360">
        <v>2</v>
      </c>
      <c r="F2360" t="s">
        <v>7607</v>
      </c>
      <c r="G2360" t="s">
        <v>1105</v>
      </c>
    </row>
    <row r="2361" spans="1:7" hidden="1" x14ac:dyDescent="0.25">
      <c r="A2361" t="s">
        <v>290</v>
      </c>
      <c r="B2361" t="s">
        <v>86</v>
      </c>
      <c r="C2361" t="s">
        <v>60</v>
      </c>
      <c r="D2361">
        <v>2</v>
      </c>
      <c r="F2361" t="s">
        <v>7610</v>
      </c>
      <c r="G2361" t="s">
        <v>1105</v>
      </c>
    </row>
    <row r="2362" spans="1:7" hidden="1" x14ac:dyDescent="0.25">
      <c r="A2362" t="s">
        <v>290</v>
      </c>
      <c r="B2362" t="s">
        <v>86</v>
      </c>
      <c r="C2362" t="s">
        <v>60</v>
      </c>
      <c r="D2362">
        <v>3</v>
      </c>
      <c r="F2362" t="s">
        <v>7613</v>
      </c>
      <c r="G2362" t="s">
        <v>1105</v>
      </c>
    </row>
    <row r="2363" spans="1:7" hidden="1" x14ac:dyDescent="0.25">
      <c r="A2363" t="s">
        <v>290</v>
      </c>
      <c r="B2363" t="s">
        <v>86</v>
      </c>
      <c r="C2363" t="s">
        <v>60</v>
      </c>
      <c r="D2363">
        <v>4</v>
      </c>
      <c r="F2363" t="s">
        <v>7616</v>
      </c>
      <c r="G2363" t="s">
        <v>1105</v>
      </c>
    </row>
    <row r="2364" spans="1:7" hidden="1" x14ac:dyDescent="0.25">
      <c r="A2364" t="s">
        <v>290</v>
      </c>
      <c r="B2364" t="s">
        <v>86</v>
      </c>
      <c r="C2364" t="s">
        <v>60</v>
      </c>
      <c r="D2364">
        <v>3</v>
      </c>
      <c r="F2364" t="s">
        <v>7619</v>
      </c>
      <c r="G2364" t="s">
        <v>1105</v>
      </c>
    </row>
    <row r="2365" spans="1:7" hidden="1" x14ac:dyDescent="0.25">
      <c r="A2365" t="s">
        <v>290</v>
      </c>
      <c r="B2365" t="s">
        <v>86</v>
      </c>
      <c r="C2365" t="s">
        <v>60</v>
      </c>
      <c r="D2365">
        <v>3</v>
      </c>
      <c r="F2365" t="s">
        <v>7622</v>
      </c>
      <c r="G2365" t="s">
        <v>1105</v>
      </c>
    </row>
    <row r="2366" spans="1:7" hidden="1" x14ac:dyDescent="0.25">
      <c r="A2366" t="s">
        <v>290</v>
      </c>
      <c r="B2366" t="s">
        <v>86</v>
      </c>
      <c r="C2366" t="s">
        <v>60</v>
      </c>
      <c r="D2366">
        <v>2</v>
      </c>
      <c r="F2366" t="s">
        <v>7625</v>
      </c>
      <c r="G2366" t="s">
        <v>1105</v>
      </c>
    </row>
    <row r="2367" spans="1:7" hidden="1" x14ac:dyDescent="0.25">
      <c r="A2367" t="s">
        <v>290</v>
      </c>
      <c r="B2367" t="s">
        <v>86</v>
      </c>
      <c r="C2367" t="s">
        <v>60</v>
      </c>
      <c r="D2367">
        <v>2</v>
      </c>
      <c r="F2367" t="s">
        <v>7628</v>
      </c>
      <c r="G2367" t="s">
        <v>1105</v>
      </c>
    </row>
    <row r="2368" spans="1:7" hidden="1" x14ac:dyDescent="0.25">
      <c r="A2368" t="s">
        <v>290</v>
      </c>
      <c r="B2368" t="s">
        <v>86</v>
      </c>
      <c r="C2368" t="s">
        <v>60</v>
      </c>
      <c r="D2368">
        <v>3</v>
      </c>
      <c r="F2368" t="s">
        <v>7631</v>
      </c>
      <c r="G2368" t="s">
        <v>1105</v>
      </c>
    </row>
    <row r="2369" spans="1:7" hidden="1" x14ac:dyDescent="0.25">
      <c r="A2369" t="s">
        <v>290</v>
      </c>
      <c r="B2369" t="s">
        <v>86</v>
      </c>
      <c r="C2369" t="s">
        <v>60</v>
      </c>
      <c r="D2369">
        <v>3</v>
      </c>
      <c r="F2369" t="s">
        <v>7634</v>
      </c>
      <c r="G2369" t="s">
        <v>1105</v>
      </c>
    </row>
    <row r="2370" spans="1:7" hidden="1" x14ac:dyDescent="0.25">
      <c r="A2370" t="s">
        <v>290</v>
      </c>
      <c r="B2370" t="s">
        <v>86</v>
      </c>
      <c r="C2370" t="s">
        <v>60</v>
      </c>
      <c r="D2370">
        <v>2</v>
      </c>
      <c r="F2370" t="s">
        <v>7637</v>
      </c>
      <c r="G2370" t="s">
        <v>1105</v>
      </c>
    </row>
    <row r="2371" spans="1:7" hidden="1" x14ac:dyDescent="0.25">
      <c r="A2371" t="s">
        <v>290</v>
      </c>
      <c r="B2371" t="s">
        <v>86</v>
      </c>
      <c r="C2371" t="s">
        <v>60</v>
      </c>
      <c r="D2371">
        <v>1</v>
      </c>
      <c r="F2371" t="s">
        <v>7640</v>
      </c>
      <c r="G2371" t="s">
        <v>1105</v>
      </c>
    </row>
    <row r="2372" spans="1:7" hidden="1" x14ac:dyDescent="0.25">
      <c r="A2372" t="s">
        <v>290</v>
      </c>
      <c r="B2372" t="s">
        <v>86</v>
      </c>
      <c r="C2372" t="s">
        <v>60</v>
      </c>
      <c r="D2372">
        <v>4</v>
      </c>
      <c r="F2372" t="s">
        <v>7643</v>
      </c>
      <c r="G2372" t="s">
        <v>1105</v>
      </c>
    </row>
    <row r="2373" spans="1:7" hidden="1" x14ac:dyDescent="0.25">
      <c r="A2373" t="s">
        <v>290</v>
      </c>
      <c r="B2373" t="s">
        <v>86</v>
      </c>
      <c r="C2373" t="s">
        <v>60</v>
      </c>
      <c r="D2373">
        <v>3</v>
      </c>
      <c r="F2373" t="s">
        <v>7646</v>
      </c>
      <c r="G2373" t="s">
        <v>1105</v>
      </c>
    </row>
    <row r="2374" spans="1:7" hidden="1" x14ac:dyDescent="0.25">
      <c r="A2374" t="s">
        <v>290</v>
      </c>
      <c r="B2374" t="s">
        <v>86</v>
      </c>
      <c r="C2374" t="s">
        <v>60</v>
      </c>
      <c r="D2374">
        <v>3</v>
      </c>
      <c r="F2374" t="s">
        <v>7649</v>
      </c>
      <c r="G2374" t="s">
        <v>1105</v>
      </c>
    </row>
    <row r="2375" spans="1:7" hidden="1" x14ac:dyDescent="0.25">
      <c r="A2375" t="s">
        <v>290</v>
      </c>
      <c r="B2375" t="s">
        <v>86</v>
      </c>
      <c r="C2375" t="s">
        <v>60</v>
      </c>
      <c r="D2375">
        <v>3</v>
      </c>
      <c r="F2375" t="s">
        <v>7652</v>
      </c>
      <c r="G2375" t="s">
        <v>1105</v>
      </c>
    </row>
    <row r="2376" spans="1:7" hidden="1" x14ac:dyDescent="0.25">
      <c r="A2376" t="s">
        <v>290</v>
      </c>
      <c r="B2376" t="s">
        <v>86</v>
      </c>
      <c r="C2376" t="s">
        <v>60</v>
      </c>
      <c r="D2376">
        <v>2</v>
      </c>
      <c r="F2376" t="s">
        <v>7655</v>
      </c>
      <c r="G2376" t="s">
        <v>1105</v>
      </c>
    </row>
    <row r="2377" spans="1:7" hidden="1" x14ac:dyDescent="0.25">
      <c r="A2377" t="s">
        <v>290</v>
      </c>
      <c r="B2377" t="s">
        <v>86</v>
      </c>
      <c r="C2377" t="s">
        <v>60</v>
      </c>
      <c r="D2377">
        <v>3</v>
      </c>
      <c r="F2377" t="s">
        <v>7658</v>
      </c>
      <c r="G2377" t="s">
        <v>1105</v>
      </c>
    </row>
    <row r="2378" spans="1:7" hidden="1" x14ac:dyDescent="0.25">
      <c r="A2378" t="s">
        <v>290</v>
      </c>
      <c r="B2378" t="s">
        <v>86</v>
      </c>
      <c r="C2378" t="s">
        <v>60</v>
      </c>
      <c r="D2378">
        <v>3</v>
      </c>
      <c r="F2378" t="s">
        <v>7661</v>
      </c>
      <c r="G2378" t="s">
        <v>1105</v>
      </c>
    </row>
    <row r="2379" spans="1:7" hidden="1" x14ac:dyDescent="0.25">
      <c r="A2379" t="s">
        <v>290</v>
      </c>
      <c r="B2379" t="s">
        <v>86</v>
      </c>
      <c r="C2379" t="s">
        <v>60</v>
      </c>
      <c r="D2379">
        <v>3</v>
      </c>
      <c r="F2379" t="s">
        <v>7664</v>
      </c>
      <c r="G2379" t="s">
        <v>1105</v>
      </c>
    </row>
    <row r="2380" spans="1:7" hidden="1" x14ac:dyDescent="0.25">
      <c r="A2380" t="s">
        <v>290</v>
      </c>
      <c r="B2380" t="s">
        <v>86</v>
      </c>
      <c r="C2380" t="s">
        <v>60</v>
      </c>
      <c r="D2380">
        <v>4</v>
      </c>
      <c r="F2380" t="s">
        <v>7667</v>
      </c>
      <c r="G2380" t="s">
        <v>1105</v>
      </c>
    </row>
    <row r="2381" spans="1:7" hidden="1" x14ac:dyDescent="0.25">
      <c r="A2381" t="s">
        <v>290</v>
      </c>
      <c r="B2381" t="s">
        <v>86</v>
      </c>
      <c r="C2381" t="s">
        <v>60</v>
      </c>
      <c r="D2381">
        <v>2</v>
      </c>
      <c r="F2381" t="s">
        <v>7670</v>
      </c>
      <c r="G2381" t="s">
        <v>1105</v>
      </c>
    </row>
    <row r="2382" spans="1:7" hidden="1" x14ac:dyDescent="0.25">
      <c r="A2382" t="s">
        <v>4</v>
      </c>
      <c r="B2382" t="s">
        <v>4193</v>
      </c>
      <c r="F2382" t="s">
        <v>7673</v>
      </c>
      <c r="G2382" t="s">
        <v>1105</v>
      </c>
    </row>
    <row r="2383" spans="1:7" hidden="1" x14ac:dyDescent="0.25">
      <c r="A2383" t="s">
        <v>2004</v>
      </c>
      <c r="B2383" t="s">
        <v>8</v>
      </c>
      <c r="F2383" t="s">
        <v>7676</v>
      </c>
      <c r="G2383" t="s">
        <v>1105</v>
      </c>
    </row>
    <row r="2384" spans="1:7" hidden="1" x14ac:dyDescent="0.25">
      <c r="A2384" t="s">
        <v>2004</v>
      </c>
      <c r="B2384" t="s">
        <v>8</v>
      </c>
      <c r="F2384" t="s">
        <v>7694</v>
      </c>
      <c r="G2384" t="s">
        <v>1106</v>
      </c>
    </row>
    <row r="2385" spans="1:7" hidden="1" x14ac:dyDescent="0.25">
      <c r="A2385" t="s">
        <v>2004</v>
      </c>
      <c r="B2385" t="s">
        <v>8</v>
      </c>
      <c r="F2385" t="s">
        <v>7697</v>
      </c>
      <c r="G2385" t="s">
        <v>1106</v>
      </c>
    </row>
    <row r="2386" spans="1:7" hidden="1" x14ac:dyDescent="0.25">
      <c r="A2386" t="s">
        <v>2004</v>
      </c>
      <c r="B2386" t="s">
        <v>8</v>
      </c>
      <c r="F2386" t="s">
        <v>7700</v>
      </c>
      <c r="G2386" t="s">
        <v>1107</v>
      </c>
    </row>
    <row r="2387" spans="1:7" hidden="1" x14ac:dyDescent="0.25">
      <c r="A2387" t="s">
        <v>2004</v>
      </c>
      <c r="B2387" t="s">
        <v>8</v>
      </c>
      <c r="F2387" t="s">
        <v>7703</v>
      </c>
      <c r="G2387" t="s">
        <v>1107</v>
      </c>
    </row>
    <row r="2388" spans="1:7" hidden="1" x14ac:dyDescent="0.25">
      <c r="A2388" t="s">
        <v>2004</v>
      </c>
      <c r="B2388" t="s">
        <v>9</v>
      </c>
      <c r="F2388" t="s">
        <v>7445</v>
      </c>
      <c r="G2388" t="s">
        <v>796</v>
      </c>
    </row>
    <row r="2389" spans="1:7" hidden="1" x14ac:dyDescent="0.25">
      <c r="A2389" t="s">
        <v>2004</v>
      </c>
      <c r="B2389" t="s">
        <v>9</v>
      </c>
      <c r="F2389" t="s">
        <v>7448</v>
      </c>
      <c r="G2389" t="s">
        <v>796</v>
      </c>
    </row>
    <row r="2390" spans="1:7" hidden="1" x14ac:dyDescent="0.25">
      <c r="A2390" t="s">
        <v>4</v>
      </c>
      <c r="B2390" t="s">
        <v>86</v>
      </c>
      <c r="E2390" t="s">
        <v>7710</v>
      </c>
      <c r="F2390" t="s">
        <v>7451</v>
      </c>
      <c r="G2390" t="s">
        <v>1100</v>
      </c>
    </row>
    <row r="2391" spans="1:7" hidden="1" x14ac:dyDescent="0.25">
      <c r="A2391" t="s">
        <v>4</v>
      </c>
      <c r="B2391" t="s">
        <v>7709</v>
      </c>
      <c r="F2391" t="s">
        <v>7454</v>
      </c>
      <c r="G2391" t="s">
        <v>1100</v>
      </c>
    </row>
    <row r="2392" spans="1:7" hidden="1" x14ac:dyDescent="0.25">
      <c r="A2392" t="s">
        <v>4</v>
      </c>
      <c r="B2392" t="s">
        <v>86</v>
      </c>
      <c r="E2392" t="s">
        <v>7710</v>
      </c>
      <c r="F2392" t="s">
        <v>7457</v>
      </c>
      <c r="G2392" t="s">
        <v>1100</v>
      </c>
    </row>
    <row r="2393" spans="1:7" hidden="1" x14ac:dyDescent="0.25">
      <c r="A2393" t="s">
        <v>4</v>
      </c>
      <c r="B2393" t="s">
        <v>86</v>
      </c>
      <c r="E2393" t="s">
        <v>7710</v>
      </c>
      <c r="F2393" t="s">
        <v>7460</v>
      </c>
      <c r="G2393" t="s">
        <v>1100</v>
      </c>
    </row>
    <row r="2394" spans="1:7" hidden="1" x14ac:dyDescent="0.25">
      <c r="A2394" t="s">
        <v>4</v>
      </c>
      <c r="B2394" t="s">
        <v>7709</v>
      </c>
      <c r="F2394" t="s">
        <v>7463</v>
      </c>
      <c r="G2394" t="s">
        <v>1100</v>
      </c>
    </row>
    <row r="2395" spans="1:7" hidden="1" x14ac:dyDescent="0.25">
      <c r="A2395" t="s">
        <v>4</v>
      </c>
      <c r="B2395" t="s">
        <v>7709</v>
      </c>
      <c r="F2395" t="s">
        <v>7466</v>
      </c>
      <c r="G2395" t="s">
        <v>1100</v>
      </c>
    </row>
    <row r="2396" spans="1:7" hidden="1" x14ac:dyDescent="0.25">
      <c r="A2396" t="s">
        <v>4</v>
      </c>
      <c r="B2396" t="s">
        <v>86</v>
      </c>
      <c r="E2396" t="s">
        <v>7710</v>
      </c>
      <c r="F2396" t="s">
        <v>7469</v>
      </c>
      <c r="G2396" t="s">
        <v>1100</v>
      </c>
    </row>
    <row r="2397" spans="1:7" hidden="1" x14ac:dyDescent="0.25">
      <c r="A2397" t="s">
        <v>4</v>
      </c>
      <c r="B2397" t="s">
        <v>7709</v>
      </c>
      <c r="F2397" t="s">
        <v>7472</v>
      </c>
      <c r="G2397" t="s">
        <v>1100</v>
      </c>
    </row>
    <row r="2398" spans="1:7" hidden="1" x14ac:dyDescent="0.25">
      <c r="A2398" t="s">
        <v>4</v>
      </c>
      <c r="B2398" t="s">
        <v>86</v>
      </c>
      <c r="E2398" t="s">
        <v>7710</v>
      </c>
      <c r="F2398" t="s">
        <v>7475</v>
      </c>
      <c r="G2398" t="s">
        <v>1100</v>
      </c>
    </row>
    <row r="2399" spans="1:7" hidden="1" x14ac:dyDescent="0.25">
      <c r="A2399" t="s">
        <v>2004</v>
      </c>
      <c r="B2399" t="s">
        <v>8</v>
      </c>
      <c r="F2399" t="s">
        <v>7490</v>
      </c>
      <c r="G2399" s="1" t="s">
        <v>1603</v>
      </c>
    </row>
    <row r="2400" spans="1:7" hidden="1" x14ac:dyDescent="0.25">
      <c r="A2400" t="s">
        <v>7711</v>
      </c>
      <c r="B2400" t="s">
        <v>1607</v>
      </c>
      <c r="F2400" t="s">
        <v>7493</v>
      </c>
      <c r="G2400" s="1" t="s">
        <v>1603</v>
      </c>
    </row>
    <row r="2401" spans="1:7" hidden="1" x14ac:dyDescent="0.25">
      <c r="A2401" t="s">
        <v>7711</v>
      </c>
      <c r="B2401" t="s">
        <v>1607</v>
      </c>
      <c r="F2401" t="s">
        <v>7496</v>
      </c>
      <c r="G2401" s="1" t="s">
        <v>1603</v>
      </c>
    </row>
    <row r="2402" spans="1:7" hidden="1" x14ac:dyDescent="0.25">
      <c r="A2402" t="s">
        <v>2004</v>
      </c>
      <c r="B2402" t="s">
        <v>8</v>
      </c>
      <c r="F2402" t="s">
        <v>7499</v>
      </c>
      <c r="G2402" s="1" t="s">
        <v>1603</v>
      </c>
    </row>
    <row r="2403" spans="1:7" hidden="1" x14ac:dyDescent="0.25">
      <c r="A2403" t="s">
        <v>289</v>
      </c>
      <c r="B2403" t="s">
        <v>70</v>
      </c>
      <c r="C2403" t="s">
        <v>58</v>
      </c>
      <c r="E2403" t="s">
        <v>1618</v>
      </c>
      <c r="F2403" t="s">
        <v>7502</v>
      </c>
      <c r="G2403" s="1" t="s">
        <v>1603</v>
      </c>
    </row>
    <row r="2404" spans="1:7" hidden="1" x14ac:dyDescent="0.25">
      <c r="A2404" t="s">
        <v>289</v>
      </c>
      <c r="B2404" t="s">
        <v>70</v>
      </c>
      <c r="C2404" t="s">
        <v>58</v>
      </c>
      <c r="E2404" t="s">
        <v>2936</v>
      </c>
      <c r="F2404" t="s">
        <v>7505</v>
      </c>
      <c r="G2404" s="1" t="s">
        <v>1603</v>
      </c>
    </row>
    <row r="2405" spans="1:7" hidden="1" x14ac:dyDescent="0.25">
      <c r="A2405" t="s">
        <v>289</v>
      </c>
      <c r="B2405" t="s">
        <v>70</v>
      </c>
      <c r="C2405" t="s">
        <v>58</v>
      </c>
      <c r="E2405" t="s">
        <v>2936</v>
      </c>
      <c r="F2405" t="s">
        <v>7508</v>
      </c>
      <c r="G2405" s="1" t="s">
        <v>1603</v>
      </c>
    </row>
    <row r="2406" spans="1:7" hidden="1" x14ac:dyDescent="0.25">
      <c r="A2406" t="s">
        <v>289</v>
      </c>
      <c r="B2406" t="s">
        <v>70</v>
      </c>
      <c r="C2406" t="s">
        <v>58</v>
      </c>
      <c r="E2406" t="s">
        <v>2936</v>
      </c>
      <c r="F2406" t="s">
        <v>7511</v>
      </c>
      <c r="G2406" s="1" t="s">
        <v>1603</v>
      </c>
    </row>
    <row r="2407" spans="1:7" hidden="1" x14ac:dyDescent="0.25">
      <c r="A2407" t="s">
        <v>289</v>
      </c>
      <c r="B2407" t="s">
        <v>70</v>
      </c>
      <c r="C2407" t="s">
        <v>58</v>
      </c>
      <c r="E2407" t="s">
        <v>2936</v>
      </c>
      <c r="F2407" t="s">
        <v>7514</v>
      </c>
      <c r="G2407" s="1" t="s">
        <v>1603</v>
      </c>
    </row>
    <row r="2408" spans="1:7" hidden="1" x14ac:dyDescent="0.25">
      <c r="A2408" t="s">
        <v>650</v>
      </c>
      <c r="B2408" t="s">
        <v>70</v>
      </c>
      <c r="C2408" t="s">
        <v>58</v>
      </c>
      <c r="F2408" t="s">
        <v>7517</v>
      </c>
      <c r="G2408" s="1" t="s">
        <v>1603</v>
      </c>
    </row>
    <row r="2409" spans="1:7" hidden="1" x14ac:dyDescent="0.25">
      <c r="A2409" t="s">
        <v>7712</v>
      </c>
      <c r="B2409" t="s">
        <v>531</v>
      </c>
      <c r="F2409" t="s">
        <v>7520</v>
      </c>
      <c r="G2409" s="1" t="s">
        <v>1603</v>
      </c>
    </row>
    <row r="2410" spans="1:7" hidden="1" x14ac:dyDescent="0.25">
      <c r="A2410" t="s">
        <v>4223</v>
      </c>
      <c r="B2410" t="s">
        <v>86</v>
      </c>
      <c r="C2410" t="s">
        <v>7713</v>
      </c>
      <c r="F2410" t="s">
        <v>7523</v>
      </c>
      <c r="G2410" s="1" t="s">
        <v>1603</v>
      </c>
    </row>
    <row r="2411" spans="1:7" hidden="1" x14ac:dyDescent="0.25">
      <c r="A2411" t="s">
        <v>4223</v>
      </c>
      <c r="B2411" t="s">
        <v>86</v>
      </c>
      <c r="C2411" t="s">
        <v>7713</v>
      </c>
      <c r="E2411" t="s">
        <v>2936</v>
      </c>
      <c r="F2411" t="s">
        <v>7526</v>
      </c>
      <c r="G2411" s="1" t="s">
        <v>1603</v>
      </c>
    </row>
    <row r="2412" spans="1:7" hidden="1" x14ac:dyDescent="0.25">
      <c r="A2412" t="s">
        <v>4223</v>
      </c>
      <c r="B2412" t="s">
        <v>86</v>
      </c>
      <c r="C2412" t="s">
        <v>7713</v>
      </c>
      <c r="F2412" t="s">
        <v>7529</v>
      </c>
      <c r="G2412" s="1" t="s">
        <v>1603</v>
      </c>
    </row>
    <row r="2413" spans="1:7" hidden="1" x14ac:dyDescent="0.25">
      <c r="A2413" t="s">
        <v>2004</v>
      </c>
      <c r="B2413" t="s">
        <v>8</v>
      </c>
      <c r="F2413" t="s">
        <v>7532</v>
      </c>
      <c r="G2413" s="1" t="s">
        <v>1603</v>
      </c>
    </row>
    <row r="2414" spans="1:7" hidden="1" x14ac:dyDescent="0.25">
      <c r="A2414" t="s">
        <v>2004</v>
      </c>
      <c r="B2414" t="s">
        <v>8</v>
      </c>
      <c r="F2414" t="s">
        <v>7535</v>
      </c>
      <c r="G2414" s="1" t="s">
        <v>1603</v>
      </c>
    </row>
    <row r="2415" spans="1:7" hidden="1" x14ac:dyDescent="0.25">
      <c r="A2415" t="s">
        <v>290</v>
      </c>
      <c r="B2415" t="s">
        <v>86</v>
      </c>
      <c r="C2415" t="s">
        <v>60</v>
      </c>
      <c r="E2415" t="s">
        <v>5104</v>
      </c>
      <c r="F2415" t="s">
        <v>7538</v>
      </c>
      <c r="G2415" t="s">
        <v>1817</v>
      </c>
    </row>
    <row r="2416" spans="1:7" hidden="1" x14ac:dyDescent="0.25">
      <c r="A2416" t="s">
        <v>290</v>
      </c>
      <c r="B2416" t="s">
        <v>86</v>
      </c>
      <c r="C2416" t="s">
        <v>60</v>
      </c>
      <c r="E2416" t="s">
        <v>5104</v>
      </c>
      <c r="F2416" t="s">
        <v>7541</v>
      </c>
      <c r="G2416" t="s">
        <v>1817</v>
      </c>
    </row>
    <row r="2417" spans="1:7" hidden="1" x14ac:dyDescent="0.25">
      <c r="A2417" t="s">
        <v>290</v>
      </c>
      <c r="B2417" t="s">
        <v>86</v>
      </c>
      <c r="C2417" t="s">
        <v>60</v>
      </c>
      <c r="E2417" t="s">
        <v>5104</v>
      </c>
      <c r="F2417" t="s">
        <v>7544</v>
      </c>
      <c r="G2417" t="s">
        <v>1817</v>
      </c>
    </row>
    <row r="2418" spans="1:7" hidden="1" x14ac:dyDescent="0.25">
      <c r="A2418" t="s">
        <v>4</v>
      </c>
      <c r="B2418" t="s">
        <v>8</v>
      </c>
      <c r="F2418" t="s">
        <v>7547</v>
      </c>
      <c r="G2418" t="s">
        <v>1817</v>
      </c>
    </row>
    <row r="2419" spans="1:7" hidden="1" x14ac:dyDescent="0.25">
      <c r="A2419" t="s">
        <v>4</v>
      </c>
      <c r="B2419" t="s">
        <v>86</v>
      </c>
      <c r="C2419" t="s">
        <v>7713</v>
      </c>
      <c r="F2419" t="s">
        <v>7550</v>
      </c>
      <c r="G2419" t="s">
        <v>1817</v>
      </c>
    </row>
    <row r="2420" spans="1:7" hidden="1" x14ac:dyDescent="0.25">
      <c r="A2420" t="s">
        <v>4</v>
      </c>
      <c r="B2420" t="s">
        <v>86</v>
      </c>
      <c r="C2420" t="s">
        <v>7713</v>
      </c>
      <c r="E2420" t="s">
        <v>2936</v>
      </c>
      <c r="F2420" t="s">
        <v>7553</v>
      </c>
      <c r="G2420" t="s">
        <v>1817</v>
      </c>
    </row>
    <row r="2421" spans="1:7" hidden="1" x14ac:dyDescent="0.25">
      <c r="A2421" t="s">
        <v>4</v>
      </c>
      <c r="B2421" t="s">
        <v>86</v>
      </c>
      <c r="C2421" t="s">
        <v>7713</v>
      </c>
      <c r="F2421" t="s">
        <v>7556</v>
      </c>
      <c r="G2421" t="s">
        <v>1817</v>
      </c>
    </row>
    <row r="2422" spans="1:7" hidden="1" x14ac:dyDescent="0.25">
      <c r="A2422" t="s">
        <v>4</v>
      </c>
      <c r="B2422" t="s">
        <v>86</v>
      </c>
      <c r="C2422" t="s">
        <v>7714</v>
      </c>
      <c r="F2422" t="s">
        <v>7559</v>
      </c>
      <c r="G2422" t="s">
        <v>1817</v>
      </c>
    </row>
    <row r="2423" spans="1:7" hidden="1" x14ac:dyDescent="0.25">
      <c r="A2423" t="s">
        <v>4</v>
      </c>
      <c r="B2423" t="s">
        <v>4193</v>
      </c>
      <c r="C2423" t="s">
        <v>4240</v>
      </c>
      <c r="F2423" t="s">
        <v>7562</v>
      </c>
      <c r="G2423" t="s">
        <v>1817</v>
      </c>
    </row>
    <row r="2424" spans="1:7" hidden="1" x14ac:dyDescent="0.25">
      <c r="A2424" t="s">
        <v>650</v>
      </c>
      <c r="B2424" t="s">
        <v>4193</v>
      </c>
      <c r="C2424" t="s">
        <v>4240</v>
      </c>
      <c r="F2424" t="s">
        <v>7565</v>
      </c>
      <c r="G2424" t="s">
        <v>1817</v>
      </c>
    </row>
    <row r="2425" spans="1:7" hidden="1" x14ac:dyDescent="0.25">
      <c r="A2425" t="s">
        <v>4</v>
      </c>
      <c r="B2425" t="s">
        <v>7715</v>
      </c>
      <c r="F2425" t="s">
        <v>7583</v>
      </c>
      <c r="G2425" t="s">
        <v>1934</v>
      </c>
    </row>
    <row r="2426" spans="1:7" hidden="1" x14ac:dyDescent="0.25">
      <c r="A2426" t="s">
        <v>4</v>
      </c>
      <c r="B2426" t="s">
        <v>7716</v>
      </c>
      <c r="E2426" t="s">
        <v>2936</v>
      </c>
      <c r="F2426" t="s">
        <v>7586</v>
      </c>
      <c r="G2426" t="s">
        <v>1934</v>
      </c>
    </row>
    <row r="2427" spans="1:7" hidden="1" x14ac:dyDescent="0.25">
      <c r="A2427" t="s">
        <v>4</v>
      </c>
      <c r="B2427" t="s">
        <v>8</v>
      </c>
      <c r="E2427" t="s">
        <v>7717</v>
      </c>
      <c r="F2427" t="s">
        <v>7589</v>
      </c>
      <c r="G2427" t="s">
        <v>1934</v>
      </c>
    </row>
    <row r="2428" spans="1:7" hidden="1" x14ac:dyDescent="0.25">
      <c r="A2428" t="s">
        <v>4</v>
      </c>
      <c r="B2428" t="s">
        <v>8</v>
      </c>
      <c r="E2428" t="s">
        <v>3078</v>
      </c>
      <c r="F2428" t="s">
        <v>7592</v>
      </c>
      <c r="G2428" t="s">
        <v>1934</v>
      </c>
    </row>
    <row r="2429" spans="1:7" x14ac:dyDescent="0.25">
      <c r="A2429" t="s">
        <v>4223</v>
      </c>
      <c r="B2429" t="s">
        <v>5480</v>
      </c>
      <c r="C2429" t="s">
        <v>60</v>
      </c>
      <c r="F2429" t="s">
        <v>7679</v>
      </c>
      <c r="G2429" t="s">
        <v>1997</v>
      </c>
    </row>
    <row r="2430" spans="1:7" x14ac:dyDescent="0.25">
      <c r="A2430" t="s">
        <v>2004</v>
      </c>
      <c r="B2430" t="s">
        <v>8</v>
      </c>
      <c r="F2430" t="s">
        <v>7682</v>
      </c>
      <c r="G2430" t="s">
        <v>1997</v>
      </c>
    </row>
    <row r="2431" spans="1:7" x14ac:dyDescent="0.25">
      <c r="A2431" t="s">
        <v>4</v>
      </c>
      <c r="B2431" t="s">
        <v>4193</v>
      </c>
      <c r="E2431" t="s">
        <v>7718</v>
      </c>
      <c r="F2431" t="s">
        <v>7685</v>
      </c>
      <c r="G2431" t="s">
        <v>1997</v>
      </c>
    </row>
    <row r="2432" spans="1:7" x14ac:dyDescent="0.25">
      <c r="A2432" t="s">
        <v>4223</v>
      </c>
      <c r="B2432" t="s">
        <v>5480</v>
      </c>
      <c r="C2432" t="s">
        <v>7713</v>
      </c>
      <c r="F2432" t="s">
        <v>7688</v>
      </c>
      <c r="G2432" t="s">
        <v>1997</v>
      </c>
    </row>
    <row r="2433" spans="1:7" x14ac:dyDescent="0.25">
      <c r="A2433" t="s">
        <v>4223</v>
      </c>
      <c r="B2433" t="s">
        <v>5480</v>
      </c>
      <c r="C2433" t="s">
        <v>7719</v>
      </c>
      <c r="F2433" t="s">
        <v>7691</v>
      </c>
      <c r="G2433" t="s">
        <v>1997</v>
      </c>
    </row>
    <row r="2434" spans="1:7" hidden="1" x14ac:dyDescent="0.25">
      <c r="A2434" t="s">
        <v>91</v>
      </c>
      <c r="B2434" t="s">
        <v>4193</v>
      </c>
      <c r="C2434" t="s">
        <v>5076</v>
      </c>
      <c r="F2434" t="s">
        <v>7723</v>
      </c>
      <c r="G2434" t="s">
        <v>1102</v>
      </c>
    </row>
    <row r="2435" spans="1:7" hidden="1" x14ac:dyDescent="0.25">
      <c r="A2435" t="s">
        <v>62</v>
      </c>
      <c r="B2435" t="s">
        <v>4193</v>
      </c>
      <c r="C2435" t="s">
        <v>5076</v>
      </c>
      <c r="F2435" t="s">
        <v>7726</v>
      </c>
      <c r="G2435" t="s">
        <v>1102</v>
      </c>
    </row>
    <row r="2436" spans="1:7" hidden="1" x14ac:dyDescent="0.25">
      <c r="A2436" t="s">
        <v>2004</v>
      </c>
      <c r="B2436" t="s">
        <v>8</v>
      </c>
      <c r="F2436" t="s">
        <v>7720</v>
      </c>
      <c r="G2436" t="s">
        <v>1103</v>
      </c>
    </row>
    <row r="2437" spans="1:7" hidden="1" x14ac:dyDescent="0.25">
      <c r="A2437" t="s">
        <v>289</v>
      </c>
      <c r="B2437" t="s">
        <v>2927</v>
      </c>
      <c r="C2437" t="s">
        <v>7169</v>
      </c>
      <c r="F2437" t="s">
        <v>7819</v>
      </c>
      <c r="G2437" t="s">
        <v>91</v>
      </c>
    </row>
    <row r="2438" spans="1:7" hidden="1" x14ac:dyDescent="0.25">
      <c r="A2438" t="s">
        <v>289</v>
      </c>
      <c r="B2438" t="s">
        <v>2927</v>
      </c>
      <c r="C2438" t="s">
        <v>7169</v>
      </c>
      <c r="E2438" t="s">
        <v>2936</v>
      </c>
      <c r="F2438" t="s">
        <v>7822</v>
      </c>
      <c r="G2438" t="s">
        <v>91</v>
      </c>
    </row>
    <row r="2439" spans="1:7" hidden="1" x14ac:dyDescent="0.25">
      <c r="A2439" t="s">
        <v>289</v>
      </c>
      <c r="B2439" t="s">
        <v>2927</v>
      </c>
      <c r="C2439" t="s">
        <v>7169</v>
      </c>
      <c r="E2439" t="s">
        <v>2936</v>
      </c>
      <c r="F2439" t="s">
        <v>7825</v>
      </c>
      <c r="G2439" t="s">
        <v>91</v>
      </c>
    </row>
    <row r="2440" spans="1:7" hidden="1" x14ac:dyDescent="0.25">
      <c r="A2440" t="s">
        <v>2004</v>
      </c>
      <c r="B2440" t="s">
        <v>8</v>
      </c>
      <c r="F2440" t="s">
        <v>7828</v>
      </c>
      <c r="G2440" t="s">
        <v>1104</v>
      </c>
    </row>
    <row r="2441" spans="1:7" hidden="1" x14ac:dyDescent="0.25">
      <c r="A2441" t="s">
        <v>1094</v>
      </c>
      <c r="B2441" t="s">
        <v>86</v>
      </c>
      <c r="C2441" t="s">
        <v>60</v>
      </c>
      <c r="E2441" t="s">
        <v>7870</v>
      </c>
      <c r="F2441" t="s">
        <v>7831</v>
      </c>
      <c r="G2441" t="s">
        <v>1105</v>
      </c>
    </row>
    <row r="2442" spans="1:7" hidden="1" x14ac:dyDescent="0.25">
      <c r="A2442" t="s">
        <v>1094</v>
      </c>
      <c r="B2442" t="s">
        <v>86</v>
      </c>
      <c r="C2442" t="s">
        <v>60</v>
      </c>
      <c r="E2442" t="s">
        <v>7870</v>
      </c>
      <c r="F2442" t="s">
        <v>7834</v>
      </c>
      <c r="G2442" t="s">
        <v>1105</v>
      </c>
    </row>
    <row r="2443" spans="1:7" hidden="1" x14ac:dyDescent="0.25">
      <c r="A2443" t="s">
        <v>1094</v>
      </c>
      <c r="B2443" t="s">
        <v>86</v>
      </c>
      <c r="C2443" t="s">
        <v>60</v>
      </c>
      <c r="E2443" t="s">
        <v>7870</v>
      </c>
      <c r="F2443" t="s">
        <v>7837</v>
      </c>
      <c r="G2443" t="s">
        <v>1105</v>
      </c>
    </row>
    <row r="2444" spans="1:7" hidden="1" x14ac:dyDescent="0.25">
      <c r="A2444" t="s">
        <v>1094</v>
      </c>
      <c r="B2444" t="s">
        <v>86</v>
      </c>
      <c r="C2444" t="s">
        <v>60</v>
      </c>
      <c r="E2444" t="s">
        <v>7870</v>
      </c>
      <c r="F2444" t="s">
        <v>7840</v>
      </c>
      <c r="G2444" t="s">
        <v>1105</v>
      </c>
    </row>
    <row r="2445" spans="1:7" hidden="1" x14ac:dyDescent="0.25">
      <c r="A2445" t="s">
        <v>1094</v>
      </c>
      <c r="B2445" t="s">
        <v>86</v>
      </c>
      <c r="C2445" t="s">
        <v>60</v>
      </c>
      <c r="E2445" t="s">
        <v>7870</v>
      </c>
      <c r="F2445" t="s">
        <v>7843</v>
      </c>
      <c r="G2445" t="s">
        <v>1105</v>
      </c>
    </row>
    <row r="2446" spans="1:7" hidden="1" x14ac:dyDescent="0.25">
      <c r="A2446" t="s">
        <v>1094</v>
      </c>
      <c r="B2446" t="s">
        <v>86</v>
      </c>
      <c r="C2446" t="s">
        <v>60</v>
      </c>
      <c r="E2446" t="s">
        <v>7870</v>
      </c>
      <c r="F2446" t="s">
        <v>7846</v>
      </c>
      <c r="G2446" t="s">
        <v>1105</v>
      </c>
    </row>
    <row r="2447" spans="1:7" hidden="1" x14ac:dyDescent="0.25">
      <c r="A2447" t="s">
        <v>1094</v>
      </c>
      <c r="B2447" t="s">
        <v>86</v>
      </c>
      <c r="C2447" t="s">
        <v>60</v>
      </c>
      <c r="E2447" t="s">
        <v>7870</v>
      </c>
      <c r="F2447" t="s">
        <v>7849</v>
      </c>
      <c r="G2447" t="s">
        <v>1105</v>
      </c>
    </row>
    <row r="2448" spans="1:7" hidden="1" x14ac:dyDescent="0.25">
      <c r="A2448" t="s">
        <v>2004</v>
      </c>
      <c r="B2448" t="s">
        <v>8</v>
      </c>
      <c r="F2448" t="s">
        <v>7852</v>
      </c>
      <c r="G2448" t="s">
        <v>1105</v>
      </c>
    </row>
    <row r="2449" spans="1:7" hidden="1" x14ac:dyDescent="0.25">
      <c r="A2449" t="s">
        <v>290</v>
      </c>
      <c r="B2449" t="s">
        <v>86</v>
      </c>
      <c r="C2449" t="s">
        <v>60</v>
      </c>
      <c r="E2449" t="s">
        <v>5104</v>
      </c>
      <c r="F2449" t="s">
        <v>7855</v>
      </c>
      <c r="G2449" t="s">
        <v>1106</v>
      </c>
    </row>
    <row r="2450" spans="1:7" hidden="1" x14ac:dyDescent="0.25">
      <c r="A2450" t="s">
        <v>290</v>
      </c>
      <c r="B2450" t="s">
        <v>86</v>
      </c>
      <c r="C2450" t="s">
        <v>60</v>
      </c>
      <c r="E2450" t="s">
        <v>2936</v>
      </c>
      <c r="F2450" t="s">
        <v>7858</v>
      </c>
      <c r="G2450" t="s">
        <v>1106</v>
      </c>
    </row>
    <row r="2451" spans="1:7" hidden="1" x14ac:dyDescent="0.25">
      <c r="A2451" t="s">
        <v>290</v>
      </c>
      <c r="B2451" t="s">
        <v>86</v>
      </c>
      <c r="C2451" t="s">
        <v>60</v>
      </c>
      <c r="E2451" t="s">
        <v>2936</v>
      </c>
      <c r="F2451" t="s">
        <v>7861</v>
      </c>
      <c r="G2451" t="s">
        <v>1106</v>
      </c>
    </row>
    <row r="2452" spans="1:7" hidden="1" x14ac:dyDescent="0.25">
      <c r="A2452" t="s">
        <v>2004</v>
      </c>
      <c r="B2452" t="s">
        <v>8</v>
      </c>
      <c r="F2452" t="s">
        <v>7867</v>
      </c>
      <c r="G2452" t="s">
        <v>1107</v>
      </c>
    </row>
    <row r="2453" spans="1:7" hidden="1" x14ac:dyDescent="0.25">
      <c r="A2453" t="s">
        <v>2004</v>
      </c>
      <c r="B2453" t="s">
        <v>9</v>
      </c>
      <c r="F2453" t="s">
        <v>7864</v>
      </c>
      <c r="G2453" t="s">
        <v>796</v>
      </c>
    </row>
    <row r="2454" spans="1:7" hidden="1" x14ac:dyDescent="0.25">
      <c r="A2454" t="s">
        <v>4</v>
      </c>
      <c r="B2454" t="s">
        <v>86</v>
      </c>
      <c r="E2454" t="s">
        <v>7710</v>
      </c>
      <c r="F2454" t="s">
        <v>7729</v>
      </c>
      <c r="G2454" t="s">
        <v>1100</v>
      </c>
    </row>
    <row r="2455" spans="1:7" hidden="1" x14ac:dyDescent="0.25">
      <c r="A2455" t="s">
        <v>4</v>
      </c>
      <c r="B2455" t="s">
        <v>7709</v>
      </c>
      <c r="F2455" t="s">
        <v>7732</v>
      </c>
      <c r="G2455" t="s">
        <v>1100</v>
      </c>
    </row>
    <row r="2456" spans="1:7" hidden="1" x14ac:dyDescent="0.25">
      <c r="A2456" t="s">
        <v>4</v>
      </c>
      <c r="B2456" t="s">
        <v>86</v>
      </c>
      <c r="E2456" t="s">
        <v>7710</v>
      </c>
      <c r="F2456" t="s">
        <v>7735</v>
      </c>
      <c r="G2456" t="s">
        <v>1100</v>
      </c>
    </row>
    <row r="2457" spans="1:7" hidden="1" x14ac:dyDescent="0.25">
      <c r="A2457" t="s">
        <v>4</v>
      </c>
      <c r="B2457" t="s">
        <v>7709</v>
      </c>
      <c r="F2457" t="s">
        <v>7738</v>
      </c>
      <c r="G2457" t="s">
        <v>1100</v>
      </c>
    </row>
    <row r="2458" spans="1:7" hidden="1" x14ac:dyDescent="0.25">
      <c r="A2458" t="s">
        <v>4</v>
      </c>
      <c r="B2458" t="s">
        <v>86</v>
      </c>
      <c r="E2458" t="s">
        <v>7710</v>
      </c>
      <c r="F2458" t="s">
        <v>7741</v>
      </c>
      <c r="G2458" t="s">
        <v>1100</v>
      </c>
    </row>
    <row r="2459" spans="1:7" hidden="1" x14ac:dyDescent="0.25">
      <c r="A2459" t="s">
        <v>2004</v>
      </c>
      <c r="B2459" t="s">
        <v>8</v>
      </c>
      <c r="F2459" t="s">
        <v>7744</v>
      </c>
      <c r="G2459" s="1" t="s">
        <v>1603</v>
      </c>
    </row>
    <row r="2460" spans="1:7" hidden="1" x14ac:dyDescent="0.25">
      <c r="A2460" t="s">
        <v>289</v>
      </c>
      <c r="B2460" t="s">
        <v>86</v>
      </c>
      <c r="C2460" t="s">
        <v>7719</v>
      </c>
      <c r="F2460" t="s">
        <v>7747</v>
      </c>
      <c r="G2460" t="s">
        <v>1817</v>
      </c>
    </row>
    <row r="2461" spans="1:7" hidden="1" x14ac:dyDescent="0.25">
      <c r="A2461" t="s">
        <v>158</v>
      </c>
      <c r="B2461" t="s">
        <v>86</v>
      </c>
      <c r="C2461" t="s">
        <v>7714</v>
      </c>
      <c r="F2461" t="s">
        <v>7750</v>
      </c>
      <c r="G2461" t="s">
        <v>1817</v>
      </c>
    </row>
    <row r="2462" spans="1:7" hidden="1" x14ac:dyDescent="0.25">
      <c r="A2462" t="s">
        <v>1606</v>
      </c>
      <c r="B2462" t="s">
        <v>4193</v>
      </c>
      <c r="C2462" t="s">
        <v>5076</v>
      </c>
      <c r="F2462" t="s">
        <v>7753</v>
      </c>
      <c r="G2462" t="s">
        <v>1817</v>
      </c>
    </row>
    <row r="2463" spans="1:7" hidden="1" x14ac:dyDescent="0.25">
      <c r="A2463" t="s">
        <v>1606</v>
      </c>
      <c r="B2463" t="s">
        <v>4193</v>
      </c>
      <c r="C2463" t="s">
        <v>5076</v>
      </c>
      <c r="E2463" t="s">
        <v>2936</v>
      </c>
      <c r="F2463" t="s">
        <v>7756</v>
      </c>
      <c r="G2463" t="s">
        <v>1817</v>
      </c>
    </row>
    <row r="2464" spans="1:7" hidden="1" x14ac:dyDescent="0.25">
      <c r="A2464" t="s">
        <v>4223</v>
      </c>
      <c r="B2464" t="s">
        <v>86</v>
      </c>
      <c r="C2464" t="s">
        <v>528</v>
      </c>
      <c r="F2464" t="s">
        <v>7759</v>
      </c>
      <c r="G2464" t="s">
        <v>1817</v>
      </c>
    </row>
    <row r="2465" spans="1:7" hidden="1" x14ac:dyDescent="0.25">
      <c r="A2465" t="s">
        <v>4223</v>
      </c>
      <c r="B2465" t="s">
        <v>86</v>
      </c>
      <c r="C2465" t="s">
        <v>528</v>
      </c>
      <c r="E2465" t="s">
        <v>2936</v>
      </c>
      <c r="F2465" t="s">
        <v>7762</v>
      </c>
      <c r="G2465" t="s">
        <v>1817</v>
      </c>
    </row>
    <row r="2466" spans="1:7" hidden="1" x14ac:dyDescent="0.25">
      <c r="A2466" t="s">
        <v>7871</v>
      </c>
      <c r="B2466" t="s">
        <v>531</v>
      </c>
      <c r="F2466" t="s">
        <v>7765</v>
      </c>
      <c r="G2466" t="s">
        <v>1817</v>
      </c>
    </row>
    <row r="2467" spans="1:7" hidden="1" x14ac:dyDescent="0.25">
      <c r="A2467" t="s">
        <v>650</v>
      </c>
      <c r="B2467" t="s">
        <v>4193</v>
      </c>
      <c r="C2467" t="s">
        <v>5076</v>
      </c>
      <c r="F2467" t="s">
        <v>7768</v>
      </c>
      <c r="G2467" t="s">
        <v>1817</v>
      </c>
    </row>
    <row r="2468" spans="1:7" hidden="1" x14ac:dyDescent="0.25">
      <c r="A2468" t="s">
        <v>4223</v>
      </c>
      <c r="B2468" t="s">
        <v>86</v>
      </c>
      <c r="C2468" t="s">
        <v>528</v>
      </c>
      <c r="F2468" t="s">
        <v>7771</v>
      </c>
      <c r="G2468" t="s">
        <v>1817</v>
      </c>
    </row>
    <row r="2469" spans="1:7" hidden="1" x14ac:dyDescent="0.25">
      <c r="A2469" t="s">
        <v>4</v>
      </c>
      <c r="B2469" t="s">
        <v>8</v>
      </c>
      <c r="F2469" t="s">
        <v>7774</v>
      </c>
      <c r="G2469" t="s">
        <v>1817</v>
      </c>
    </row>
    <row r="2470" spans="1:7" hidden="1" x14ac:dyDescent="0.25">
      <c r="A2470" t="s">
        <v>4</v>
      </c>
      <c r="B2470" t="s">
        <v>8</v>
      </c>
      <c r="F2470" t="s">
        <v>7777</v>
      </c>
      <c r="G2470" t="s">
        <v>1934</v>
      </c>
    </row>
    <row r="2471" spans="1:7" hidden="1" x14ac:dyDescent="0.25">
      <c r="A2471" t="s">
        <v>4</v>
      </c>
      <c r="B2471" t="s">
        <v>8</v>
      </c>
      <c r="E2471" t="s">
        <v>2936</v>
      </c>
      <c r="F2471" t="s">
        <v>7780</v>
      </c>
      <c r="G2471" t="s">
        <v>1934</v>
      </c>
    </row>
    <row r="2472" spans="1:7" hidden="1" x14ac:dyDescent="0.25">
      <c r="A2472" t="s">
        <v>4</v>
      </c>
      <c r="B2472" t="s">
        <v>8</v>
      </c>
      <c r="E2472" t="s">
        <v>2936</v>
      </c>
      <c r="F2472" t="s">
        <v>7783</v>
      </c>
      <c r="G2472" t="s">
        <v>1934</v>
      </c>
    </row>
    <row r="2473" spans="1:7" hidden="1" x14ac:dyDescent="0.25">
      <c r="A2473" t="s">
        <v>4</v>
      </c>
      <c r="B2473" t="s">
        <v>8</v>
      </c>
      <c r="E2473" t="s">
        <v>2936</v>
      </c>
      <c r="F2473" t="s">
        <v>7786</v>
      </c>
      <c r="G2473" t="s">
        <v>1934</v>
      </c>
    </row>
    <row r="2474" spans="1:7" hidden="1" x14ac:dyDescent="0.25">
      <c r="A2474" t="s">
        <v>4</v>
      </c>
      <c r="B2474" t="s">
        <v>8</v>
      </c>
      <c r="E2474" t="s">
        <v>2936</v>
      </c>
      <c r="F2474" t="s">
        <v>7789</v>
      </c>
      <c r="G2474" t="s">
        <v>1934</v>
      </c>
    </row>
    <row r="2475" spans="1:7" x14ac:dyDescent="0.25">
      <c r="A2475" t="s">
        <v>4223</v>
      </c>
      <c r="B2475" t="s">
        <v>5480</v>
      </c>
      <c r="C2475" t="s">
        <v>60</v>
      </c>
      <c r="F2475" t="s">
        <v>7792</v>
      </c>
      <c r="G2475" t="s">
        <v>1997</v>
      </c>
    </row>
    <row r="2476" spans="1:7" x14ac:dyDescent="0.25">
      <c r="A2476" t="s">
        <v>4223</v>
      </c>
      <c r="B2476" t="s">
        <v>5480</v>
      </c>
      <c r="C2476" t="s">
        <v>60</v>
      </c>
      <c r="F2476" t="s">
        <v>7795</v>
      </c>
      <c r="G2476" t="s">
        <v>1997</v>
      </c>
    </row>
    <row r="2477" spans="1:7" x14ac:dyDescent="0.25">
      <c r="A2477" t="s">
        <v>4223</v>
      </c>
      <c r="B2477" t="s">
        <v>5480</v>
      </c>
      <c r="C2477" t="s">
        <v>7719</v>
      </c>
      <c r="F2477" t="s">
        <v>7798</v>
      </c>
      <c r="G2477" t="s">
        <v>1997</v>
      </c>
    </row>
    <row r="2478" spans="1:7" x14ac:dyDescent="0.25">
      <c r="A2478" t="s">
        <v>4</v>
      </c>
      <c r="B2478" t="s">
        <v>4193</v>
      </c>
      <c r="E2478" t="s">
        <v>7718</v>
      </c>
      <c r="F2478" t="s">
        <v>7801</v>
      </c>
      <c r="G2478" t="s">
        <v>1997</v>
      </c>
    </row>
    <row r="2479" spans="1:7" x14ac:dyDescent="0.25">
      <c r="A2479" t="s">
        <v>4</v>
      </c>
      <c r="B2479" t="s">
        <v>8</v>
      </c>
      <c r="E2479" t="s">
        <v>2936</v>
      </c>
      <c r="F2479" t="s">
        <v>7804</v>
      </c>
      <c r="G2479" t="s">
        <v>1997</v>
      </c>
    </row>
    <row r="2480" spans="1:7" x14ac:dyDescent="0.25">
      <c r="A2480" t="s">
        <v>4</v>
      </c>
      <c r="B2480" t="s">
        <v>8</v>
      </c>
      <c r="E2480" t="s">
        <v>2936</v>
      </c>
      <c r="F2480" t="s">
        <v>7807</v>
      </c>
      <c r="G2480" t="s">
        <v>1997</v>
      </c>
    </row>
    <row r="2481" spans="1:7" x14ac:dyDescent="0.25">
      <c r="A2481" t="s">
        <v>4223</v>
      </c>
      <c r="B2481" t="s">
        <v>5480</v>
      </c>
      <c r="C2481" t="s">
        <v>7714</v>
      </c>
      <c r="F2481" t="s">
        <v>7810</v>
      </c>
      <c r="G2481" t="s">
        <v>1997</v>
      </c>
    </row>
    <row r="2482" spans="1:7" x14ac:dyDescent="0.25">
      <c r="A2482" t="s">
        <v>4223</v>
      </c>
      <c r="B2482" t="s">
        <v>5480</v>
      </c>
      <c r="C2482" t="s">
        <v>60</v>
      </c>
      <c r="F2482" t="s">
        <v>7813</v>
      </c>
      <c r="G2482" t="s">
        <v>1997</v>
      </c>
    </row>
    <row r="2483" spans="1:7" x14ac:dyDescent="0.25">
      <c r="A2483" t="s">
        <v>4</v>
      </c>
      <c r="B2483" t="s">
        <v>8</v>
      </c>
      <c r="F2483" t="s">
        <v>7816</v>
      </c>
      <c r="G2483" t="s">
        <v>1997</v>
      </c>
    </row>
    <row r="2484" spans="1:7" hidden="1" x14ac:dyDescent="0.25">
      <c r="A2484" t="s">
        <v>64</v>
      </c>
      <c r="B2484" t="s">
        <v>4193</v>
      </c>
      <c r="C2484" t="s">
        <v>5076</v>
      </c>
      <c r="F2484" t="s">
        <v>7890</v>
      </c>
      <c r="G2484" t="s">
        <v>1102</v>
      </c>
    </row>
    <row r="2485" spans="1:7" hidden="1" x14ac:dyDescent="0.25">
      <c r="A2485" t="s">
        <v>85</v>
      </c>
      <c r="B2485" t="s">
        <v>4193</v>
      </c>
      <c r="C2485" t="s">
        <v>5076</v>
      </c>
      <c r="F2485" t="s">
        <v>7893</v>
      </c>
      <c r="G2485" t="s">
        <v>1102</v>
      </c>
    </row>
    <row r="2486" spans="1:7" hidden="1" x14ac:dyDescent="0.25">
      <c r="A2486" t="s">
        <v>91</v>
      </c>
      <c r="B2486" t="s">
        <v>6329</v>
      </c>
      <c r="C2486" t="s">
        <v>5076</v>
      </c>
      <c r="F2486" t="s">
        <v>7896</v>
      </c>
      <c r="G2486" t="s">
        <v>1102</v>
      </c>
    </row>
    <row r="2487" spans="1:7" hidden="1" x14ac:dyDescent="0.25">
      <c r="A2487" t="s">
        <v>62</v>
      </c>
      <c r="B2487" t="s">
        <v>6329</v>
      </c>
      <c r="C2487" t="s">
        <v>5076</v>
      </c>
      <c r="F2487" t="s">
        <v>7899</v>
      </c>
      <c r="G2487" t="s">
        <v>1102</v>
      </c>
    </row>
    <row r="2488" spans="1:7" hidden="1" x14ac:dyDescent="0.25">
      <c r="A2488" t="s">
        <v>91</v>
      </c>
      <c r="B2488" t="s">
        <v>4193</v>
      </c>
      <c r="C2488" t="s">
        <v>5076</v>
      </c>
      <c r="F2488" t="s">
        <v>7902</v>
      </c>
      <c r="G2488" t="s">
        <v>1102</v>
      </c>
    </row>
    <row r="2489" spans="1:7" hidden="1" x14ac:dyDescent="0.25">
      <c r="A2489" t="s">
        <v>62</v>
      </c>
      <c r="B2489" t="s">
        <v>4193</v>
      </c>
      <c r="C2489" t="s">
        <v>5076</v>
      </c>
      <c r="F2489" t="s">
        <v>7905</v>
      </c>
      <c r="G2489" t="s">
        <v>1102</v>
      </c>
    </row>
    <row r="2490" spans="1:7" hidden="1" x14ac:dyDescent="0.25">
      <c r="A2490" t="s">
        <v>8040</v>
      </c>
      <c r="B2490" t="s">
        <v>4193</v>
      </c>
      <c r="C2490" t="s">
        <v>5076</v>
      </c>
      <c r="F2490" t="s">
        <v>7908</v>
      </c>
      <c r="G2490" t="s">
        <v>1102</v>
      </c>
    </row>
    <row r="2491" spans="1:7" hidden="1" x14ac:dyDescent="0.25">
      <c r="A2491" t="s">
        <v>64</v>
      </c>
      <c r="B2491" t="s">
        <v>4193</v>
      </c>
      <c r="C2491" t="s">
        <v>5076</v>
      </c>
      <c r="F2491" t="s">
        <v>7911</v>
      </c>
      <c r="G2491" t="s">
        <v>1102</v>
      </c>
    </row>
    <row r="2492" spans="1:7" hidden="1" x14ac:dyDescent="0.25">
      <c r="A2492" t="s">
        <v>62</v>
      </c>
      <c r="B2492" t="s">
        <v>6190</v>
      </c>
      <c r="C2492" t="s">
        <v>51</v>
      </c>
      <c r="F2492" t="s">
        <v>7914</v>
      </c>
      <c r="G2492" t="s">
        <v>1102</v>
      </c>
    </row>
    <row r="2493" spans="1:7" hidden="1" x14ac:dyDescent="0.25">
      <c r="A2493" t="s">
        <v>85</v>
      </c>
      <c r="B2493" t="s">
        <v>4193</v>
      </c>
      <c r="C2493" t="s">
        <v>5076</v>
      </c>
      <c r="F2493" t="s">
        <v>7917</v>
      </c>
      <c r="G2493" t="s">
        <v>1102</v>
      </c>
    </row>
    <row r="2494" spans="1:7" hidden="1" x14ac:dyDescent="0.25">
      <c r="A2494" t="s">
        <v>91</v>
      </c>
      <c r="B2494" t="s">
        <v>8041</v>
      </c>
      <c r="F2494" t="s">
        <v>7920</v>
      </c>
      <c r="G2494" t="s">
        <v>1102</v>
      </c>
    </row>
    <row r="2495" spans="1:7" hidden="1" x14ac:dyDescent="0.25">
      <c r="A2495" t="s">
        <v>62</v>
      </c>
      <c r="B2495" t="s">
        <v>8041</v>
      </c>
      <c r="F2495" t="s">
        <v>7923</v>
      </c>
      <c r="G2495" t="s">
        <v>1102</v>
      </c>
    </row>
    <row r="2496" spans="1:7" hidden="1" x14ac:dyDescent="0.25">
      <c r="A2496" t="s">
        <v>91</v>
      </c>
      <c r="B2496" t="s">
        <v>6190</v>
      </c>
      <c r="C2496" t="s">
        <v>51</v>
      </c>
      <c r="F2496" t="s">
        <v>7926</v>
      </c>
      <c r="G2496" t="s">
        <v>1102</v>
      </c>
    </row>
    <row r="2497" spans="1:7" hidden="1" x14ac:dyDescent="0.25">
      <c r="A2497" t="s">
        <v>1606</v>
      </c>
      <c r="B2497" t="s">
        <v>4193</v>
      </c>
      <c r="C2497" t="s">
        <v>5076</v>
      </c>
      <c r="F2497" t="s">
        <v>7872</v>
      </c>
      <c r="G2497" t="s">
        <v>1103</v>
      </c>
    </row>
    <row r="2498" spans="1:7" hidden="1" x14ac:dyDescent="0.25">
      <c r="A2498" t="s">
        <v>6171</v>
      </c>
      <c r="B2498" t="s">
        <v>4193</v>
      </c>
      <c r="C2498" t="s">
        <v>5076</v>
      </c>
      <c r="E2498" t="s">
        <v>5474</v>
      </c>
      <c r="F2498" t="s">
        <v>7875</v>
      </c>
      <c r="G2498" t="s">
        <v>1103</v>
      </c>
    </row>
    <row r="2499" spans="1:7" hidden="1" x14ac:dyDescent="0.25">
      <c r="A2499" t="s">
        <v>650</v>
      </c>
      <c r="B2499" t="s">
        <v>4193</v>
      </c>
      <c r="C2499" t="s">
        <v>5076</v>
      </c>
      <c r="F2499" t="s">
        <v>7878</v>
      </c>
      <c r="G2499" t="s">
        <v>1103</v>
      </c>
    </row>
    <row r="2500" spans="1:7" hidden="1" x14ac:dyDescent="0.25">
      <c r="A2500" t="s">
        <v>8042</v>
      </c>
      <c r="B2500" t="s">
        <v>6329</v>
      </c>
      <c r="C2500" t="s">
        <v>5076</v>
      </c>
      <c r="F2500" t="s">
        <v>7881</v>
      </c>
      <c r="G2500" t="s">
        <v>1103</v>
      </c>
    </row>
    <row r="2501" spans="1:7" hidden="1" x14ac:dyDescent="0.25">
      <c r="A2501" t="s">
        <v>1606</v>
      </c>
      <c r="B2501" t="s">
        <v>4193</v>
      </c>
      <c r="C2501" t="s">
        <v>5076</v>
      </c>
      <c r="F2501" t="s">
        <v>7884</v>
      </c>
      <c r="G2501" t="s">
        <v>1103</v>
      </c>
    </row>
    <row r="2502" spans="1:7" hidden="1" x14ac:dyDescent="0.25">
      <c r="A2502" t="s">
        <v>650</v>
      </c>
      <c r="B2502" t="s">
        <v>4193</v>
      </c>
      <c r="C2502" t="s">
        <v>5076</v>
      </c>
      <c r="F2502" t="s">
        <v>7887</v>
      </c>
      <c r="G2502" t="s">
        <v>1103</v>
      </c>
    </row>
    <row r="2503" spans="1:7" hidden="1" x14ac:dyDescent="0.25">
      <c r="A2503" t="s">
        <v>2004</v>
      </c>
      <c r="B2503" t="s">
        <v>8</v>
      </c>
      <c r="F2503" t="s">
        <v>7944</v>
      </c>
      <c r="G2503" t="s">
        <v>91</v>
      </c>
    </row>
    <row r="2504" spans="1:7" hidden="1" x14ac:dyDescent="0.25">
      <c r="A2504" t="s">
        <v>2004</v>
      </c>
      <c r="B2504" t="s">
        <v>8</v>
      </c>
      <c r="F2504" t="s">
        <v>7947</v>
      </c>
      <c r="G2504" t="s">
        <v>91</v>
      </c>
    </row>
    <row r="2505" spans="1:7" hidden="1" x14ac:dyDescent="0.25">
      <c r="A2505" t="s">
        <v>4</v>
      </c>
      <c r="B2505" t="s">
        <v>531</v>
      </c>
      <c r="F2505" t="s">
        <v>7950</v>
      </c>
      <c r="G2505" t="s">
        <v>91</v>
      </c>
    </row>
    <row r="2506" spans="1:7" hidden="1" x14ac:dyDescent="0.25">
      <c r="A2506" t="s">
        <v>2004</v>
      </c>
      <c r="B2506" t="s">
        <v>8</v>
      </c>
      <c r="F2506" t="s">
        <v>7953</v>
      </c>
      <c r="G2506" t="s">
        <v>91</v>
      </c>
    </row>
    <row r="2507" spans="1:7" hidden="1" x14ac:dyDescent="0.25">
      <c r="A2507" t="s">
        <v>8042</v>
      </c>
      <c r="B2507" t="s">
        <v>6656</v>
      </c>
      <c r="C2507" t="s">
        <v>5076</v>
      </c>
      <c r="F2507" t="s">
        <v>7992</v>
      </c>
      <c r="G2507" t="s">
        <v>1104</v>
      </c>
    </row>
    <row r="2508" spans="1:7" hidden="1" x14ac:dyDescent="0.25">
      <c r="A2508" t="s">
        <v>4</v>
      </c>
      <c r="B2508" t="s">
        <v>6656</v>
      </c>
      <c r="C2508" t="s">
        <v>5076</v>
      </c>
      <c r="E2508" t="s">
        <v>8043</v>
      </c>
      <c r="F2508" t="s">
        <v>7995</v>
      </c>
      <c r="G2508" t="s">
        <v>1104</v>
      </c>
    </row>
    <row r="2509" spans="1:7" hidden="1" x14ac:dyDescent="0.25">
      <c r="A2509" t="s">
        <v>4</v>
      </c>
      <c r="B2509" t="s">
        <v>4193</v>
      </c>
      <c r="C2509" t="s">
        <v>5076</v>
      </c>
      <c r="F2509" t="s">
        <v>7998</v>
      </c>
      <c r="G2509" t="s">
        <v>1104</v>
      </c>
    </row>
    <row r="2510" spans="1:7" hidden="1" x14ac:dyDescent="0.25">
      <c r="A2510" t="s">
        <v>4</v>
      </c>
      <c r="B2510" t="s">
        <v>8</v>
      </c>
      <c r="E2510" t="s">
        <v>8044</v>
      </c>
      <c r="F2510" t="s">
        <v>8001</v>
      </c>
      <c r="G2510" t="s">
        <v>1104</v>
      </c>
    </row>
    <row r="2511" spans="1:7" hidden="1" x14ac:dyDescent="0.25">
      <c r="A2511" t="s">
        <v>650</v>
      </c>
      <c r="B2511" t="s">
        <v>6190</v>
      </c>
      <c r="C2511" t="s">
        <v>51</v>
      </c>
      <c r="F2511" t="s">
        <v>8004</v>
      </c>
      <c r="G2511" t="s">
        <v>1104</v>
      </c>
    </row>
    <row r="2512" spans="1:7" hidden="1" x14ac:dyDescent="0.25">
      <c r="A2512" t="s">
        <v>1606</v>
      </c>
      <c r="B2512" t="s">
        <v>8041</v>
      </c>
      <c r="F2512" t="s">
        <v>8007</v>
      </c>
      <c r="G2512" t="s">
        <v>1104</v>
      </c>
    </row>
    <row r="2513" spans="1:7" hidden="1" x14ac:dyDescent="0.25">
      <c r="A2513" t="s">
        <v>650</v>
      </c>
      <c r="B2513" t="s">
        <v>8041</v>
      </c>
      <c r="F2513" t="s">
        <v>8010</v>
      </c>
      <c r="G2513" t="s">
        <v>1104</v>
      </c>
    </row>
    <row r="2514" spans="1:7" hidden="1" x14ac:dyDescent="0.25">
      <c r="A2514" t="s">
        <v>1606</v>
      </c>
      <c r="B2514" t="s">
        <v>6190</v>
      </c>
      <c r="F2514" t="s">
        <v>8013</v>
      </c>
      <c r="G2514" t="s">
        <v>1104</v>
      </c>
    </row>
    <row r="2515" spans="1:7" hidden="1" x14ac:dyDescent="0.25">
      <c r="A2515" t="s">
        <v>2004</v>
      </c>
      <c r="B2515" t="s">
        <v>8</v>
      </c>
      <c r="F2515" t="s">
        <v>7929</v>
      </c>
      <c r="G2515" t="s">
        <v>1105</v>
      </c>
    </row>
    <row r="2516" spans="1:7" hidden="1" x14ac:dyDescent="0.25">
      <c r="A2516" t="s">
        <v>8042</v>
      </c>
      <c r="B2516" t="s">
        <v>6656</v>
      </c>
      <c r="F2516" t="s">
        <v>7932</v>
      </c>
      <c r="G2516" t="s">
        <v>1105</v>
      </c>
    </row>
    <row r="2517" spans="1:7" hidden="1" x14ac:dyDescent="0.25">
      <c r="A2517" t="s">
        <v>4</v>
      </c>
      <c r="B2517" t="s">
        <v>8045</v>
      </c>
      <c r="F2517" t="s">
        <v>7935</v>
      </c>
      <c r="G2517" t="s">
        <v>1105</v>
      </c>
    </row>
    <row r="2518" spans="1:7" hidden="1" x14ac:dyDescent="0.25">
      <c r="A2518" t="s">
        <v>4</v>
      </c>
      <c r="B2518" t="s">
        <v>8045</v>
      </c>
      <c r="F2518" t="s">
        <v>7938</v>
      </c>
      <c r="G2518" t="s">
        <v>1105</v>
      </c>
    </row>
    <row r="2519" spans="1:7" hidden="1" x14ac:dyDescent="0.25">
      <c r="A2519" t="s">
        <v>4</v>
      </c>
      <c r="B2519" t="s">
        <v>8045</v>
      </c>
      <c r="F2519" t="s">
        <v>7941</v>
      </c>
      <c r="G2519" t="s">
        <v>1105</v>
      </c>
    </row>
    <row r="2520" spans="1:7" hidden="1" x14ac:dyDescent="0.25">
      <c r="A2520" t="s">
        <v>2004</v>
      </c>
      <c r="B2520" t="s">
        <v>8</v>
      </c>
      <c r="F2520" t="s">
        <v>8016</v>
      </c>
      <c r="G2520" t="s">
        <v>1106</v>
      </c>
    </row>
    <row r="2521" spans="1:7" hidden="1" x14ac:dyDescent="0.25">
      <c r="A2521" t="s">
        <v>2004</v>
      </c>
      <c r="B2521" t="s">
        <v>8</v>
      </c>
      <c r="F2521" t="s">
        <v>8019</v>
      </c>
      <c r="G2521" t="s">
        <v>1106</v>
      </c>
    </row>
    <row r="2522" spans="1:7" hidden="1" x14ac:dyDescent="0.25">
      <c r="A2522" t="s">
        <v>2004</v>
      </c>
      <c r="B2522" t="s">
        <v>8</v>
      </c>
      <c r="F2522" t="s">
        <v>8046</v>
      </c>
      <c r="G2522" t="s">
        <v>1107</v>
      </c>
    </row>
    <row r="2523" spans="1:7" hidden="1" x14ac:dyDescent="0.25">
      <c r="A2523" t="s">
        <v>2004</v>
      </c>
      <c r="B2523" t="s">
        <v>8</v>
      </c>
      <c r="F2523" t="s">
        <v>8049</v>
      </c>
      <c r="G2523" t="s">
        <v>1107</v>
      </c>
    </row>
    <row r="2524" spans="1:7" hidden="1" x14ac:dyDescent="0.25">
      <c r="A2524" t="s">
        <v>2004</v>
      </c>
      <c r="B2524" t="s">
        <v>9</v>
      </c>
      <c r="F2524" t="s">
        <v>8022</v>
      </c>
      <c r="G2524" t="s">
        <v>796</v>
      </c>
    </row>
    <row r="2525" spans="1:7" hidden="1" x14ac:dyDescent="0.25">
      <c r="A2525" t="s">
        <v>2004</v>
      </c>
      <c r="B2525" t="s">
        <v>9</v>
      </c>
      <c r="F2525" t="s">
        <v>8025</v>
      </c>
      <c r="G2525" t="s">
        <v>796</v>
      </c>
    </row>
    <row r="2526" spans="1:7" hidden="1" x14ac:dyDescent="0.25">
      <c r="A2526" t="s">
        <v>2004</v>
      </c>
      <c r="B2526" t="s">
        <v>86</v>
      </c>
      <c r="F2526" t="s">
        <v>7956</v>
      </c>
      <c r="G2526" t="s">
        <v>1100</v>
      </c>
    </row>
    <row r="2527" spans="1:7" hidden="1" x14ac:dyDescent="0.25">
      <c r="A2527" t="s">
        <v>2004</v>
      </c>
      <c r="B2527" t="s">
        <v>86</v>
      </c>
      <c r="F2527" t="s">
        <v>7959</v>
      </c>
      <c r="G2527" t="s">
        <v>1100</v>
      </c>
    </row>
    <row r="2528" spans="1:7" hidden="1" x14ac:dyDescent="0.25">
      <c r="A2528" t="s">
        <v>1606</v>
      </c>
      <c r="B2528" t="s">
        <v>6656</v>
      </c>
      <c r="C2528" t="s">
        <v>5076</v>
      </c>
      <c r="F2528" t="s">
        <v>8028</v>
      </c>
      <c r="G2528" s="1" t="s">
        <v>1603</v>
      </c>
    </row>
    <row r="2529" spans="1:7" hidden="1" x14ac:dyDescent="0.25">
      <c r="A2529" t="s">
        <v>8042</v>
      </c>
      <c r="B2529" t="s">
        <v>6656</v>
      </c>
      <c r="C2529" t="s">
        <v>5076</v>
      </c>
      <c r="E2529" t="s">
        <v>8052</v>
      </c>
      <c r="F2529" t="s">
        <v>8031</v>
      </c>
      <c r="G2529" s="1" t="s">
        <v>1603</v>
      </c>
    </row>
    <row r="2530" spans="1:7" hidden="1" x14ac:dyDescent="0.25">
      <c r="A2530" t="s">
        <v>650</v>
      </c>
      <c r="B2530" t="s">
        <v>6656</v>
      </c>
      <c r="C2530" t="s">
        <v>5076</v>
      </c>
      <c r="F2530" t="s">
        <v>8034</v>
      </c>
      <c r="G2530" s="1" t="s">
        <v>1603</v>
      </c>
    </row>
    <row r="2531" spans="1:7" hidden="1" x14ac:dyDescent="0.25">
      <c r="A2531" t="s">
        <v>4</v>
      </c>
      <c r="B2531" t="s">
        <v>1607</v>
      </c>
      <c r="C2531" t="s">
        <v>8053</v>
      </c>
      <c r="F2531" t="s">
        <v>8037</v>
      </c>
      <c r="G2531" s="1" t="s">
        <v>1603</v>
      </c>
    </row>
    <row r="2532" spans="1:7" hidden="1" x14ac:dyDescent="0.25">
      <c r="A2532" t="s">
        <v>8042</v>
      </c>
      <c r="B2532" t="s">
        <v>6656</v>
      </c>
      <c r="C2532" t="s">
        <v>5076</v>
      </c>
      <c r="F2532" t="s">
        <v>7962</v>
      </c>
      <c r="G2532" t="s">
        <v>1817</v>
      </c>
    </row>
    <row r="2533" spans="1:7" hidden="1" x14ac:dyDescent="0.25">
      <c r="A2533" t="s">
        <v>4</v>
      </c>
      <c r="B2533" t="s">
        <v>8045</v>
      </c>
      <c r="F2533" t="s">
        <v>7965</v>
      </c>
      <c r="G2533" t="s">
        <v>1817</v>
      </c>
    </row>
    <row r="2534" spans="1:7" hidden="1" x14ac:dyDescent="0.25">
      <c r="A2534" t="s">
        <v>4</v>
      </c>
      <c r="B2534" t="s">
        <v>8</v>
      </c>
      <c r="F2534" t="s">
        <v>7968</v>
      </c>
      <c r="G2534" t="s">
        <v>1817</v>
      </c>
    </row>
    <row r="2535" spans="1:7" hidden="1" x14ac:dyDescent="0.25">
      <c r="A2535" t="s">
        <v>4</v>
      </c>
      <c r="B2535" t="s">
        <v>8</v>
      </c>
      <c r="F2535" t="s">
        <v>7971</v>
      </c>
      <c r="G2535" t="s">
        <v>1934</v>
      </c>
    </row>
    <row r="2536" spans="1:7" hidden="1" x14ac:dyDescent="0.25">
      <c r="A2536" t="s">
        <v>4</v>
      </c>
      <c r="B2536" t="s">
        <v>12</v>
      </c>
      <c r="F2536" t="s">
        <v>7974</v>
      </c>
      <c r="G2536" t="s">
        <v>1934</v>
      </c>
    </row>
    <row r="2537" spans="1:7" hidden="1" x14ac:dyDescent="0.25">
      <c r="A2537" t="s">
        <v>4</v>
      </c>
      <c r="B2537" t="s">
        <v>8</v>
      </c>
      <c r="F2537" t="s">
        <v>7977</v>
      </c>
      <c r="G2537" t="s">
        <v>1934</v>
      </c>
    </row>
    <row r="2538" spans="1:7" hidden="1" x14ac:dyDescent="0.25">
      <c r="A2538" t="s">
        <v>4</v>
      </c>
      <c r="B2538" t="s">
        <v>12</v>
      </c>
      <c r="F2538" t="s">
        <v>7980</v>
      </c>
      <c r="G2538" t="s">
        <v>1934</v>
      </c>
    </row>
    <row r="2539" spans="1:7" x14ac:dyDescent="0.25">
      <c r="A2539" t="s">
        <v>4</v>
      </c>
      <c r="B2539" t="s">
        <v>8</v>
      </c>
      <c r="F2539" t="s">
        <v>7983</v>
      </c>
      <c r="G2539" t="s">
        <v>1997</v>
      </c>
    </row>
    <row r="2540" spans="1:7" x14ac:dyDescent="0.25">
      <c r="A2540" t="s">
        <v>4</v>
      </c>
      <c r="B2540" t="s">
        <v>8</v>
      </c>
      <c r="F2540" t="s">
        <v>7986</v>
      </c>
      <c r="G2540" t="s">
        <v>1997</v>
      </c>
    </row>
    <row r="2541" spans="1:7" x14ac:dyDescent="0.25">
      <c r="A2541" t="s">
        <v>4</v>
      </c>
      <c r="B2541" t="s">
        <v>8</v>
      </c>
      <c r="F2541" t="s">
        <v>7989</v>
      </c>
      <c r="G2541" t="s">
        <v>1997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8054</v>
      </c>
      <c r="G2542" t="s">
        <v>1102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8057</v>
      </c>
      <c r="G2543" t="s">
        <v>1102</v>
      </c>
    </row>
    <row r="2544" spans="1:7" hidden="1" x14ac:dyDescent="0.25">
      <c r="A2544" t="s">
        <v>91</v>
      </c>
      <c r="B2544" t="s">
        <v>70</v>
      </c>
      <c r="C2544" t="s">
        <v>5076</v>
      </c>
      <c r="F2544" t="s">
        <v>8060</v>
      </c>
      <c r="G2544" t="s">
        <v>1102</v>
      </c>
    </row>
    <row r="2545" spans="1:7" hidden="1" x14ac:dyDescent="0.25">
      <c r="A2545" t="s">
        <v>62</v>
      </c>
      <c r="B2545" t="s">
        <v>70</v>
      </c>
      <c r="C2545" t="s">
        <v>5076</v>
      </c>
      <c r="F2545" t="s">
        <v>8063</v>
      </c>
      <c r="G2545" t="s">
        <v>1102</v>
      </c>
    </row>
    <row r="2546" spans="1:7" hidden="1" x14ac:dyDescent="0.25">
      <c r="A2546" t="s">
        <v>62</v>
      </c>
      <c r="B2546" t="s">
        <v>6190</v>
      </c>
      <c r="C2546" t="s">
        <v>51</v>
      </c>
      <c r="F2546" t="s">
        <v>8066</v>
      </c>
      <c r="G2546" t="s">
        <v>1102</v>
      </c>
    </row>
    <row r="2547" spans="1:7" hidden="1" x14ac:dyDescent="0.25">
      <c r="A2547" t="s">
        <v>91</v>
      </c>
      <c r="B2547" t="s">
        <v>6190</v>
      </c>
      <c r="C2547" t="s">
        <v>51</v>
      </c>
      <c r="F2547" t="s">
        <v>8069</v>
      </c>
      <c r="G2547" t="s">
        <v>1102</v>
      </c>
    </row>
    <row r="2548" spans="1:7" hidden="1" x14ac:dyDescent="0.25">
      <c r="A2548" t="s">
        <v>2004</v>
      </c>
      <c r="F2548" t="s">
        <v>8072</v>
      </c>
      <c r="G2548" t="s">
        <v>1102</v>
      </c>
    </row>
    <row r="2549" spans="1:7" hidden="1" x14ac:dyDescent="0.25">
      <c r="A2549" t="s">
        <v>2004</v>
      </c>
      <c r="F2549" t="s">
        <v>8075</v>
      </c>
      <c r="G2549" t="s">
        <v>1102</v>
      </c>
    </row>
    <row r="2550" spans="1:7" hidden="1" x14ac:dyDescent="0.25">
      <c r="A2550" t="s">
        <v>533</v>
      </c>
      <c r="B2550" t="s">
        <v>531</v>
      </c>
      <c r="C2550" t="s">
        <v>1621</v>
      </c>
      <c r="E2550" t="s">
        <v>1620</v>
      </c>
      <c r="F2550" t="s">
        <v>8078</v>
      </c>
      <c r="G2550" t="s">
        <v>1103</v>
      </c>
    </row>
    <row r="2551" spans="1:7" hidden="1" x14ac:dyDescent="0.25">
      <c r="A2551" t="s">
        <v>2004</v>
      </c>
      <c r="B2551" t="s">
        <v>8</v>
      </c>
      <c r="F2551" t="s">
        <v>8081</v>
      </c>
      <c r="G2551" t="s">
        <v>1103</v>
      </c>
    </row>
    <row r="2552" spans="1:7" hidden="1" x14ac:dyDescent="0.25">
      <c r="A2552" t="s">
        <v>2004</v>
      </c>
      <c r="B2552" t="s">
        <v>8</v>
      </c>
      <c r="F2552" t="s">
        <v>8084</v>
      </c>
      <c r="G2552" t="s">
        <v>1103</v>
      </c>
    </row>
    <row r="2553" spans="1:7" hidden="1" x14ac:dyDescent="0.25">
      <c r="A2553" t="s">
        <v>2004</v>
      </c>
      <c r="B2553" t="s">
        <v>8</v>
      </c>
      <c r="F2553" t="s">
        <v>8087</v>
      </c>
      <c r="G2553" t="s">
        <v>1103</v>
      </c>
    </row>
    <row r="2554" spans="1:7" hidden="1" x14ac:dyDescent="0.25">
      <c r="A2554" t="s">
        <v>2004</v>
      </c>
      <c r="B2554" t="s">
        <v>8</v>
      </c>
      <c r="F2554" t="s">
        <v>8108</v>
      </c>
      <c r="G2554" t="s">
        <v>91</v>
      </c>
    </row>
    <row r="2555" spans="1:7" hidden="1" x14ac:dyDescent="0.25">
      <c r="A2555" t="s">
        <v>2004</v>
      </c>
      <c r="B2555" t="s">
        <v>8</v>
      </c>
      <c r="F2555" t="s">
        <v>8111</v>
      </c>
      <c r="G2555" t="s">
        <v>91</v>
      </c>
    </row>
    <row r="2556" spans="1:7" hidden="1" x14ac:dyDescent="0.25">
      <c r="A2556" t="s">
        <v>2004</v>
      </c>
      <c r="B2556" t="s">
        <v>8</v>
      </c>
      <c r="F2556" t="s">
        <v>8114</v>
      </c>
      <c r="G2556" t="s">
        <v>91</v>
      </c>
    </row>
    <row r="2557" spans="1:7" hidden="1" x14ac:dyDescent="0.25">
      <c r="A2557" t="s">
        <v>2004</v>
      </c>
      <c r="B2557" t="s">
        <v>8</v>
      </c>
      <c r="F2557" t="s">
        <v>8117</v>
      </c>
      <c r="G2557" t="s">
        <v>91</v>
      </c>
    </row>
    <row r="2558" spans="1:7" hidden="1" x14ac:dyDescent="0.25">
      <c r="A2558" t="s">
        <v>4</v>
      </c>
      <c r="B2558" t="s">
        <v>1607</v>
      </c>
      <c r="C2558" t="s">
        <v>8330</v>
      </c>
      <c r="F2558" t="s">
        <v>8090</v>
      </c>
      <c r="G2558" t="s">
        <v>1104</v>
      </c>
    </row>
    <row r="2559" spans="1:7" hidden="1" x14ac:dyDescent="0.25">
      <c r="A2559" t="s">
        <v>4</v>
      </c>
      <c r="B2559" t="s">
        <v>8</v>
      </c>
      <c r="F2559" t="s">
        <v>8093</v>
      </c>
      <c r="G2559" t="s">
        <v>1104</v>
      </c>
    </row>
    <row r="2560" spans="1:7" hidden="1" x14ac:dyDescent="0.25">
      <c r="A2560" t="s">
        <v>2004</v>
      </c>
      <c r="B2560" t="s">
        <v>8</v>
      </c>
      <c r="F2560" t="s">
        <v>8096</v>
      </c>
      <c r="G2560" t="s">
        <v>1104</v>
      </c>
    </row>
    <row r="2561" spans="1:7" hidden="1" x14ac:dyDescent="0.25">
      <c r="A2561" t="s">
        <v>2004</v>
      </c>
      <c r="B2561" t="s">
        <v>8</v>
      </c>
      <c r="F2561" t="s">
        <v>8099</v>
      </c>
      <c r="G2561" t="s">
        <v>1104</v>
      </c>
    </row>
    <row r="2562" spans="1:7" hidden="1" x14ac:dyDescent="0.25">
      <c r="A2562" t="s">
        <v>2004</v>
      </c>
      <c r="B2562" t="s">
        <v>8</v>
      </c>
      <c r="F2562" t="s">
        <v>8102</v>
      </c>
      <c r="G2562" t="s">
        <v>1104</v>
      </c>
    </row>
    <row r="2563" spans="1:7" hidden="1" x14ac:dyDescent="0.25">
      <c r="A2563" t="s">
        <v>2004</v>
      </c>
      <c r="B2563" t="s">
        <v>8</v>
      </c>
      <c r="F2563" t="s">
        <v>8105</v>
      </c>
      <c r="G2563" t="s">
        <v>1104</v>
      </c>
    </row>
    <row r="2564" spans="1:7" hidden="1" x14ac:dyDescent="0.25">
      <c r="A2564" t="s">
        <v>4</v>
      </c>
      <c r="B2564" t="s">
        <v>8331</v>
      </c>
      <c r="F2564" t="s">
        <v>8285</v>
      </c>
      <c r="G2564" t="s">
        <v>1105</v>
      </c>
    </row>
    <row r="2565" spans="1:7" hidden="1" x14ac:dyDescent="0.25">
      <c r="A2565" t="s">
        <v>4</v>
      </c>
      <c r="B2565" t="s">
        <v>8331</v>
      </c>
      <c r="F2565" t="s">
        <v>8288</v>
      </c>
      <c r="G2565" t="s">
        <v>1105</v>
      </c>
    </row>
    <row r="2566" spans="1:7" hidden="1" x14ac:dyDescent="0.25">
      <c r="A2566" t="s">
        <v>2004</v>
      </c>
      <c r="B2566" t="s">
        <v>8</v>
      </c>
      <c r="F2566" t="s">
        <v>8291</v>
      </c>
      <c r="G2566" t="s">
        <v>1105</v>
      </c>
    </row>
    <row r="2567" spans="1:7" hidden="1" x14ac:dyDescent="0.25">
      <c r="A2567" t="s">
        <v>4</v>
      </c>
      <c r="B2567" t="s">
        <v>1607</v>
      </c>
      <c r="C2567" t="s">
        <v>7169</v>
      </c>
      <c r="F2567" t="s">
        <v>8294</v>
      </c>
      <c r="G2567" t="s">
        <v>1105</v>
      </c>
    </row>
    <row r="2568" spans="1:7" hidden="1" x14ac:dyDescent="0.25">
      <c r="A2568" t="s">
        <v>2004</v>
      </c>
      <c r="B2568" t="s">
        <v>8</v>
      </c>
      <c r="F2568" t="s">
        <v>8297</v>
      </c>
      <c r="G2568" t="s">
        <v>1105</v>
      </c>
    </row>
    <row r="2569" spans="1:7" hidden="1" x14ac:dyDescent="0.25">
      <c r="A2569" t="s">
        <v>2004</v>
      </c>
      <c r="B2569" t="s">
        <v>8</v>
      </c>
      <c r="F2569" t="s">
        <v>8300</v>
      </c>
      <c r="G2569" t="s">
        <v>1105</v>
      </c>
    </row>
    <row r="2570" spans="1:7" hidden="1" x14ac:dyDescent="0.25">
      <c r="A2570" t="s">
        <v>2004</v>
      </c>
      <c r="B2570" t="s">
        <v>8</v>
      </c>
      <c r="F2570" t="s">
        <v>8303</v>
      </c>
      <c r="G2570" t="s">
        <v>1106</v>
      </c>
    </row>
    <row r="2571" spans="1:7" hidden="1" x14ac:dyDescent="0.25">
      <c r="A2571" t="s">
        <v>2004</v>
      </c>
      <c r="B2571" t="s">
        <v>8</v>
      </c>
      <c r="F2571" t="s">
        <v>8306</v>
      </c>
      <c r="G2571" t="s">
        <v>1106</v>
      </c>
    </row>
    <row r="2572" spans="1:7" hidden="1" x14ac:dyDescent="0.25">
      <c r="A2572" t="s">
        <v>2004</v>
      </c>
      <c r="B2572" t="s">
        <v>8</v>
      </c>
      <c r="F2572" t="s">
        <v>8309</v>
      </c>
      <c r="G2572" t="s">
        <v>1106</v>
      </c>
    </row>
    <row r="2573" spans="1:7" hidden="1" x14ac:dyDescent="0.25">
      <c r="A2573" t="s">
        <v>2004</v>
      </c>
      <c r="B2573" t="s">
        <v>8</v>
      </c>
      <c r="F2573" t="s">
        <v>8312</v>
      </c>
      <c r="G2573" t="s">
        <v>1106</v>
      </c>
    </row>
    <row r="2574" spans="1:7" hidden="1" x14ac:dyDescent="0.25">
      <c r="A2574" t="s">
        <v>2004</v>
      </c>
      <c r="B2574" t="s">
        <v>8</v>
      </c>
      <c r="F2574" t="s">
        <v>8336</v>
      </c>
      <c r="G2574" t="s">
        <v>1107</v>
      </c>
    </row>
    <row r="2575" spans="1:7" hidden="1" x14ac:dyDescent="0.25">
      <c r="A2575" t="s">
        <v>2004</v>
      </c>
      <c r="B2575" t="s">
        <v>8</v>
      </c>
      <c r="F2575" t="s">
        <v>8339</v>
      </c>
      <c r="G2575" t="s">
        <v>1107</v>
      </c>
    </row>
    <row r="2576" spans="1:7" hidden="1" x14ac:dyDescent="0.25">
      <c r="A2576" t="s">
        <v>2004</v>
      </c>
      <c r="B2576" t="s">
        <v>8</v>
      </c>
      <c r="F2576" t="s">
        <v>8342</v>
      </c>
      <c r="G2576" t="s">
        <v>1107</v>
      </c>
    </row>
    <row r="2577" spans="1:7" hidden="1" x14ac:dyDescent="0.25">
      <c r="A2577" t="s">
        <v>2004</v>
      </c>
      <c r="B2577" t="s">
        <v>8</v>
      </c>
      <c r="F2577" t="s">
        <v>8346</v>
      </c>
      <c r="G2577" t="s">
        <v>1107</v>
      </c>
    </row>
    <row r="2578" spans="1:7" hidden="1" x14ac:dyDescent="0.25">
      <c r="A2578" t="s">
        <v>2004</v>
      </c>
      <c r="B2578" t="s">
        <v>8</v>
      </c>
      <c r="F2578" t="s">
        <v>8348</v>
      </c>
      <c r="G2578" t="s">
        <v>1107</v>
      </c>
    </row>
    <row r="2579" spans="1:7" hidden="1" x14ac:dyDescent="0.25">
      <c r="A2579" t="s">
        <v>7166</v>
      </c>
      <c r="F2579" t="s">
        <v>8144</v>
      </c>
      <c r="G2579" t="s">
        <v>796</v>
      </c>
    </row>
    <row r="2580" spans="1:7" hidden="1" x14ac:dyDescent="0.25">
      <c r="A2580" t="s">
        <v>1091</v>
      </c>
      <c r="B2580" t="s">
        <v>53</v>
      </c>
      <c r="D2580">
        <v>5</v>
      </c>
      <c r="F2580" t="s">
        <v>8147</v>
      </c>
      <c r="G2580" t="s">
        <v>796</v>
      </c>
    </row>
    <row r="2581" spans="1:7" hidden="1" x14ac:dyDescent="0.25">
      <c r="A2581" t="s">
        <v>4</v>
      </c>
      <c r="B2581" t="s">
        <v>531</v>
      </c>
      <c r="F2581" t="s">
        <v>8150</v>
      </c>
      <c r="G2581" t="s">
        <v>796</v>
      </c>
    </row>
    <row r="2582" spans="1:7" hidden="1" x14ac:dyDescent="0.25">
      <c r="A2582" t="s">
        <v>2004</v>
      </c>
      <c r="B2582" t="s">
        <v>9</v>
      </c>
      <c r="F2582" t="s">
        <v>8153</v>
      </c>
      <c r="G2582" t="s">
        <v>796</v>
      </c>
    </row>
    <row r="2583" spans="1:7" hidden="1" x14ac:dyDescent="0.25">
      <c r="A2583" t="s">
        <v>2004</v>
      </c>
      <c r="B2583" t="s">
        <v>9</v>
      </c>
      <c r="F2583" t="s">
        <v>8332</v>
      </c>
      <c r="G2583" t="s">
        <v>796</v>
      </c>
    </row>
    <row r="2584" spans="1:7" hidden="1" x14ac:dyDescent="0.25">
      <c r="A2584" t="s">
        <v>2004</v>
      </c>
      <c r="B2584" t="s">
        <v>9</v>
      </c>
      <c r="F2584" t="s">
        <v>8156</v>
      </c>
      <c r="G2584" t="s">
        <v>796</v>
      </c>
    </row>
    <row r="2585" spans="1:7" hidden="1" x14ac:dyDescent="0.25">
      <c r="A2585" t="s">
        <v>4</v>
      </c>
      <c r="B2585" t="s">
        <v>8335</v>
      </c>
      <c r="F2585" t="s">
        <v>8120</v>
      </c>
      <c r="G2585" t="s">
        <v>1100</v>
      </c>
    </row>
    <row r="2586" spans="1:7" hidden="1" x14ac:dyDescent="0.25">
      <c r="A2586" t="s">
        <v>1091</v>
      </c>
      <c r="B2586" t="s">
        <v>8335</v>
      </c>
      <c r="C2586" t="s">
        <v>53</v>
      </c>
      <c r="D2586">
        <v>2</v>
      </c>
      <c r="E2586" t="s">
        <v>8362</v>
      </c>
      <c r="F2586" t="s">
        <v>8123</v>
      </c>
      <c r="G2586" t="s">
        <v>1100</v>
      </c>
    </row>
    <row r="2587" spans="1:7" hidden="1" x14ac:dyDescent="0.25">
      <c r="A2587" t="s">
        <v>1091</v>
      </c>
      <c r="B2587" t="s">
        <v>8335</v>
      </c>
      <c r="C2587" t="s">
        <v>53</v>
      </c>
      <c r="D2587">
        <v>1</v>
      </c>
      <c r="F2587" t="s">
        <v>8126</v>
      </c>
      <c r="G2587" t="s">
        <v>1100</v>
      </c>
    </row>
    <row r="2588" spans="1:7" hidden="1" x14ac:dyDescent="0.25">
      <c r="A2588" t="s">
        <v>1091</v>
      </c>
      <c r="B2588" t="s">
        <v>8335</v>
      </c>
      <c r="C2588" t="s">
        <v>53</v>
      </c>
      <c r="D2588">
        <v>2</v>
      </c>
      <c r="F2588" t="s">
        <v>8129</v>
      </c>
      <c r="G2588" t="s">
        <v>1100</v>
      </c>
    </row>
    <row r="2589" spans="1:7" hidden="1" x14ac:dyDescent="0.25">
      <c r="A2589" t="s">
        <v>4</v>
      </c>
      <c r="B2589" t="s">
        <v>1607</v>
      </c>
      <c r="F2589" t="s">
        <v>8132</v>
      </c>
      <c r="G2589" t="s">
        <v>1100</v>
      </c>
    </row>
    <row r="2590" spans="1:7" hidden="1" x14ac:dyDescent="0.25">
      <c r="A2590" t="s">
        <v>2004</v>
      </c>
      <c r="B2590" t="s">
        <v>86</v>
      </c>
      <c r="E2590" t="s">
        <v>5479</v>
      </c>
      <c r="F2590" t="s">
        <v>8135</v>
      </c>
      <c r="G2590" t="s">
        <v>1100</v>
      </c>
    </row>
    <row r="2591" spans="1:7" hidden="1" x14ac:dyDescent="0.25">
      <c r="A2591" t="s">
        <v>2004</v>
      </c>
      <c r="B2591" t="s">
        <v>86</v>
      </c>
      <c r="E2591" t="s">
        <v>5479</v>
      </c>
      <c r="F2591" t="s">
        <v>8138</v>
      </c>
      <c r="G2591" t="s">
        <v>1100</v>
      </c>
    </row>
    <row r="2592" spans="1:7" hidden="1" x14ac:dyDescent="0.25">
      <c r="A2592" t="s">
        <v>2004</v>
      </c>
      <c r="B2592" t="s">
        <v>86</v>
      </c>
      <c r="E2592" t="s">
        <v>5479</v>
      </c>
      <c r="F2592" t="s">
        <v>8141</v>
      </c>
      <c r="G2592" t="s">
        <v>1100</v>
      </c>
    </row>
    <row r="2593" spans="1:7" hidden="1" x14ac:dyDescent="0.25">
      <c r="A2593" t="s">
        <v>1606</v>
      </c>
      <c r="B2593" t="s">
        <v>70</v>
      </c>
      <c r="F2593" t="s">
        <v>8198</v>
      </c>
      <c r="G2593" s="1" t="s">
        <v>1603</v>
      </c>
    </row>
    <row r="2594" spans="1:7" hidden="1" x14ac:dyDescent="0.25">
      <c r="A2594" t="s">
        <v>290</v>
      </c>
      <c r="B2594" t="s">
        <v>70</v>
      </c>
      <c r="C2594" t="s">
        <v>5093</v>
      </c>
      <c r="E2594" t="s">
        <v>2949</v>
      </c>
      <c r="F2594" t="s">
        <v>8201</v>
      </c>
      <c r="G2594" s="1" t="s">
        <v>1603</v>
      </c>
    </row>
    <row r="2595" spans="1:7" hidden="1" x14ac:dyDescent="0.25">
      <c r="A2595" t="s">
        <v>290</v>
      </c>
      <c r="B2595" t="s">
        <v>70</v>
      </c>
      <c r="C2595" t="s">
        <v>5093</v>
      </c>
      <c r="E2595" t="s">
        <v>2949</v>
      </c>
      <c r="F2595" t="s">
        <v>8204</v>
      </c>
      <c r="G2595" s="1" t="s">
        <v>1603</v>
      </c>
    </row>
    <row r="2596" spans="1:7" hidden="1" x14ac:dyDescent="0.25">
      <c r="A2596" t="s">
        <v>290</v>
      </c>
      <c r="B2596" t="s">
        <v>70</v>
      </c>
      <c r="C2596" t="s">
        <v>5093</v>
      </c>
      <c r="E2596" t="s">
        <v>2949</v>
      </c>
      <c r="F2596" t="s">
        <v>8207</v>
      </c>
      <c r="G2596" s="1" t="s">
        <v>1603</v>
      </c>
    </row>
    <row r="2597" spans="1:7" hidden="1" x14ac:dyDescent="0.25">
      <c r="A2597" t="s">
        <v>650</v>
      </c>
      <c r="B2597" t="s">
        <v>70</v>
      </c>
      <c r="F2597" t="s">
        <v>8210</v>
      </c>
      <c r="G2597" s="1" t="s">
        <v>1603</v>
      </c>
    </row>
    <row r="2598" spans="1:7" hidden="1" x14ac:dyDescent="0.25">
      <c r="A2598" t="s">
        <v>533</v>
      </c>
      <c r="B2598" t="s">
        <v>531</v>
      </c>
      <c r="C2598" t="s">
        <v>8350</v>
      </c>
      <c r="F2598" t="s">
        <v>8213</v>
      </c>
      <c r="G2598" s="1" t="s">
        <v>1603</v>
      </c>
    </row>
    <row r="2599" spans="1:7" hidden="1" x14ac:dyDescent="0.25">
      <c r="A2599" t="s">
        <v>4</v>
      </c>
      <c r="B2599" t="s">
        <v>531</v>
      </c>
      <c r="F2599" t="s">
        <v>8216</v>
      </c>
      <c r="G2599" s="1" t="s">
        <v>1603</v>
      </c>
    </row>
    <row r="2600" spans="1:7" hidden="1" x14ac:dyDescent="0.25">
      <c r="A2600" t="s">
        <v>4</v>
      </c>
      <c r="B2600" t="s">
        <v>8351</v>
      </c>
      <c r="F2600" t="s">
        <v>8219</v>
      </c>
      <c r="G2600" s="1" t="s">
        <v>1603</v>
      </c>
    </row>
    <row r="2601" spans="1:7" hidden="1" x14ac:dyDescent="0.25">
      <c r="A2601" t="s">
        <v>4</v>
      </c>
      <c r="B2601" t="s">
        <v>8351</v>
      </c>
      <c r="F2601" t="s">
        <v>8222</v>
      </c>
      <c r="G2601" s="1" t="s">
        <v>1603</v>
      </c>
    </row>
    <row r="2602" spans="1:7" hidden="1" x14ac:dyDescent="0.25">
      <c r="A2602" t="s">
        <v>4</v>
      </c>
      <c r="B2602" t="s">
        <v>8353</v>
      </c>
      <c r="F2602" t="s">
        <v>8225</v>
      </c>
      <c r="G2602" s="1" t="s">
        <v>1603</v>
      </c>
    </row>
    <row r="2603" spans="1:7" hidden="1" x14ac:dyDescent="0.25">
      <c r="A2603" t="s">
        <v>289</v>
      </c>
      <c r="B2603" t="s">
        <v>8352</v>
      </c>
      <c r="C2603" t="s">
        <v>1621</v>
      </c>
      <c r="F2603" t="s">
        <v>8228</v>
      </c>
      <c r="G2603" s="1" t="s">
        <v>1603</v>
      </c>
    </row>
    <row r="2604" spans="1:7" hidden="1" x14ac:dyDescent="0.25">
      <c r="A2604" t="s">
        <v>4</v>
      </c>
      <c r="B2604" t="s">
        <v>8</v>
      </c>
      <c r="F2604" t="s">
        <v>8231</v>
      </c>
      <c r="G2604" s="1" t="s">
        <v>1603</v>
      </c>
    </row>
    <row r="2605" spans="1:7" hidden="1" x14ac:dyDescent="0.25">
      <c r="A2605" t="s">
        <v>4</v>
      </c>
      <c r="B2605" t="s">
        <v>8</v>
      </c>
      <c r="F2605" t="s">
        <v>8234</v>
      </c>
      <c r="G2605" s="1" t="s">
        <v>1603</v>
      </c>
    </row>
    <row r="2606" spans="1:7" hidden="1" x14ac:dyDescent="0.25">
      <c r="A2606" t="s">
        <v>4</v>
      </c>
      <c r="B2606" t="s">
        <v>8</v>
      </c>
      <c r="F2606" t="s">
        <v>8237</v>
      </c>
      <c r="G2606" s="1" t="s">
        <v>1603</v>
      </c>
    </row>
    <row r="2607" spans="1:7" hidden="1" x14ac:dyDescent="0.25">
      <c r="A2607" t="s">
        <v>1606</v>
      </c>
      <c r="B2607" t="s">
        <v>70</v>
      </c>
      <c r="F2607" t="s">
        <v>8240</v>
      </c>
      <c r="G2607" s="1" t="s">
        <v>1603</v>
      </c>
    </row>
    <row r="2608" spans="1:7" hidden="1" x14ac:dyDescent="0.25">
      <c r="A2608" t="s">
        <v>290</v>
      </c>
      <c r="B2608" t="s">
        <v>70</v>
      </c>
      <c r="C2608" t="s">
        <v>5093</v>
      </c>
      <c r="F2608" t="s">
        <v>8243</v>
      </c>
      <c r="G2608" s="1" t="s">
        <v>1603</v>
      </c>
    </row>
    <row r="2609" spans="1:7" hidden="1" x14ac:dyDescent="0.25">
      <c r="A2609" t="s">
        <v>290</v>
      </c>
      <c r="B2609" t="s">
        <v>70</v>
      </c>
      <c r="C2609" t="s">
        <v>5093</v>
      </c>
      <c r="F2609" t="s">
        <v>8246</v>
      </c>
      <c r="G2609" s="1" t="s">
        <v>1603</v>
      </c>
    </row>
    <row r="2610" spans="1:7" hidden="1" x14ac:dyDescent="0.25">
      <c r="A2610" t="s">
        <v>290</v>
      </c>
      <c r="B2610" t="s">
        <v>70</v>
      </c>
      <c r="C2610" t="s">
        <v>5093</v>
      </c>
      <c r="F2610" t="s">
        <v>8249</v>
      </c>
      <c r="G2610" s="1" t="s">
        <v>1603</v>
      </c>
    </row>
    <row r="2611" spans="1:7" hidden="1" x14ac:dyDescent="0.25">
      <c r="A2611" t="s">
        <v>650</v>
      </c>
      <c r="B2611" t="s">
        <v>70</v>
      </c>
      <c r="F2611" t="s">
        <v>8252</v>
      </c>
      <c r="G2611" s="1" t="s">
        <v>1603</v>
      </c>
    </row>
    <row r="2612" spans="1:7" hidden="1" x14ac:dyDescent="0.25">
      <c r="A2612" t="s">
        <v>1606</v>
      </c>
      <c r="B2612" t="s">
        <v>8354</v>
      </c>
      <c r="E2612" t="s">
        <v>8355</v>
      </c>
      <c r="F2612" t="s">
        <v>8255</v>
      </c>
      <c r="G2612" s="1" t="s">
        <v>1603</v>
      </c>
    </row>
    <row r="2613" spans="1:7" hidden="1" x14ac:dyDescent="0.25">
      <c r="A2613" t="s">
        <v>6171</v>
      </c>
      <c r="B2613" t="s">
        <v>8354</v>
      </c>
      <c r="E2613" t="s">
        <v>8356</v>
      </c>
      <c r="F2613" t="s">
        <v>8258</v>
      </c>
      <c r="G2613" s="1" t="s">
        <v>1603</v>
      </c>
    </row>
    <row r="2614" spans="1:7" hidden="1" x14ac:dyDescent="0.25">
      <c r="A2614" t="s">
        <v>650</v>
      </c>
      <c r="B2614" t="s">
        <v>8354</v>
      </c>
      <c r="F2614" t="s">
        <v>8261</v>
      </c>
      <c r="G2614" s="1" t="s">
        <v>1603</v>
      </c>
    </row>
    <row r="2615" spans="1:7" hidden="1" x14ac:dyDescent="0.25">
      <c r="A2615" t="s">
        <v>8357</v>
      </c>
      <c r="B2615" t="s">
        <v>5093</v>
      </c>
      <c r="E2615" t="s">
        <v>8358</v>
      </c>
      <c r="F2615" t="s">
        <v>8264</v>
      </c>
      <c r="G2615" s="1" t="s">
        <v>1603</v>
      </c>
    </row>
    <row r="2616" spans="1:7" hidden="1" x14ac:dyDescent="0.25">
      <c r="A2616" t="s">
        <v>2004</v>
      </c>
      <c r="B2616" t="s">
        <v>8</v>
      </c>
      <c r="F2616" t="s">
        <v>8267</v>
      </c>
      <c r="G2616" s="1" t="s">
        <v>1603</v>
      </c>
    </row>
    <row r="2617" spans="1:7" hidden="1" x14ac:dyDescent="0.25">
      <c r="A2617" t="s">
        <v>2004</v>
      </c>
      <c r="B2617" t="s">
        <v>8</v>
      </c>
      <c r="F2617" t="s">
        <v>8270</v>
      </c>
      <c r="G2617" s="1" t="s">
        <v>1603</v>
      </c>
    </row>
    <row r="2618" spans="1:7" hidden="1" x14ac:dyDescent="0.25">
      <c r="A2618" t="s">
        <v>290</v>
      </c>
      <c r="B2618" t="s">
        <v>70</v>
      </c>
      <c r="C2618" t="s">
        <v>58</v>
      </c>
      <c r="E2618" t="s">
        <v>8359</v>
      </c>
      <c r="F2618" t="s">
        <v>8159</v>
      </c>
      <c r="G2618" t="s">
        <v>1817</v>
      </c>
    </row>
    <row r="2619" spans="1:7" hidden="1" x14ac:dyDescent="0.25">
      <c r="A2619" t="s">
        <v>290</v>
      </c>
      <c r="B2619" t="s">
        <v>70</v>
      </c>
      <c r="C2619" t="s">
        <v>58</v>
      </c>
      <c r="E2619" t="s">
        <v>2936</v>
      </c>
      <c r="F2619" t="s">
        <v>8162</v>
      </c>
      <c r="G2619" t="s">
        <v>1817</v>
      </c>
    </row>
    <row r="2620" spans="1:7" hidden="1" x14ac:dyDescent="0.25">
      <c r="A2620" t="s">
        <v>290</v>
      </c>
      <c r="B2620" t="s">
        <v>70</v>
      </c>
      <c r="C2620" t="s">
        <v>58</v>
      </c>
      <c r="E2620" t="s">
        <v>2936</v>
      </c>
      <c r="F2620" t="s">
        <v>8165</v>
      </c>
      <c r="G2620" t="s">
        <v>1817</v>
      </c>
    </row>
    <row r="2621" spans="1:7" hidden="1" x14ac:dyDescent="0.25">
      <c r="A2621" t="s">
        <v>290</v>
      </c>
      <c r="B2621" t="s">
        <v>70</v>
      </c>
      <c r="C2621" t="s">
        <v>58</v>
      </c>
      <c r="E2621" t="s">
        <v>2936</v>
      </c>
      <c r="F2621" t="s">
        <v>8168</v>
      </c>
      <c r="G2621" t="s">
        <v>1817</v>
      </c>
    </row>
    <row r="2622" spans="1:7" hidden="1" x14ac:dyDescent="0.25">
      <c r="A2622" t="s">
        <v>290</v>
      </c>
      <c r="B2622" t="s">
        <v>70</v>
      </c>
      <c r="C2622" t="s">
        <v>58</v>
      </c>
      <c r="E2622" t="s">
        <v>2936</v>
      </c>
      <c r="F2622" t="s">
        <v>8171</v>
      </c>
      <c r="G2622" t="s">
        <v>1817</v>
      </c>
    </row>
    <row r="2623" spans="1:7" hidden="1" x14ac:dyDescent="0.25">
      <c r="A2623" t="s">
        <v>290</v>
      </c>
      <c r="B2623" t="s">
        <v>70</v>
      </c>
      <c r="C2623" t="s">
        <v>58</v>
      </c>
      <c r="E2623" t="s">
        <v>2936</v>
      </c>
      <c r="F2623" t="s">
        <v>8174</v>
      </c>
      <c r="G2623" t="s">
        <v>1817</v>
      </c>
    </row>
    <row r="2624" spans="1:7" hidden="1" x14ac:dyDescent="0.25">
      <c r="A2624" t="s">
        <v>650</v>
      </c>
      <c r="B2624" t="s">
        <v>70</v>
      </c>
      <c r="C2624" t="s">
        <v>51</v>
      </c>
      <c r="F2624" t="s">
        <v>8177</v>
      </c>
      <c r="G2624" t="s">
        <v>1817</v>
      </c>
    </row>
    <row r="2625" spans="1:7" hidden="1" x14ac:dyDescent="0.25">
      <c r="A2625" t="s">
        <v>650</v>
      </c>
      <c r="B2625" t="s">
        <v>8360</v>
      </c>
      <c r="C2625" t="s">
        <v>1621</v>
      </c>
      <c r="F2625" t="s">
        <v>8180</v>
      </c>
      <c r="G2625" t="s">
        <v>1817</v>
      </c>
    </row>
    <row r="2626" spans="1:7" hidden="1" x14ac:dyDescent="0.25">
      <c r="A2626" t="s">
        <v>4</v>
      </c>
      <c r="B2626" t="s">
        <v>8045</v>
      </c>
      <c r="F2626" t="s">
        <v>8183</v>
      </c>
      <c r="G2626" t="s">
        <v>1817</v>
      </c>
    </row>
    <row r="2627" spans="1:7" hidden="1" x14ac:dyDescent="0.25">
      <c r="A2627" t="s">
        <v>4</v>
      </c>
      <c r="B2627" t="s">
        <v>8045</v>
      </c>
      <c r="F2627" t="s">
        <v>8186</v>
      </c>
      <c r="G2627" t="s">
        <v>1817</v>
      </c>
    </row>
    <row r="2628" spans="1:7" hidden="1" x14ac:dyDescent="0.25">
      <c r="A2628" t="s">
        <v>2004</v>
      </c>
      <c r="B2628" t="s">
        <v>8</v>
      </c>
      <c r="F2628" t="s">
        <v>8189</v>
      </c>
      <c r="G2628" t="s">
        <v>1817</v>
      </c>
    </row>
    <row r="2629" spans="1:7" hidden="1" x14ac:dyDescent="0.25">
      <c r="A2629" t="s">
        <v>4</v>
      </c>
      <c r="B2629" t="s">
        <v>8045</v>
      </c>
      <c r="F2629" t="s">
        <v>8192</v>
      </c>
      <c r="G2629" t="s">
        <v>1817</v>
      </c>
    </row>
    <row r="2630" spans="1:7" hidden="1" x14ac:dyDescent="0.25">
      <c r="A2630" t="s">
        <v>4</v>
      </c>
      <c r="B2630" t="s">
        <v>8045</v>
      </c>
      <c r="F2630" t="s">
        <v>8195</v>
      </c>
      <c r="G2630" t="s">
        <v>1817</v>
      </c>
    </row>
    <row r="2631" spans="1:7" hidden="1" x14ac:dyDescent="0.25">
      <c r="A2631" t="s">
        <v>2004</v>
      </c>
      <c r="B2631" t="s">
        <v>8</v>
      </c>
      <c r="F2631" t="s">
        <v>8315</v>
      </c>
      <c r="G2631" t="s">
        <v>1934</v>
      </c>
    </row>
    <row r="2632" spans="1:7" hidden="1" x14ac:dyDescent="0.25">
      <c r="A2632" t="s">
        <v>2004</v>
      </c>
      <c r="B2632" t="s">
        <v>8</v>
      </c>
      <c r="F2632" t="s">
        <v>8318</v>
      </c>
      <c r="G2632" t="s">
        <v>1934</v>
      </c>
    </row>
    <row r="2633" spans="1:7" hidden="1" x14ac:dyDescent="0.25">
      <c r="A2633" t="s">
        <v>2004</v>
      </c>
      <c r="B2633" t="s">
        <v>8</v>
      </c>
      <c r="F2633" t="s">
        <v>8321</v>
      </c>
      <c r="G2633" t="s">
        <v>1934</v>
      </c>
    </row>
    <row r="2634" spans="1:7" hidden="1" x14ac:dyDescent="0.25">
      <c r="A2634" t="s">
        <v>2004</v>
      </c>
      <c r="B2634" t="s">
        <v>8</v>
      </c>
      <c r="F2634" t="s">
        <v>8324</v>
      </c>
      <c r="G2634" t="s">
        <v>1934</v>
      </c>
    </row>
    <row r="2635" spans="1:7" hidden="1" x14ac:dyDescent="0.25">
      <c r="A2635" t="s">
        <v>2004</v>
      </c>
      <c r="B2635" t="s">
        <v>8</v>
      </c>
      <c r="F2635" t="s">
        <v>8327</v>
      </c>
      <c r="G2635" t="s">
        <v>1934</v>
      </c>
    </row>
    <row r="2636" spans="1:7" x14ac:dyDescent="0.25">
      <c r="A2636" t="s">
        <v>533</v>
      </c>
      <c r="B2636" t="s">
        <v>531</v>
      </c>
      <c r="C2636" t="s">
        <v>8361</v>
      </c>
      <c r="F2636" t="s">
        <v>8273</v>
      </c>
      <c r="G2636" t="s">
        <v>1997</v>
      </c>
    </row>
    <row r="2637" spans="1:7" x14ac:dyDescent="0.25">
      <c r="A2637" t="s">
        <v>2004</v>
      </c>
      <c r="B2637" t="s">
        <v>8</v>
      </c>
      <c r="F2637" t="s">
        <v>8276</v>
      </c>
      <c r="G2637" t="s">
        <v>1997</v>
      </c>
    </row>
    <row r="2638" spans="1:7" x14ac:dyDescent="0.25">
      <c r="A2638" t="s">
        <v>2004</v>
      </c>
      <c r="B2638" t="s">
        <v>8</v>
      </c>
      <c r="F2638" t="s">
        <v>8279</v>
      </c>
      <c r="G2638" t="s">
        <v>1997</v>
      </c>
    </row>
    <row r="2639" spans="1:7" x14ac:dyDescent="0.25">
      <c r="A2639" t="s">
        <v>2004</v>
      </c>
      <c r="B2639" t="s">
        <v>8</v>
      </c>
      <c r="F2639" t="s">
        <v>8282</v>
      </c>
      <c r="G2639" t="s">
        <v>1997</v>
      </c>
    </row>
    <row r="2640" spans="1:7" hidden="1" x14ac:dyDescent="0.25">
      <c r="A2640" t="s">
        <v>2004</v>
      </c>
      <c r="F2640" t="s">
        <v>8372</v>
      </c>
      <c r="G2640" t="s">
        <v>1102</v>
      </c>
    </row>
    <row r="2641" spans="1:7" hidden="1" x14ac:dyDescent="0.25">
      <c r="A2641" t="s">
        <v>91</v>
      </c>
      <c r="B2641" t="s">
        <v>8483</v>
      </c>
      <c r="F2641" t="s">
        <v>8375</v>
      </c>
      <c r="G2641" t="s">
        <v>1102</v>
      </c>
    </row>
    <row r="2642" spans="1:7" hidden="1" x14ac:dyDescent="0.25">
      <c r="A2642" t="s">
        <v>62</v>
      </c>
      <c r="B2642" t="s">
        <v>8483</v>
      </c>
      <c r="F2642" t="s">
        <v>8378</v>
      </c>
      <c r="G2642" t="s">
        <v>1102</v>
      </c>
    </row>
    <row r="2643" spans="1:7" hidden="1" x14ac:dyDescent="0.25">
      <c r="A2643" t="s">
        <v>2004</v>
      </c>
      <c r="F2643" t="s">
        <v>8381</v>
      </c>
      <c r="G2643" t="s">
        <v>1102</v>
      </c>
    </row>
    <row r="2644" spans="1:7" hidden="1" x14ac:dyDescent="0.25">
      <c r="A2644" t="s">
        <v>2004</v>
      </c>
      <c r="B2644" t="s">
        <v>8</v>
      </c>
      <c r="F2644" t="s">
        <v>8363</v>
      </c>
      <c r="G2644" t="s">
        <v>1103</v>
      </c>
    </row>
    <row r="2645" spans="1:7" hidden="1" x14ac:dyDescent="0.25">
      <c r="A2645" t="s">
        <v>2004</v>
      </c>
      <c r="B2645" t="s">
        <v>8</v>
      </c>
      <c r="F2645" t="s">
        <v>8366</v>
      </c>
      <c r="G2645" t="s">
        <v>1103</v>
      </c>
    </row>
    <row r="2646" spans="1:7" hidden="1" x14ac:dyDescent="0.25">
      <c r="A2646" t="s">
        <v>2004</v>
      </c>
      <c r="B2646" t="s">
        <v>8</v>
      </c>
      <c r="F2646" t="s">
        <v>8369</v>
      </c>
      <c r="G2646" t="s">
        <v>1103</v>
      </c>
    </row>
    <row r="2647" spans="1:7" hidden="1" x14ac:dyDescent="0.25">
      <c r="A2647" t="s">
        <v>2004</v>
      </c>
      <c r="B2647" t="s">
        <v>8</v>
      </c>
      <c r="F2647" t="s">
        <v>8384</v>
      </c>
      <c r="G2647" t="s">
        <v>91</v>
      </c>
    </row>
    <row r="2648" spans="1:7" hidden="1" x14ac:dyDescent="0.25">
      <c r="A2648" t="s">
        <v>2004</v>
      </c>
      <c r="B2648" t="s">
        <v>8</v>
      </c>
      <c r="F2648" t="s">
        <v>8387</v>
      </c>
      <c r="G2648" t="s">
        <v>91</v>
      </c>
    </row>
    <row r="2649" spans="1:7" hidden="1" x14ac:dyDescent="0.25">
      <c r="A2649" t="s">
        <v>2004</v>
      </c>
      <c r="B2649" t="s">
        <v>8</v>
      </c>
      <c r="F2649" t="s">
        <v>8390</v>
      </c>
      <c r="G2649" t="s">
        <v>91</v>
      </c>
    </row>
    <row r="2650" spans="1:7" hidden="1" x14ac:dyDescent="0.25">
      <c r="A2650" t="s">
        <v>2004</v>
      </c>
      <c r="B2650" t="s">
        <v>8</v>
      </c>
      <c r="F2650" t="s">
        <v>8402</v>
      </c>
      <c r="G2650" t="s">
        <v>1104</v>
      </c>
    </row>
    <row r="2651" spans="1:7" hidden="1" x14ac:dyDescent="0.25">
      <c r="A2651" t="s">
        <v>2004</v>
      </c>
      <c r="B2651" t="s">
        <v>8</v>
      </c>
      <c r="F2651" t="s">
        <v>8405</v>
      </c>
      <c r="G2651" t="s">
        <v>1104</v>
      </c>
    </row>
    <row r="2652" spans="1:7" hidden="1" x14ac:dyDescent="0.25">
      <c r="A2652" t="s">
        <v>2004</v>
      </c>
      <c r="B2652" t="s">
        <v>8</v>
      </c>
      <c r="F2652" t="s">
        <v>8408</v>
      </c>
      <c r="G2652" t="s">
        <v>1104</v>
      </c>
    </row>
    <row r="2653" spans="1:7" hidden="1" x14ac:dyDescent="0.25">
      <c r="A2653" t="s">
        <v>2004</v>
      </c>
      <c r="B2653" t="s">
        <v>8</v>
      </c>
      <c r="F2653" t="s">
        <v>8429</v>
      </c>
      <c r="G2653" t="s">
        <v>1105</v>
      </c>
    </row>
    <row r="2654" spans="1:7" hidden="1" x14ac:dyDescent="0.25">
      <c r="A2654" t="s">
        <v>4</v>
      </c>
      <c r="B2654" t="s">
        <v>8483</v>
      </c>
      <c r="E2654" t="s">
        <v>8042</v>
      </c>
      <c r="F2654" t="s">
        <v>8432</v>
      </c>
      <c r="G2654" t="s">
        <v>1105</v>
      </c>
    </row>
    <row r="2655" spans="1:7" hidden="1" x14ac:dyDescent="0.25">
      <c r="A2655" t="s">
        <v>2004</v>
      </c>
      <c r="B2655" t="s">
        <v>8</v>
      </c>
      <c r="F2655" t="s">
        <v>8435</v>
      </c>
      <c r="G2655" t="s">
        <v>1105</v>
      </c>
    </row>
    <row r="2656" spans="1:7" hidden="1" x14ac:dyDescent="0.25">
      <c r="A2656" t="s">
        <v>2004</v>
      </c>
      <c r="B2656" t="s">
        <v>8</v>
      </c>
      <c r="F2656" t="s">
        <v>8393</v>
      </c>
      <c r="G2656" t="s">
        <v>1106</v>
      </c>
    </row>
    <row r="2657" spans="1:7" hidden="1" x14ac:dyDescent="0.25">
      <c r="A2657" t="s">
        <v>2004</v>
      </c>
      <c r="B2657" t="s">
        <v>8</v>
      </c>
      <c r="F2657" t="s">
        <v>8396</v>
      </c>
      <c r="G2657" t="s">
        <v>1106</v>
      </c>
    </row>
    <row r="2658" spans="1:7" hidden="1" x14ac:dyDescent="0.25">
      <c r="A2658" t="s">
        <v>2004</v>
      </c>
      <c r="B2658" t="s">
        <v>8</v>
      </c>
      <c r="F2658" t="s">
        <v>8399</v>
      </c>
      <c r="G2658" t="s">
        <v>1106</v>
      </c>
    </row>
    <row r="2659" spans="1:7" hidden="1" x14ac:dyDescent="0.25">
      <c r="A2659" t="s">
        <v>2004</v>
      </c>
      <c r="B2659" t="s">
        <v>8</v>
      </c>
      <c r="F2659" t="s">
        <v>8474</v>
      </c>
      <c r="G2659" t="s">
        <v>1107</v>
      </c>
    </row>
    <row r="2660" spans="1:7" hidden="1" x14ac:dyDescent="0.25">
      <c r="A2660" t="s">
        <v>2004</v>
      </c>
      <c r="B2660" t="s">
        <v>8</v>
      </c>
      <c r="F2660" t="s">
        <v>8477</v>
      </c>
      <c r="G2660" t="s">
        <v>1107</v>
      </c>
    </row>
    <row r="2661" spans="1:7" hidden="1" x14ac:dyDescent="0.25">
      <c r="A2661" t="s">
        <v>2004</v>
      </c>
      <c r="B2661" t="s">
        <v>8</v>
      </c>
      <c r="F2661" t="s">
        <v>8480</v>
      </c>
      <c r="G2661" t="s">
        <v>1107</v>
      </c>
    </row>
    <row r="2662" spans="1:7" hidden="1" x14ac:dyDescent="0.25">
      <c r="A2662" t="s">
        <v>2004</v>
      </c>
      <c r="B2662" t="s">
        <v>9</v>
      </c>
      <c r="F2662" t="s">
        <v>8411</v>
      </c>
      <c r="G2662" t="s">
        <v>796</v>
      </c>
    </row>
    <row r="2663" spans="1:7" hidden="1" x14ac:dyDescent="0.25">
      <c r="A2663" t="s">
        <v>2004</v>
      </c>
      <c r="B2663" t="s">
        <v>9</v>
      </c>
      <c r="F2663" t="s">
        <v>8414</v>
      </c>
      <c r="G2663" t="s">
        <v>796</v>
      </c>
    </row>
    <row r="2664" spans="1:7" hidden="1" x14ac:dyDescent="0.25">
      <c r="A2664" t="s">
        <v>2004</v>
      </c>
      <c r="B2664" t="s">
        <v>9</v>
      </c>
      <c r="F2664" t="s">
        <v>8417</v>
      </c>
      <c r="G2664" t="s">
        <v>796</v>
      </c>
    </row>
    <row r="2665" spans="1:7" hidden="1" x14ac:dyDescent="0.25">
      <c r="A2665" t="s">
        <v>2004</v>
      </c>
      <c r="B2665" t="s">
        <v>86</v>
      </c>
      <c r="E2665" t="s">
        <v>5479</v>
      </c>
      <c r="F2665" t="s">
        <v>8420</v>
      </c>
      <c r="G2665" t="s">
        <v>1100</v>
      </c>
    </row>
    <row r="2666" spans="1:7" hidden="1" x14ac:dyDescent="0.25">
      <c r="A2666" t="s">
        <v>2004</v>
      </c>
      <c r="B2666" t="s">
        <v>86</v>
      </c>
      <c r="E2666" t="s">
        <v>5479</v>
      </c>
      <c r="F2666" t="s">
        <v>8423</v>
      </c>
      <c r="G2666" t="s">
        <v>1100</v>
      </c>
    </row>
    <row r="2667" spans="1:7" hidden="1" x14ac:dyDescent="0.25">
      <c r="A2667" t="s">
        <v>2004</v>
      </c>
      <c r="B2667" t="s">
        <v>86</v>
      </c>
      <c r="E2667" t="s">
        <v>5479</v>
      </c>
      <c r="F2667" t="s">
        <v>8426</v>
      </c>
      <c r="G2667" t="s">
        <v>1100</v>
      </c>
    </row>
    <row r="2668" spans="1:7" hidden="1" x14ac:dyDescent="0.25">
      <c r="A2668" t="s">
        <v>2004</v>
      </c>
      <c r="B2668" t="s">
        <v>8</v>
      </c>
      <c r="F2668" t="s">
        <v>8438</v>
      </c>
      <c r="G2668" s="1" t="s">
        <v>1603</v>
      </c>
    </row>
    <row r="2669" spans="1:7" hidden="1" x14ac:dyDescent="0.25">
      <c r="A2669" t="s">
        <v>2004</v>
      </c>
      <c r="B2669" t="s">
        <v>8</v>
      </c>
      <c r="F2669" t="s">
        <v>8441</v>
      </c>
      <c r="G2669" s="1" t="s">
        <v>1603</v>
      </c>
    </row>
    <row r="2670" spans="1:7" hidden="1" x14ac:dyDescent="0.25">
      <c r="A2670" t="s">
        <v>2004</v>
      </c>
      <c r="B2670" t="s">
        <v>8</v>
      </c>
      <c r="F2670" t="s">
        <v>8444</v>
      </c>
      <c r="G2670" s="1" t="s">
        <v>1603</v>
      </c>
    </row>
    <row r="2671" spans="1:7" hidden="1" x14ac:dyDescent="0.25">
      <c r="A2671" t="s">
        <v>2004</v>
      </c>
      <c r="B2671" t="s">
        <v>8</v>
      </c>
      <c r="F2671" t="s">
        <v>8447</v>
      </c>
      <c r="G2671" t="s">
        <v>1817</v>
      </c>
    </row>
    <row r="2672" spans="1:7" hidden="1" x14ac:dyDescent="0.25">
      <c r="A2672" t="s">
        <v>2004</v>
      </c>
      <c r="B2672" t="s">
        <v>8</v>
      </c>
      <c r="F2672" t="s">
        <v>8450</v>
      </c>
      <c r="G2672" t="s">
        <v>1817</v>
      </c>
    </row>
    <row r="2673" spans="1:7" hidden="1" x14ac:dyDescent="0.25">
      <c r="A2673" t="s">
        <v>2004</v>
      </c>
      <c r="B2673" t="s">
        <v>8</v>
      </c>
      <c r="F2673" t="s">
        <v>8453</v>
      </c>
      <c r="G2673" t="s">
        <v>1817</v>
      </c>
    </row>
    <row r="2674" spans="1:7" hidden="1" x14ac:dyDescent="0.25">
      <c r="A2674" t="s">
        <v>2004</v>
      </c>
      <c r="B2674" t="s">
        <v>8</v>
      </c>
      <c r="F2674" t="s">
        <v>8456</v>
      </c>
      <c r="G2674" t="s">
        <v>1934</v>
      </c>
    </row>
    <row r="2675" spans="1:7" hidden="1" x14ac:dyDescent="0.25">
      <c r="A2675" t="s">
        <v>2004</v>
      </c>
      <c r="B2675" t="s">
        <v>8</v>
      </c>
      <c r="F2675" t="s">
        <v>8459</v>
      </c>
      <c r="G2675" t="s">
        <v>1934</v>
      </c>
    </row>
    <row r="2676" spans="1:7" hidden="1" x14ac:dyDescent="0.25">
      <c r="A2676" t="s">
        <v>2004</v>
      </c>
      <c r="B2676" t="s">
        <v>8</v>
      </c>
      <c r="F2676" t="s">
        <v>8462</v>
      </c>
      <c r="G2676" t="s">
        <v>1934</v>
      </c>
    </row>
    <row r="2677" spans="1:7" x14ac:dyDescent="0.25">
      <c r="A2677" t="s">
        <v>2004</v>
      </c>
      <c r="B2677" t="s">
        <v>8</v>
      </c>
      <c r="F2677" t="s">
        <v>8465</v>
      </c>
      <c r="G2677" t="s">
        <v>1997</v>
      </c>
    </row>
    <row r="2678" spans="1:7" x14ac:dyDescent="0.25">
      <c r="A2678" t="s">
        <v>2004</v>
      </c>
      <c r="B2678" t="s">
        <v>8</v>
      </c>
      <c r="F2678" t="s">
        <v>8468</v>
      </c>
      <c r="G2678" t="s">
        <v>1997</v>
      </c>
    </row>
    <row r="2679" spans="1:7" x14ac:dyDescent="0.25">
      <c r="A2679" t="s">
        <v>2004</v>
      </c>
      <c r="B2679" t="s">
        <v>8</v>
      </c>
      <c r="F2679" t="s">
        <v>8471</v>
      </c>
      <c r="G2679" t="s">
        <v>1997</v>
      </c>
    </row>
    <row r="2680" spans="1:7" hidden="1" x14ac:dyDescent="0.25">
      <c r="A2680" t="s">
        <v>2004</v>
      </c>
      <c r="F2680" t="s">
        <v>8505</v>
      </c>
      <c r="G2680" t="s">
        <v>1102</v>
      </c>
    </row>
    <row r="2681" spans="1:7" hidden="1" x14ac:dyDescent="0.25">
      <c r="A2681" t="s">
        <v>91</v>
      </c>
      <c r="B2681" t="s">
        <v>8799</v>
      </c>
      <c r="F2681" t="s">
        <v>8508</v>
      </c>
      <c r="G2681" t="s">
        <v>1102</v>
      </c>
    </row>
    <row r="2682" spans="1:7" hidden="1" x14ac:dyDescent="0.25">
      <c r="A2682" t="s">
        <v>62</v>
      </c>
      <c r="B2682" t="s">
        <v>8799</v>
      </c>
      <c r="F2682" t="s">
        <v>8511</v>
      </c>
      <c r="G2682" t="s">
        <v>1102</v>
      </c>
    </row>
    <row r="2683" spans="1:7" hidden="1" x14ac:dyDescent="0.25">
      <c r="A2683" t="s">
        <v>2004</v>
      </c>
      <c r="F2683" t="s">
        <v>8514</v>
      </c>
      <c r="G2683" t="s">
        <v>1102</v>
      </c>
    </row>
    <row r="2684" spans="1:7" hidden="1" x14ac:dyDescent="0.25">
      <c r="A2684" t="s">
        <v>91</v>
      </c>
      <c r="B2684" t="s">
        <v>8352</v>
      </c>
      <c r="F2684" t="s">
        <v>8517</v>
      </c>
      <c r="G2684" t="s">
        <v>1102</v>
      </c>
    </row>
    <row r="2685" spans="1:7" hidden="1" x14ac:dyDescent="0.25">
      <c r="A2685" t="s">
        <v>62</v>
      </c>
      <c r="B2685" t="s">
        <v>8352</v>
      </c>
      <c r="F2685" t="s">
        <v>8520</v>
      </c>
      <c r="G2685" t="s">
        <v>1102</v>
      </c>
    </row>
    <row r="2686" spans="1:7" hidden="1" x14ac:dyDescent="0.25">
      <c r="A2686" t="s">
        <v>91</v>
      </c>
      <c r="B2686" t="s">
        <v>8800</v>
      </c>
      <c r="F2686" t="s">
        <v>8523</v>
      </c>
      <c r="G2686" t="s">
        <v>1102</v>
      </c>
    </row>
    <row r="2687" spans="1:7" hidden="1" x14ac:dyDescent="0.25">
      <c r="A2687" t="s">
        <v>62</v>
      </c>
      <c r="B2687" t="s">
        <v>8800</v>
      </c>
      <c r="F2687" t="s">
        <v>8526</v>
      </c>
      <c r="G2687" t="s">
        <v>1102</v>
      </c>
    </row>
    <row r="2688" spans="1:7" hidden="1" x14ac:dyDescent="0.25">
      <c r="A2688" t="s">
        <v>91</v>
      </c>
      <c r="B2688" t="s">
        <v>8801</v>
      </c>
      <c r="F2688" t="s">
        <v>8529</v>
      </c>
      <c r="G2688" t="s">
        <v>1102</v>
      </c>
    </row>
    <row r="2689" spans="1:7" hidden="1" x14ac:dyDescent="0.25">
      <c r="A2689" t="s">
        <v>62</v>
      </c>
      <c r="B2689" t="s">
        <v>8801</v>
      </c>
      <c r="F2689" t="s">
        <v>8532</v>
      </c>
      <c r="G2689" t="s">
        <v>1102</v>
      </c>
    </row>
    <row r="2690" spans="1:7" hidden="1" x14ac:dyDescent="0.25">
      <c r="A2690" t="s">
        <v>91</v>
      </c>
      <c r="B2690" t="s">
        <v>8801</v>
      </c>
      <c r="F2690" t="s">
        <v>8535</v>
      </c>
      <c r="G2690" t="s">
        <v>1102</v>
      </c>
    </row>
    <row r="2691" spans="1:7" hidden="1" x14ac:dyDescent="0.25">
      <c r="A2691" t="s">
        <v>91</v>
      </c>
      <c r="B2691" t="s">
        <v>8802</v>
      </c>
      <c r="F2691" t="s">
        <v>8538</v>
      </c>
      <c r="G2691" t="s">
        <v>1102</v>
      </c>
    </row>
    <row r="2692" spans="1:7" hidden="1" x14ac:dyDescent="0.25">
      <c r="A2692" t="s">
        <v>62</v>
      </c>
      <c r="B2692" t="s">
        <v>8802</v>
      </c>
      <c r="F2692" t="s">
        <v>8541</v>
      </c>
      <c r="G2692" t="s">
        <v>1102</v>
      </c>
    </row>
    <row r="2693" spans="1:7" hidden="1" x14ac:dyDescent="0.25">
      <c r="A2693" t="s">
        <v>62</v>
      </c>
      <c r="B2693" t="s">
        <v>8801</v>
      </c>
      <c r="F2693" t="s">
        <v>8544</v>
      </c>
      <c r="G2693" t="s">
        <v>1102</v>
      </c>
    </row>
    <row r="2694" spans="1:7" hidden="1" x14ac:dyDescent="0.25">
      <c r="A2694" t="s">
        <v>2004</v>
      </c>
      <c r="F2694" t="s">
        <v>8547</v>
      </c>
      <c r="G2694" t="s">
        <v>1102</v>
      </c>
    </row>
    <row r="2695" spans="1:7" hidden="1" x14ac:dyDescent="0.25">
      <c r="A2695" t="s">
        <v>91</v>
      </c>
      <c r="B2695" t="s">
        <v>8800</v>
      </c>
      <c r="F2695" t="s">
        <v>8550</v>
      </c>
      <c r="G2695" t="s">
        <v>1102</v>
      </c>
    </row>
    <row r="2696" spans="1:7" hidden="1" x14ac:dyDescent="0.25">
      <c r="A2696" t="s">
        <v>62</v>
      </c>
      <c r="B2696" t="s">
        <v>8800</v>
      </c>
      <c r="F2696" t="s">
        <v>8553</v>
      </c>
      <c r="G2696" t="s">
        <v>1102</v>
      </c>
    </row>
    <row r="2697" spans="1:7" hidden="1" x14ac:dyDescent="0.25">
      <c r="A2697" t="s">
        <v>2004</v>
      </c>
      <c r="B2697" t="s">
        <v>8</v>
      </c>
      <c r="F2697" t="s">
        <v>8484</v>
      </c>
      <c r="G2697" t="s">
        <v>1103</v>
      </c>
    </row>
    <row r="2698" spans="1:7" hidden="1" x14ac:dyDescent="0.25">
      <c r="A2698" t="s">
        <v>2004</v>
      </c>
      <c r="B2698" t="s">
        <v>8</v>
      </c>
      <c r="F2698" t="s">
        <v>8487</v>
      </c>
      <c r="G2698" t="s">
        <v>1103</v>
      </c>
    </row>
    <row r="2699" spans="1:7" hidden="1" x14ac:dyDescent="0.25">
      <c r="A2699" t="s">
        <v>2004</v>
      </c>
      <c r="B2699" t="s">
        <v>8</v>
      </c>
      <c r="F2699" t="s">
        <v>8490</v>
      </c>
      <c r="G2699" t="s">
        <v>1103</v>
      </c>
    </row>
    <row r="2700" spans="1:7" hidden="1" x14ac:dyDescent="0.25">
      <c r="A2700" t="s">
        <v>2004</v>
      </c>
      <c r="B2700" t="s">
        <v>8</v>
      </c>
      <c r="F2700" t="s">
        <v>8493</v>
      </c>
      <c r="G2700" t="s">
        <v>1103</v>
      </c>
    </row>
    <row r="2701" spans="1:7" hidden="1" x14ac:dyDescent="0.25">
      <c r="A2701" t="s">
        <v>2004</v>
      </c>
      <c r="B2701" t="s">
        <v>8</v>
      </c>
      <c r="F2701" t="s">
        <v>8496</v>
      </c>
      <c r="G2701" t="s">
        <v>1103</v>
      </c>
    </row>
    <row r="2702" spans="1:7" hidden="1" x14ac:dyDescent="0.25">
      <c r="A2702" t="s">
        <v>2004</v>
      </c>
      <c r="B2702" t="s">
        <v>8</v>
      </c>
      <c r="F2702" t="s">
        <v>8499</v>
      </c>
      <c r="G2702" t="s">
        <v>1103</v>
      </c>
    </row>
    <row r="2703" spans="1:7" hidden="1" x14ac:dyDescent="0.25">
      <c r="A2703" t="s">
        <v>2004</v>
      </c>
      <c r="B2703" t="s">
        <v>8</v>
      </c>
      <c r="F2703" t="s">
        <v>8502</v>
      </c>
      <c r="G2703" t="s">
        <v>1103</v>
      </c>
    </row>
    <row r="2704" spans="1:7" hidden="1" x14ac:dyDescent="0.25">
      <c r="A2704" t="s">
        <v>2004</v>
      </c>
      <c r="B2704" t="s">
        <v>8</v>
      </c>
      <c r="F2704" t="s">
        <v>8619</v>
      </c>
      <c r="G2704" t="s">
        <v>91</v>
      </c>
    </row>
    <row r="2705" spans="1:7" hidden="1" x14ac:dyDescent="0.25">
      <c r="A2705" t="s">
        <v>4</v>
      </c>
      <c r="B2705" t="s">
        <v>8803</v>
      </c>
      <c r="F2705" t="s">
        <v>8622</v>
      </c>
      <c r="G2705" t="s">
        <v>91</v>
      </c>
    </row>
    <row r="2706" spans="1:7" hidden="1" x14ac:dyDescent="0.25">
      <c r="A2706" t="s">
        <v>4</v>
      </c>
      <c r="B2706" t="s">
        <v>8803</v>
      </c>
      <c r="F2706" t="s">
        <v>8625</v>
      </c>
      <c r="G2706" t="s">
        <v>91</v>
      </c>
    </row>
    <row r="2707" spans="1:7" hidden="1" x14ac:dyDescent="0.25">
      <c r="A2707" t="s">
        <v>4</v>
      </c>
      <c r="B2707" t="s">
        <v>8803</v>
      </c>
      <c r="F2707" t="s">
        <v>8628</v>
      </c>
      <c r="G2707" t="s">
        <v>91</v>
      </c>
    </row>
    <row r="2708" spans="1:7" hidden="1" x14ac:dyDescent="0.25">
      <c r="A2708" t="s">
        <v>4</v>
      </c>
      <c r="B2708" t="s">
        <v>8803</v>
      </c>
      <c r="F2708" t="s">
        <v>8631</v>
      </c>
      <c r="G2708" t="s">
        <v>91</v>
      </c>
    </row>
    <row r="2709" spans="1:7" hidden="1" x14ac:dyDescent="0.25">
      <c r="A2709" t="s">
        <v>4</v>
      </c>
      <c r="B2709" t="s">
        <v>8803</v>
      </c>
      <c r="F2709" t="s">
        <v>8634</v>
      </c>
      <c r="G2709" t="s">
        <v>91</v>
      </c>
    </row>
    <row r="2710" spans="1:7" hidden="1" x14ac:dyDescent="0.25">
      <c r="A2710" t="s">
        <v>2004</v>
      </c>
      <c r="B2710" t="s">
        <v>8</v>
      </c>
      <c r="F2710" t="s">
        <v>8637</v>
      </c>
      <c r="G2710" t="s">
        <v>91</v>
      </c>
    </row>
    <row r="2711" spans="1:7" hidden="1" x14ac:dyDescent="0.25">
      <c r="A2711" t="s">
        <v>2004</v>
      </c>
      <c r="B2711" t="s">
        <v>8</v>
      </c>
      <c r="F2711" t="s">
        <v>8640</v>
      </c>
      <c r="G2711" t="s">
        <v>1104</v>
      </c>
    </row>
    <row r="2712" spans="1:7" hidden="1" x14ac:dyDescent="0.25">
      <c r="A2712" t="s">
        <v>4</v>
      </c>
      <c r="B2712" t="s">
        <v>8</v>
      </c>
      <c r="F2712" t="s">
        <v>8643</v>
      </c>
      <c r="G2712" t="s">
        <v>1104</v>
      </c>
    </row>
    <row r="2713" spans="1:7" hidden="1" x14ac:dyDescent="0.25">
      <c r="A2713" t="s">
        <v>4</v>
      </c>
      <c r="B2713" t="s">
        <v>8</v>
      </c>
      <c r="F2713" t="s">
        <v>8646</v>
      </c>
      <c r="G2713" t="s">
        <v>1104</v>
      </c>
    </row>
    <row r="2714" spans="1:7" hidden="1" x14ac:dyDescent="0.25">
      <c r="A2714" t="s">
        <v>4</v>
      </c>
      <c r="B2714" t="s">
        <v>8</v>
      </c>
      <c r="F2714" t="s">
        <v>8649</v>
      </c>
      <c r="G2714" t="s">
        <v>1104</v>
      </c>
    </row>
    <row r="2715" spans="1:7" hidden="1" x14ac:dyDescent="0.25">
      <c r="A2715" t="s">
        <v>4</v>
      </c>
      <c r="B2715" t="s">
        <v>1607</v>
      </c>
      <c r="F2715" t="s">
        <v>8652</v>
      </c>
      <c r="G2715" t="s">
        <v>1104</v>
      </c>
    </row>
    <row r="2716" spans="1:7" hidden="1" x14ac:dyDescent="0.25">
      <c r="A2716" t="s">
        <v>4</v>
      </c>
      <c r="B2716" t="s">
        <v>8803</v>
      </c>
      <c r="F2716" t="s">
        <v>8655</v>
      </c>
      <c r="G2716" t="s">
        <v>1104</v>
      </c>
    </row>
    <row r="2717" spans="1:7" hidden="1" x14ac:dyDescent="0.25">
      <c r="A2717" t="s">
        <v>4</v>
      </c>
      <c r="B2717" t="s">
        <v>8803</v>
      </c>
      <c r="F2717" t="s">
        <v>8658</v>
      </c>
      <c r="G2717" t="s">
        <v>1104</v>
      </c>
    </row>
    <row r="2718" spans="1:7" hidden="1" x14ac:dyDescent="0.25">
      <c r="A2718" t="s">
        <v>1606</v>
      </c>
      <c r="B2718" t="s">
        <v>8801</v>
      </c>
      <c r="F2718" t="s">
        <v>8661</v>
      </c>
      <c r="G2718" t="s">
        <v>1104</v>
      </c>
    </row>
    <row r="2719" spans="1:7" hidden="1" x14ac:dyDescent="0.25">
      <c r="A2719" t="s">
        <v>1606</v>
      </c>
      <c r="B2719" t="s">
        <v>8802</v>
      </c>
      <c r="F2719" t="s">
        <v>8664</v>
      </c>
      <c r="G2719" t="s">
        <v>1104</v>
      </c>
    </row>
    <row r="2720" spans="1:7" hidden="1" x14ac:dyDescent="0.25">
      <c r="A2720" t="s">
        <v>650</v>
      </c>
      <c r="B2720" t="s">
        <v>8802</v>
      </c>
      <c r="F2720" t="s">
        <v>8667</v>
      </c>
      <c r="G2720" t="s">
        <v>1104</v>
      </c>
    </row>
    <row r="2721" spans="1:7" hidden="1" x14ac:dyDescent="0.25">
      <c r="A2721" t="s">
        <v>650</v>
      </c>
      <c r="B2721" t="s">
        <v>8801</v>
      </c>
      <c r="F2721" t="s">
        <v>8670</v>
      </c>
      <c r="G2721" t="s">
        <v>1104</v>
      </c>
    </row>
    <row r="2722" spans="1:7" hidden="1" x14ac:dyDescent="0.25">
      <c r="A2722" t="s">
        <v>2004</v>
      </c>
      <c r="B2722" t="s">
        <v>8</v>
      </c>
      <c r="F2722" t="s">
        <v>8673</v>
      </c>
      <c r="G2722" t="s">
        <v>1104</v>
      </c>
    </row>
    <row r="2723" spans="1:7" hidden="1" x14ac:dyDescent="0.25">
      <c r="A2723" t="s">
        <v>4</v>
      </c>
      <c r="B2723" t="s">
        <v>8804</v>
      </c>
      <c r="F2723" t="s">
        <v>8676</v>
      </c>
      <c r="G2723" t="s">
        <v>1104</v>
      </c>
    </row>
    <row r="2724" spans="1:7" hidden="1" x14ac:dyDescent="0.25">
      <c r="A2724" t="s">
        <v>2004</v>
      </c>
      <c r="B2724" t="s">
        <v>8</v>
      </c>
      <c r="F2724" t="s">
        <v>8556</v>
      </c>
      <c r="G2724" t="s">
        <v>1105</v>
      </c>
    </row>
    <row r="2725" spans="1:7" hidden="1" x14ac:dyDescent="0.25">
      <c r="A2725" t="s">
        <v>4</v>
      </c>
      <c r="B2725" t="s">
        <v>8805</v>
      </c>
      <c r="F2725" t="s">
        <v>8559</v>
      </c>
      <c r="G2725" t="s">
        <v>1105</v>
      </c>
    </row>
    <row r="2726" spans="1:7" hidden="1" x14ac:dyDescent="0.25">
      <c r="A2726" t="s">
        <v>2004</v>
      </c>
      <c r="B2726" t="s">
        <v>8</v>
      </c>
      <c r="F2726" t="s">
        <v>8562</v>
      </c>
      <c r="G2726" t="s">
        <v>1105</v>
      </c>
    </row>
    <row r="2727" spans="1:7" hidden="1" x14ac:dyDescent="0.25">
      <c r="A2727" t="s">
        <v>2004</v>
      </c>
      <c r="B2727" t="s">
        <v>8</v>
      </c>
      <c r="F2727" t="s">
        <v>8565</v>
      </c>
      <c r="G2727" t="s">
        <v>1105</v>
      </c>
    </row>
    <row r="2728" spans="1:7" hidden="1" x14ac:dyDescent="0.25">
      <c r="A2728" t="s">
        <v>2004</v>
      </c>
      <c r="B2728" t="s">
        <v>8</v>
      </c>
      <c r="F2728" t="s">
        <v>8568</v>
      </c>
      <c r="G2728" t="s">
        <v>1105</v>
      </c>
    </row>
    <row r="2729" spans="1:7" hidden="1" x14ac:dyDescent="0.25">
      <c r="A2729" t="s">
        <v>2004</v>
      </c>
      <c r="B2729" t="s">
        <v>8</v>
      </c>
      <c r="F2729" t="s">
        <v>8571</v>
      </c>
      <c r="G2729" t="s">
        <v>1105</v>
      </c>
    </row>
    <row r="2730" spans="1:7" hidden="1" x14ac:dyDescent="0.25">
      <c r="A2730" t="s">
        <v>2004</v>
      </c>
      <c r="B2730" t="s">
        <v>8</v>
      </c>
      <c r="F2730" t="s">
        <v>8574</v>
      </c>
      <c r="G2730" t="s">
        <v>1105</v>
      </c>
    </row>
    <row r="2731" spans="1:7" hidden="1" x14ac:dyDescent="0.25">
      <c r="A2731" t="s">
        <v>2004</v>
      </c>
      <c r="B2731" t="s">
        <v>8</v>
      </c>
      <c r="F2731" t="s">
        <v>8577</v>
      </c>
      <c r="G2731" t="s">
        <v>1106</v>
      </c>
    </row>
    <row r="2732" spans="1:7" hidden="1" x14ac:dyDescent="0.25">
      <c r="A2732" t="s">
        <v>2004</v>
      </c>
      <c r="B2732" t="s">
        <v>8</v>
      </c>
      <c r="F2732" t="s">
        <v>8580</v>
      </c>
      <c r="G2732" t="s">
        <v>1106</v>
      </c>
    </row>
    <row r="2733" spans="1:7" hidden="1" x14ac:dyDescent="0.25">
      <c r="A2733" t="s">
        <v>2004</v>
      </c>
      <c r="B2733" t="s">
        <v>8</v>
      </c>
      <c r="F2733" t="s">
        <v>8583</v>
      </c>
      <c r="G2733" t="s">
        <v>1106</v>
      </c>
    </row>
    <row r="2734" spans="1:7" hidden="1" x14ac:dyDescent="0.25">
      <c r="A2734" t="s">
        <v>2004</v>
      </c>
      <c r="B2734" t="s">
        <v>8</v>
      </c>
      <c r="F2734" t="s">
        <v>8586</v>
      </c>
      <c r="G2734" t="s">
        <v>1106</v>
      </c>
    </row>
    <row r="2735" spans="1:7" hidden="1" x14ac:dyDescent="0.25">
      <c r="A2735" t="s">
        <v>2004</v>
      </c>
      <c r="B2735" t="s">
        <v>8</v>
      </c>
      <c r="F2735" t="s">
        <v>8589</v>
      </c>
      <c r="G2735" t="s">
        <v>1106</v>
      </c>
    </row>
    <row r="2736" spans="1:7" hidden="1" x14ac:dyDescent="0.25">
      <c r="A2736" t="s">
        <v>2004</v>
      </c>
      <c r="B2736" t="s">
        <v>8</v>
      </c>
      <c r="F2736" t="s">
        <v>8592</v>
      </c>
      <c r="G2736" t="s">
        <v>1106</v>
      </c>
    </row>
    <row r="2737" spans="1:7" hidden="1" x14ac:dyDescent="0.25">
      <c r="A2737" t="s">
        <v>2004</v>
      </c>
      <c r="B2737" t="s">
        <v>8</v>
      </c>
      <c r="F2737" t="s">
        <v>8595</v>
      </c>
      <c r="G2737" t="s">
        <v>1106</v>
      </c>
    </row>
    <row r="2738" spans="1:7" hidden="1" x14ac:dyDescent="0.25">
      <c r="A2738" t="s">
        <v>2004</v>
      </c>
      <c r="B2738" t="s">
        <v>8</v>
      </c>
      <c r="F2738" t="s">
        <v>6161</v>
      </c>
      <c r="G2738" t="s">
        <v>1107</v>
      </c>
    </row>
    <row r="2739" spans="1:7" hidden="1" x14ac:dyDescent="0.25">
      <c r="A2739" t="s">
        <v>2004</v>
      </c>
      <c r="B2739" t="s">
        <v>8</v>
      </c>
      <c r="F2739" t="s">
        <v>7998</v>
      </c>
      <c r="G2739" t="s">
        <v>1107</v>
      </c>
    </row>
    <row r="2740" spans="1:7" hidden="1" x14ac:dyDescent="0.25">
      <c r="A2740" t="s">
        <v>2004</v>
      </c>
      <c r="B2740" t="s">
        <v>8</v>
      </c>
      <c r="F2740" t="s">
        <v>364</v>
      </c>
      <c r="G2740" t="s">
        <v>1107</v>
      </c>
    </row>
    <row r="2741" spans="1:7" hidden="1" x14ac:dyDescent="0.25">
      <c r="A2741" t="s">
        <v>2004</v>
      </c>
      <c r="B2741" t="s">
        <v>8</v>
      </c>
      <c r="F2741" t="s">
        <v>367</v>
      </c>
      <c r="G2741" t="s">
        <v>1107</v>
      </c>
    </row>
    <row r="2742" spans="1:7" hidden="1" x14ac:dyDescent="0.25">
      <c r="A2742" t="s">
        <v>2004</v>
      </c>
      <c r="B2742" t="s">
        <v>8</v>
      </c>
      <c r="F2742" t="s">
        <v>370</v>
      </c>
      <c r="G2742" t="s">
        <v>1107</v>
      </c>
    </row>
    <row r="2743" spans="1:7" hidden="1" x14ac:dyDescent="0.25">
      <c r="A2743" t="s">
        <v>2004</v>
      </c>
      <c r="B2743" t="s">
        <v>8</v>
      </c>
      <c r="F2743" t="s">
        <v>373</v>
      </c>
      <c r="G2743" t="s">
        <v>1107</v>
      </c>
    </row>
    <row r="2744" spans="1:7" hidden="1" x14ac:dyDescent="0.25">
      <c r="A2744" t="s">
        <v>2004</v>
      </c>
      <c r="B2744" t="s">
        <v>8</v>
      </c>
      <c r="F2744" t="s">
        <v>376</v>
      </c>
      <c r="G2744" t="s">
        <v>1107</v>
      </c>
    </row>
    <row r="2745" spans="1:7" hidden="1" x14ac:dyDescent="0.25">
      <c r="A2745" t="s">
        <v>2004</v>
      </c>
      <c r="B2745" t="s">
        <v>9</v>
      </c>
      <c r="F2745" t="s">
        <v>8598</v>
      </c>
      <c r="G2745" t="s">
        <v>796</v>
      </c>
    </row>
    <row r="2746" spans="1:7" hidden="1" x14ac:dyDescent="0.25">
      <c r="A2746" t="s">
        <v>2004</v>
      </c>
      <c r="B2746" t="s">
        <v>9</v>
      </c>
      <c r="F2746" t="s">
        <v>8601</v>
      </c>
      <c r="G2746" t="s">
        <v>796</v>
      </c>
    </row>
    <row r="2747" spans="1:7" hidden="1" x14ac:dyDescent="0.25">
      <c r="A2747" t="s">
        <v>2004</v>
      </c>
      <c r="B2747" t="s">
        <v>9</v>
      </c>
      <c r="F2747" t="s">
        <v>8604</v>
      </c>
      <c r="G2747" t="s">
        <v>796</v>
      </c>
    </row>
    <row r="2748" spans="1:7" hidden="1" x14ac:dyDescent="0.25">
      <c r="A2748" t="s">
        <v>2004</v>
      </c>
      <c r="B2748" t="s">
        <v>9</v>
      </c>
      <c r="F2748" t="s">
        <v>8607</v>
      </c>
      <c r="G2748" t="s">
        <v>796</v>
      </c>
    </row>
    <row r="2749" spans="1:7" hidden="1" x14ac:dyDescent="0.25">
      <c r="A2749" t="s">
        <v>2004</v>
      </c>
      <c r="B2749" t="s">
        <v>9</v>
      </c>
      <c r="F2749" t="s">
        <v>8610</v>
      </c>
      <c r="G2749" t="s">
        <v>796</v>
      </c>
    </row>
    <row r="2750" spans="1:7" hidden="1" x14ac:dyDescent="0.25">
      <c r="A2750" t="s">
        <v>2004</v>
      </c>
      <c r="B2750" t="s">
        <v>9</v>
      </c>
      <c r="F2750" t="s">
        <v>8613</v>
      </c>
      <c r="G2750" t="s">
        <v>796</v>
      </c>
    </row>
    <row r="2751" spans="1:7" hidden="1" x14ac:dyDescent="0.25">
      <c r="A2751" t="s">
        <v>2004</v>
      </c>
      <c r="B2751" t="s">
        <v>8824</v>
      </c>
      <c r="F2751" t="s">
        <v>8616</v>
      </c>
      <c r="G2751" t="s">
        <v>796</v>
      </c>
    </row>
    <row r="2752" spans="1:7" hidden="1" x14ac:dyDescent="0.25">
      <c r="A2752" t="s">
        <v>2004</v>
      </c>
      <c r="B2752" t="s">
        <v>86</v>
      </c>
      <c r="E2752" t="s">
        <v>5479</v>
      </c>
      <c r="F2752" t="s">
        <v>8682</v>
      </c>
      <c r="G2752" t="s">
        <v>1100</v>
      </c>
    </row>
    <row r="2753" spans="1:7" hidden="1" x14ac:dyDescent="0.25">
      <c r="A2753" t="s">
        <v>2004</v>
      </c>
      <c r="B2753" t="s">
        <v>86</v>
      </c>
      <c r="E2753" t="s">
        <v>5479</v>
      </c>
      <c r="F2753" t="s">
        <v>8685</v>
      </c>
      <c r="G2753" t="s">
        <v>1100</v>
      </c>
    </row>
    <row r="2754" spans="1:7" hidden="1" x14ac:dyDescent="0.25">
      <c r="A2754" t="s">
        <v>2004</v>
      </c>
      <c r="B2754" t="s">
        <v>8825</v>
      </c>
      <c r="E2754" t="s">
        <v>5479</v>
      </c>
      <c r="F2754" t="s">
        <v>8688</v>
      </c>
      <c r="G2754" t="s">
        <v>1100</v>
      </c>
    </row>
    <row r="2755" spans="1:7" hidden="1" x14ac:dyDescent="0.25">
      <c r="A2755" t="s">
        <v>2004</v>
      </c>
      <c r="B2755" t="s">
        <v>86</v>
      </c>
      <c r="E2755" t="s">
        <v>5479</v>
      </c>
      <c r="F2755" t="s">
        <v>8691</v>
      </c>
      <c r="G2755" t="s">
        <v>1100</v>
      </c>
    </row>
    <row r="2756" spans="1:7" hidden="1" x14ac:dyDescent="0.25">
      <c r="A2756" t="s">
        <v>2004</v>
      </c>
      <c r="B2756" t="s">
        <v>86</v>
      </c>
      <c r="E2756" t="s">
        <v>5479</v>
      </c>
      <c r="F2756" t="s">
        <v>8694</v>
      </c>
      <c r="G2756" t="s">
        <v>1100</v>
      </c>
    </row>
    <row r="2757" spans="1:7" hidden="1" x14ac:dyDescent="0.25">
      <c r="A2757" t="s">
        <v>2004</v>
      </c>
      <c r="B2757" t="s">
        <v>86</v>
      </c>
      <c r="E2757" t="s">
        <v>5479</v>
      </c>
      <c r="F2757" t="s">
        <v>8697</v>
      </c>
      <c r="G2757" t="s">
        <v>1100</v>
      </c>
    </row>
    <row r="2758" spans="1:7" hidden="1" x14ac:dyDescent="0.25">
      <c r="A2758" t="s">
        <v>2004</v>
      </c>
      <c r="B2758" t="s">
        <v>86</v>
      </c>
      <c r="E2758" t="s">
        <v>5479</v>
      </c>
      <c r="F2758" t="s">
        <v>8700</v>
      </c>
      <c r="G2758" t="s">
        <v>1100</v>
      </c>
    </row>
    <row r="2759" spans="1:7" hidden="1" x14ac:dyDescent="0.25">
      <c r="A2759" t="s">
        <v>2004</v>
      </c>
      <c r="B2759" t="s">
        <v>8</v>
      </c>
      <c r="F2759" t="s">
        <v>8703</v>
      </c>
      <c r="G2759" s="1" t="s">
        <v>1603</v>
      </c>
    </row>
    <row r="2760" spans="1:7" hidden="1" x14ac:dyDescent="0.25">
      <c r="A2760" t="s">
        <v>2004</v>
      </c>
      <c r="B2760" t="s">
        <v>8826</v>
      </c>
      <c r="F2760" t="s">
        <v>8706</v>
      </c>
      <c r="G2760" s="1" t="s">
        <v>1603</v>
      </c>
    </row>
    <row r="2761" spans="1:7" hidden="1" x14ac:dyDescent="0.25">
      <c r="A2761" t="s">
        <v>2004</v>
      </c>
      <c r="B2761" t="s">
        <v>8826</v>
      </c>
      <c r="F2761" t="s">
        <v>8709</v>
      </c>
      <c r="G2761" s="1" t="s">
        <v>1603</v>
      </c>
    </row>
    <row r="2762" spans="1:7" hidden="1" x14ac:dyDescent="0.25">
      <c r="A2762" t="s">
        <v>2004</v>
      </c>
      <c r="B2762" t="s">
        <v>8</v>
      </c>
      <c r="F2762" t="s">
        <v>8712</v>
      </c>
      <c r="G2762" s="1" t="s">
        <v>1603</v>
      </c>
    </row>
    <row r="2763" spans="1:7" hidden="1" x14ac:dyDescent="0.25">
      <c r="A2763" t="s">
        <v>2004</v>
      </c>
      <c r="B2763" t="s">
        <v>8826</v>
      </c>
      <c r="F2763" t="s">
        <v>8715</v>
      </c>
      <c r="G2763" s="1" t="s">
        <v>1603</v>
      </c>
    </row>
    <row r="2764" spans="1:7" hidden="1" x14ac:dyDescent="0.25">
      <c r="A2764" t="s">
        <v>2004</v>
      </c>
      <c r="B2764" t="s">
        <v>8826</v>
      </c>
      <c r="F2764" t="s">
        <v>8718</v>
      </c>
      <c r="G2764" s="1" t="s">
        <v>1603</v>
      </c>
    </row>
    <row r="2765" spans="1:7" hidden="1" x14ac:dyDescent="0.25">
      <c r="A2765" t="s">
        <v>4</v>
      </c>
      <c r="B2765" t="s">
        <v>8805</v>
      </c>
      <c r="F2765" t="s">
        <v>8721</v>
      </c>
      <c r="G2765" s="1" t="s">
        <v>1603</v>
      </c>
    </row>
    <row r="2766" spans="1:7" hidden="1" x14ac:dyDescent="0.25">
      <c r="A2766" t="s">
        <v>4</v>
      </c>
      <c r="B2766" t="s">
        <v>8045</v>
      </c>
      <c r="F2766" t="s">
        <v>8724</v>
      </c>
      <c r="G2766" t="s">
        <v>1817</v>
      </c>
    </row>
    <row r="2767" spans="1:7" hidden="1" x14ac:dyDescent="0.25">
      <c r="A2767" t="s">
        <v>4</v>
      </c>
      <c r="B2767" t="s">
        <v>8045</v>
      </c>
      <c r="F2767" t="s">
        <v>8727</v>
      </c>
      <c r="G2767" t="s">
        <v>1817</v>
      </c>
    </row>
    <row r="2768" spans="1:7" hidden="1" x14ac:dyDescent="0.25">
      <c r="A2768" t="s">
        <v>4</v>
      </c>
      <c r="B2768" t="s">
        <v>8045</v>
      </c>
      <c r="F2768" t="s">
        <v>8730</v>
      </c>
      <c r="G2768" t="s">
        <v>1817</v>
      </c>
    </row>
    <row r="2769" spans="1:7" hidden="1" x14ac:dyDescent="0.25">
      <c r="A2769" t="s">
        <v>4</v>
      </c>
      <c r="B2769" t="s">
        <v>8045</v>
      </c>
      <c r="F2769" t="s">
        <v>8733</v>
      </c>
      <c r="G2769" t="s">
        <v>1817</v>
      </c>
    </row>
    <row r="2770" spans="1:7" hidden="1" x14ac:dyDescent="0.25">
      <c r="A2770" t="s">
        <v>4</v>
      </c>
      <c r="B2770" t="s">
        <v>8045</v>
      </c>
      <c r="F2770" t="s">
        <v>8736</v>
      </c>
      <c r="G2770" t="s">
        <v>1817</v>
      </c>
    </row>
    <row r="2771" spans="1:7" hidden="1" x14ac:dyDescent="0.25">
      <c r="A2771" t="s">
        <v>4</v>
      </c>
      <c r="B2771" t="s">
        <v>8045</v>
      </c>
      <c r="F2771" t="s">
        <v>8739</v>
      </c>
      <c r="G2771" t="s">
        <v>1817</v>
      </c>
    </row>
    <row r="2772" spans="1:7" hidden="1" x14ac:dyDescent="0.25">
      <c r="A2772" t="s">
        <v>4</v>
      </c>
      <c r="B2772" t="s">
        <v>8045</v>
      </c>
      <c r="F2772" t="s">
        <v>8742</v>
      </c>
      <c r="G2772" t="s">
        <v>1817</v>
      </c>
    </row>
    <row r="2773" spans="1:7" hidden="1" x14ac:dyDescent="0.25">
      <c r="A2773" t="s">
        <v>2004</v>
      </c>
      <c r="B2773" t="s">
        <v>8</v>
      </c>
      <c r="F2773" t="s">
        <v>8745</v>
      </c>
      <c r="G2773" t="s">
        <v>1817</v>
      </c>
    </row>
    <row r="2774" spans="1:7" hidden="1" x14ac:dyDescent="0.25">
      <c r="A2774" t="s">
        <v>4</v>
      </c>
      <c r="B2774" t="s">
        <v>8045</v>
      </c>
      <c r="F2774" t="s">
        <v>8748</v>
      </c>
      <c r="G2774" t="s">
        <v>1817</v>
      </c>
    </row>
    <row r="2775" spans="1:7" hidden="1" x14ac:dyDescent="0.25">
      <c r="A2775" t="s">
        <v>4</v>
      </c>
      <c r="B2775" t="s">
        <v>8827</v>
      </c>
      <c r="F2775" t="s">
        <v>8751</v>
      </c>
      <c r="G2775" t="s">
        <v>1817</v>
      </c>
    </row>
    <row r="2776" spans="1:7" hidden="1" x14ac:dyDescent="0.25">
      <c r="A2776" t="s">
        <v>2004</v>
      </c>
      <c r="B2776" t="s">
        <v>8</v>
      </c>
      <c r="F2776" t="s">
        <v>8754</v>
      </c>
      <c r="G2776" t="s">
        <v>1817</v>
      </c>
    </row>
    <row r="2777" spans="1:7" hidden="1" x14ac:dyDescent="0.25">
      <c r="A2777" t="s">
        <v>2004</v>
      </c>
      <c r="B2777" t="s">
        <v>8</v>
      </c>
      <c r="F2777" t="s">
        <v>8757</v>
      </c>
      <c r="G2777" t="s">
        <v>1934</v>
      </c>
    </row>
    <row r="2778" spans="1:7" hidden="1" x14ac:dyDescent="0.25">
      <c r="A2778" t="s">
        <v>2004</v>
      </c>
      <c r="B2778" t="s">
        <v>8</v>
      </c>
      <c r="F2778" t="s">
        <v>8760</v>
      </c>
      <c r="G2778" t="s">
        <v>1934</v>
      </c>
    </row>
    <row r="2779" spans="1:7" hidden="1" x14ac:dyDescent="0.25">
      <c r="A2779" t="s">
        <v>2004</v>
      </c>
      <c r="B2779" t="s">
        <v>8</v>
      </c>
      <c r="F2779" t="s">
        <v>8763</v>
      </c>
      <c r="G2779" t="s">
        <v>1934</v>
      </c>
    </row>
    <row r="2780" spans="1:7" hidden="1" x14ac:dyDescent="0.25">
      <c r="A2780" t="s">
        <v>2004</v>
      </c>
      <c r="B2780" t="s">
        <v>8</v>
      </c>
      <c r="F2780" t="s">
        <v>8766</v>
      </c>
      <c r="G2780" t="s">
        <v>1934</v>
      </c>
    </row>
    <row r="2781" spans="1:7" hidden="1" x14ac:dyDescent="0.25">
      <c r="A2781" t="s">
        <v>2004</v>
      </c>
      <c r="B2781" t="s">
        <v>8</v>
      </c>
      <c r="F2781" t="s">
        <v>8769</v>
      </c>
      <c r="G2781" t="s">
        <v>1934</v>
      </c>
    </row>
    <row r="2782" spans="1:7" hidden="1" x14ac:dyDescent="0.25">
      <c r="A2782" t="s">
        <v>2004</v>
      </c>
      <c r="B2782" t="s">
        <v>8</v>
      </c>
      <c r="F2782" t="s">
        <v>8772</v>
      </c>
      <c r="G2782" t="s">
        <v>1934</v>
      </c>
    </row>
    <row r="2783" spans="1:7" hidden="1" x14ac:dyDescent="0.25">
      <c r="A2783" t="s">
        <v>2004</v>
      </c>
      <c r="B2783" t="s">
        <v>8</v>
      </c>
      <c r="F2783" t="s">
        <v>8775</v>
      </c>
      <c r="G2783" t="s">
        <v>1934</v>
      </c>
    </row>
    <row r="2784" spans="1:7" x14ac:dyDescent="0.25">
      <c r="A2784" t="s">
        <v>2004</v>
      </c>
      <c r="B2784" t="s">
        <v>8</v>
      </c>
      <c r="F2784" t="s">
        <v>8778</v>
      </c>
      <c r="G2784" t="s">
        <v>1997</v>
      </c>
    </row>
    <row r="2785" spans="1:7" x14ac:dyDescent="0.25">
      <c r="A2785" t="s">
        <v>2004</v>
      </c>
      <c r="B2785" t="s">
        <v>8</v>
      </c>
      <c r="F2785" t="s">
        <v>8781</v>
      </c>
      <c r="G2785" t="s">
        <v>1997</v>
      </c>
    </row>
    <row r="2786" spans="1:7" x14ac:dyDescent="0.25">
      <c r="A2786" t="s">
        <v>2004</v>
      </c>
      <c r="B2786" t="s">
        <v>8</v>
      </c>
      <c r="F2786" t="s">
        <v>8784</v>
      </c>
      <c r="G2786" t="s">
        <v>1997</v>
      </c>
    </row>
    <row r="2787" spans="1:7" x14ac:dyDescent="0.25">
      <c r="A2787" t="s">
        <v>2004</v>
      </c>
      <c r="B2787" t="s">
        <v>8</v>
      </c>
      <c r="F2787" t="s">
        <v>8787</v>
      </c>
      <c r="G2787" t="s">
        <v>1997</v>
      </c>
    </row>
    <row r="2788" spans="1:7" x14ac:dyDescent="0.25">
      <c r="A2788" t="s">
        <v>2004</v>
      </c>
      <c r="B2788" t="s">
        <v>8</v>
      </c>
      <c r="F2788" t="s">
        <v>8790</v>
      </c>
      <c r="G2788" t="s">
        <v>1997</v>
      </c>
    </row>
    <row r="2789" spans="1:7" x14ac:dyDescent="0.25">
      <c r="A2789" t="s">
        <v>2004</v>
      </c>
      <c r="B2789" t="s">
        <v>8</v>
      </c>
      <c r="F2789" t="s">
        <v>8793</v>
      </c>
      <c r="G2789" t="s">
        <v>1997</v>
      </c>
    </row>
    <row r="2790" spans="1:7" x14ac:dyDescent="0.25">
      <c r="A2790" t="s">
        <v>2004</v>
      </c>
      <c r="B2790" t="s">
        <v>8</v>
      </c>
      <c r="F2790" t="s">
        <v>8796</v>
      </c>
      <c r="G2790" t="s">
        <v>1997</v>
      </c>
    </row>
    <row r="2791" spans="1:7" hidden="1" x14ac:dyDescent="0.25">
      <c r="A2791" t="s">
        <v>2004</v>
      </c>
      <c r="B2791" t="s">
        <v>8</v>
      </c>
      <c r="F2791" t="s">
        <v>8679</v>
      </c>
      <c r="G2791" t="s">
        <v>1107</v>
      </c>
    </row>
    <row r="2792" spans="1:7" hidden="1" x14ac:dyDescent="0.25">
      <c r="A2792" t="s">
        <v>2004</v>
      </c>
      <c r="B2792" t="s">
        <v>8</v>
      </c>
      <c r="F2792" t="s">
        <v>8806</v>
      </c>
      <c r="G2792" t="s">
        <v>1107</v>
      </c>
    </row>
    <row r="2793" spans="1:7" hidden="1" x14ac:dyDescent="0.25">
      <c r="A2793" t="s">
        <v>2004</v>
      </c>
      <c r="B2793" t="s">
        <v>8</v>
      </c>
      <c r="F2793" t="s">
        <v>8809</v>
      </c>
      <c r="G2793" t="s">
        <v>1107</v>
      </c>
    </row>
    <row r="2794" spans="1:7" hidden="1" x14ac:dyDescent="0.25">
      <c r="A2794" t="s">
        <v>2004</v>
      </c>
      <c r="B2794" t="s">
        <v>8</v>
      </c>
      <c r="F2794" t="s">
        <v>8812</v>
      </c>
      <c r="G2794" t="s">
        <v>1107</v>
      </c>
    </row>
    <row r="2795" spans="1:7" hidden="1" x14ac:dyDescent="0.25">
      <c r="A2795" t="s">
        <v>2004</v>
      </c>
      <c r="B2795" t="s">
        <v>8</v>
      </c>
      <c r="F2795" t="s">
        <v>8815</v>
      </c>
      <c r="G2795" t="s">
        <v>1107</v>
      </c>
    </row>
    <row r="2796" spans="1:7" hidden="1" x14ac:dyDescent="0.25">
      <c r="A2796" t="s">
        <v>2004</v>
      </c>
      <c r="B2796" t="s">
        <v>8</v>
      </c>
      <c r="F2796" t="s">
        <v>8818</v>
      </c>
      <c r="G2796" t="s">
        <v>1107</v>
      </c>
    </row>
    <row r="2797" spans="1:7" hidden="1" x14ac:dyDescent="0.25">
      <c r="A2797" t="s">
        <v>2004</v>
      </c>
      <c r="B2797" t="s">
        <v>8</v>
      </c>
      <c r="F2797" t="s">
        <v>8821</v>
      </c>
      <c r="G2797" t="s">
        <v>1107</v>
      </c>
    </row>
    <row r="2798" spans="1:7" hidden="1" x14ac:dyDescent="0.25">
      <c r="A2798" t="s">
        <v>2004</v>
      </c>
      <c r="E2798" t="s">
        <v>9186</v>
      </c>
      <c r="F2798" t="s">
        <v>8852</v>
      </c>
      <c r="G2798" t="s">
        <v>1102</v>
      </c>
    </row>
    <row r="2799" spans="1:7" hidden="1" x14ac:dyDescent="0.25">
      <c r="A2799" t="s">
        <v>91</v>
      </c>
      <c r="B2799" t="s">
        <v>9187</v>
      </c>
      <c r="C2799" t="s">
        <v>51</v>
      </c>
      <c r="F2799" t="s">
        <v>8855</v>
      </c>
      <c r="G2799" t="s">
        <v>1102</v>
      </c>
    </row>
    <row r="2800" spans="1:7" hidden="1" x14ac:dyDescent="0.25">
      <c r="A2800" t="s">
        <v>62</v>
      </c>
      <c r="B2800" t="s">
        <v>9187</v>
      </c>
      <c r="C2800" t="s">
        <v>9188</v>
      </c>
      <c r="F2800" t="s">
        <v>8858</v>
      </c>
      <c r="G2800" t="s">
        <v>1102</v>
      </c>
    </row>
    <row r="2801" spans="1:7" hidden="1" x14ac:dyDescent="0.25">
      <c r="A2801" t="s">
        <v>4221</v>
      </c>
      <c r="B2801" t="s">
        <v>86</v>
      </c>
      <c r="C2801" t="s">
        <v>4240</v>
      </c>
      <c r="E2801" t="s">
        <v>1620</v>
      </c>
      <c r="F2801" t="s">
        <v>8828</v>
      </c>
      <c r="G2801" t="s">
        <v>1103</v>
      </c>
    </row>
    <row r="2802" spans="1:7" hidden="1" x14ac:dyDescent="0.25">
      <c r="A2802" t="s">
        <v>4221</v>
      </c>
      <c r="B2802" t="s">
        <v>86</v>
      </c>
      <c r="C2802" t="s">
        <v>4240</v>
      </c>
      <c r="E2802" t="s">
        <v>4236</v>
      </c>
      <c r="F2802" t="s">
        <v>8831</v>
      </c>
      <c r="G2802" t="s">
        <v>1103</v>
      </c>
    </row>
    <row r="2803" spans="1:7" hidden="1" x14ac:dyDescent="0.25">
      <c r="A2803" t="s">
        <v>158</v>
      </c>
      <c r="B2803" t="s">
        <v>86</v>
      </c>
      <c r="C2803" t="s">
        <v>60</v>
      </c>
      <c r="D2803">
        <v>3</v>
      </c>
      <c r="E2803" t="s">
        <v>3075</v>
      </c>
      <c r="F2803" t="s">
        <v>8834</v>
      </c>
      <c r="G2803" t="s">
        <v>1103</v>
      </c>
    </row>
    <row r="2804" spans="1:7" hidden="1" x14ac:dyDescent="0.25">
      <c r="A2804" t="s">
        <v>158</v>
      </c>
      <c r="B2804" t="s">
        <v>86</v>
      </c>
      <c r="C2804" t="s">
        <v>60</v>
      </c>
      <c r="D2804">
        <v>2</v>
      </c>
      <c r="E2804" t="s">
        <v>3075</v>
      </c>
      <c r="F2804" t="s">
        <v>8837</v>
      </c>
      <c r="G2804" t="s">
        <v>1103</v>
      </c>
    </row>
    <row r="2805" spans="1:7" hidden="1" x14ac:dyDescent="0.25">
      <c r="A2805" t="s">
        <v>158</v>
      </c>
      <c r="B2805" t="s">
        <v>86</v>
      </c>
      <c r="C2805" t="s">
        <v>60</v>
      </c>
      <c r="D2805">
        <v>1</v>
      </c>
      <c r="E2805" t="s">
        <v>3075</v>
      </c>
      <c r="F2805" t="s">
        <v>8840</v>
      </c>
      <c r="G2805" t="s">
        <v>1103</v>
      </c>
    </row>
    <row r="2806" spans="1:7" hidden="1" x14ac:dyDescent="0.25">
      <c r="A2806" t="s">
        <v>4221</v>
      </c>
      <c r="B2806" t="s">
        <v>86</v>
      </c>
      <c r="C2806" t="s">
        <v>9189</v>
      </c>
      <c r="E2806" t="s">
        <v>1620</v>
      </c>
      <c r="F2806" t="s">
        <v>8843</v>
      </c>
      <c r="G2806" t="s">
        <v>1103</v>
      </c>
    </row>
    <row r="2807" spans="1:7" hidden="1" x14ac:dyDescent="0.25">
      <c r="A2807" t="s">
        <v>4221</v>
      </c>
      <c r="B2807" t="s">
        <v>86</v>
      </c>
      <c r="C2807" t="s">
        <v>9189</v>
      </c>
      <c r="E2807" t="s">
        <v>2936</v>
      </c>
      <c r="F2807" t="s">
        <v>8846</v>
      </c>
      <c r="G2807" t="s">
        <v>1103</v>
      </c>
    </row>
    <row r="2808" spans="1:7" hidden="1" x14ac:dyDescent="0.25">
      <c r="A2808" t="s">
        <v>158</v>
      </c>
      <c r="B2808" t="s">
        <v>86</v>
      </c>
      <c r="C2808" t="s">
        <v>60</v>
      </c>
      <c r="D2808">
        <v>1</v>
      </c>
      <c r="E2808" t="s">
        <v>3075</v>
      </c>
      <c r="F2808" t="s">
        <v>8849</v>
      </c>
      <c r="G2808" t="s">
        <v>1103</v>
      </c>
    </row>
    <row r="2809" spans="1:7" hidden="1" x14ac:dyDescent="0.25">
      <c r="A2809" t="s">
        <v>4</v>
      </c>
      <c r="B2809" t="s">
        <v>8803</v>
      </c>
      <c r="F2809" t="s">
        <v>8975</v>
      </c>
      <c r="G2809" t="s">
        <v>91</v>
      </c>
    </row>
    <row r="2810" spans="1:7" hidden="1" x14ac:dyDescent="0.25">
      <c r="A2810" t="s">
        <v>289</v>
      </c>
      <c r="B2810" t="s">
        <v>9187</v>
      </c>
      <c r="C2810" t="s">
        <v>9188</v>
      </c>
      <c r="F2810" t="s">
        <v>8979</v>
      </c>
      <c r="G2810" t="s">
        <v>91</v>
      </c>
    </row>
    <row r="2811" spans="1:7" hidden="1" x14ac:dyDescent="0.25">
      <c r="A2811" t="s">
        <v>289</v>
      </c>
      <c r="B2811" t="s">
        <v>9187</v>
      </c>
      <c r="C2811" t="s">
        <v>9188</v>
      </c>
      <c r="E2811" t="s">
        <v>2936</v>
      </c>
      <c r="F2811" t="s">
        <v>8982</v>
      </c>
      <c r="G2811" t="s">
        <v>91</v>
      </c>
    </row>
    <row r="2812" spans="1:7" hidden="1" x14ac:dyDescent="0.25">
      <c r="A2812" t="s">
        <v>4</v>
      </c>
      <c r="B2812" t="s">
        <v>8803</v>
      </c>
      <c r="F2812" t="s">
        <v>8985</v>
      </c>
      <c r="G2812" t="s">
        <v>91</v>
      </c>
    </row>
    <row r="2813" spans="1:7" hidden="1" x14ac:dyDescent="0.25">
      <c r="A2813" t="s">
        <v>4</v>
      </c>
      <c r="B2813" t="s">
        <v>8803</v>
      </c>
      <c r="F2813" t="s">
        <v>8988</v>
      </c>
      <c r="G2813" t="s">
        <v>1104</v>
      </c>
    </row>
    <row r="2814" spans="1:7" hidden="1" x14ac:dyDescent="0.25">
      <c r="A2814" t="s">
        <v>4</v>
      </c>
      <c r="B2814" t="s">
        <v>8803</v>
      </c>
      <c r="F2814" t="s">
        <v>8991</v>
      </c>
      <c r="G2814" t="s">
        <v>1104</v>
      </c>
    </row>
    <row r="2815" spans="1:7" hidden="1" x14ac:dyDescent="0.25">
      <c r="A2815" t="s">
        <v>6191</v>
      </c>
      <c r="B2815" t="s">
        <v>5480</v>
      </c>
      <c r="C2815" t="s">
        <v>9190</v>
      </c>
      <c r="F2815" t="s">
        <v>8861</v>
      </c>
      <c r="G2815" t="s">
        <v>1105</v>
      </c>
    </row>
    <row r="2816" spans="1:7" hidden="1" x14ac:dyDescent="0.25">
      <c r="A2816" t="s">
        <v>6191</v>
      </c>
      <c r="B2816" t="s">
        <v>5480</v>
      </c>
      <c r="C2816" t="s">
        <v>9190</v>
      </c>
      <c r="E2816" t="s">
        <v>2936</v>
      </c>
      <c r="F2816" t="s">
        <v>8864</v>
      </c>
      <c r="G2816" t="s">
        <v>1105</v>
      </c>
    </row>
    <row r="2817" spans="1:7" hidden="1" x14ac:dyDescent="0.25">
      <c r="A2817" t="s">
        <v>1094</v>
      </c>
      <c r="B2817" t="s">
        <v>86</v>
      </c>
      <c r="C2817" t="s">
        <v>60</v>
      </c>
      <c r="F2817" t="s">
        <v>8867</v>
      </c>
      <c r="G2817" t="s">
        <v>1105</v>
      </c>
    </row>
    <row r="2818" spans="1:7" hidden="1" x14ac:dyDescent="0.25">
      <c r="A2818" t="s">
        <v>1094</v>
      </c>
      <c r="B2818" t="s">
        <v>86</v>
      </c>
      <c r="C2818" t="s">
        <v>60</v>
      </c>
      <c r="E2818" t="s">
        <v>2936</v>
      </c>
      <c r="F2818" t="s">
        <v>8870</v>
      </c>
      <c r="G2818" t="s">
        <v>1105</v>
      </c>
    </row>
    <row r="2819" spans="1:7" hidden="1" x14ac:dyDescent="0.25">
      <c r="A2819" t="s">
        <v>1094</v>
      </c>
      <c r="B2819" t="s">
        <v>86</v>
      </c>
      <c r="C2819" t="s">
        <v>60</v>
      </c>
      <c r="E2819" t="s">
        <v>2936</v>
      </c>
      <c r="F2819" t="s">
        <v>8873</v>
      </c>
      <c r="G2819" t="s">
        <v>1105</v>
      </c>
    </row>
    <row r="2820" spans="1:7" hidden="1" x14ac:dyDescent="0.25">
      <c r="A2820" t="s">
        <v>1094</v>
      </c>
      <c r="B2820" t="s">
        <v>4247</v>
      </c>
      <c r="C2820" t="s">
        <v>60</v>
      </c>
      <c r="F2820" t="s">
        <v>8876</v>
      </c>
      <c r="G2820" t="s">
        <v>1105</v>
      </c>
    </row>
    <row r="2821" spans="1:7" hidden="1" x14ac:dyDescent="0.25">
      <c r="A2821" t="s">
        <v>1094</v>
      </c>
      <c r="B2821" t="s">
        <v>4247</v>
      </c>
      <c r="C2821" t="s">
        <v>60</v>
      </c>
      <c r="E2821" t="s">
        <v>2936</v>
      </c>
      <c r="F2821" t="s">
        <v>8879</v>
      </c>
      <c r="G2821" t="s">
        <v>1105</v>
      </c>
    </row>
    <row r="2822" spans="1:7" hidden="1" x14ac:dyDescent="0.25">
      <c r="A2822" t="s">
        <v>1094</v>
      </c>
      <c r="B2822" t="s">
        <v>4247</v>
      </c>
      <c r="C2822" t="s">
        <v>60</v>
      </c>
      <c r="E2822" t="s">
        <v>2936</v>
      </c>
      <c r="F2822" t="s">
        <v>8882</v>
      </c>
      <c r="G2822" t="s">
        <v>1105</v>
      </c>
    </row>
    <row r="2823" spans="1:7" hidden="1" x14ac:dyDescent="0.25">
      <c r="A2823" t="s">
        <v>4</v>
      </c>
      <c r="B2823" t="s">
        <v>8</v>
      </c>
      <c r="F2823" t="s">
        <v>8885</v>
      </c>
      <c r="G2823" t="s">
        <v>1105</v>
      </c>
    </row>
    <row r="2824" spans="1:7" hidden="1" x14ac:dyDescent="0.25">
      <c r="A2824" t="s">
        <v>4</v>
      </c>
      <c r="B2824" t="s">
        <v>8045</v>
      </c>
      <c r="F2824" t="s">
        <v>8888</v>
      </c>
      <c r="G2824" t="s">
        <v>1105</v>
      </c>
    </row>
    <row r="2825" spans="1:7" hidden="1" x14ac:dyDescent="0.25">
      <c r="A2825" t="s">
        <v>4</v>
      </c>
      <c r="B2825" t="s">
        <v>8045</v>
      </c>
      <c r="F2825" t="s">
        <v>8891</v>
      </c>
      <c r="G2825" t="s">
        <v>1105</v>
      </c>
    </row>
    <row r="2826" spans="1:7" hidden="1" x14ac:dyDescent="0.25">
      <c r="A2826" t="s">
        <v>4</v>
      </c>
      <c r="B2826" t="s">
        <v>8</v>
      </c>
      <c r="F2826" t="s">
        <v>8894</v>
      </c>
      <c r="G2826" t="s">
        <v>1105</v>
      </c>
    </row>
    <row r="2827" spans="1:7" hidden="1" x14ac:dyDescent="0.25">
      <c r="A2827" t="s">
        <v>9191</v>
      </c>
      <c r="B2827" t="s">
        <v>5480</v>
      </c>
      <c r="C2827" t="s">
        <v>9190</v>
      </c>
      <c r="F2827" t="s">
        <v>8994</v>
      </c>
      <c r="G2827" t="s">
        <v>1106</v>
      </c>
    </row>
    <row r="2828" spans="1:7" hidden="1" x14ac:dyDescent="0.25">
      <c r="A2828" t="s">
        <v>2004</v>
      </c>
      <c r="B2828" t="s">
        <v>8</v>
      </c>
      <c r="F2828" t="s">
        <v>8997</v>
      </c>
      <c r="G2828" t="s">
        <v>1106</v>
      </c>
    </row>
    <row r="2829" spans="1:7" hidden="1" x14ac:dyDescent="0.25">
      <c r="A2829" t="s">
        <v>2004</v>
      </c>
      <c r="B2829" t="s">
        <v>8</v>
      </c>
      <c r="F2829" t="s">
        <v>9192</v>
      </c>
      <c r="G2829" t="s">
        <v>1107</v>
      </c>
    </row>
    <row r="2830" spans="1:7" hidden="1" x14ac:dyDescent="0.25">
      <c r="A2830" t="s">
        <v>2004</v>
      </c>
      <c r="B2830" t="s">
        <v>8</v>
      </c>
      <c r="F2830" t="s">
        <v>9195</v>
      </c>
      <c r="G2830" t="s">
        <v>1107</v>
      </c>
    </row>
    <row r="2831" spans="1:7" hidden="1" x14ac:dyDescent="0.25">
      <c r="A2831" t="s">
        <v>2004</v>
      </c>
      <c r="B2831" t="s">
        <v>5477</v>
      </c>
      <c r="F2831" t="s">
        <v>9000</v>
      </c>
      <c r="G2831" t="s">
        <v>796</v>
      </c>
    </row>
    <row r="2832" spans="1:7" hidden="1" x14ac:dyDescent="0.25">
      <c r="A2832" t="s">
        <v>4</v>
      </c>
      <c r="B2832" t="s">
        <v>9</v>
      </c>
      <c r="F2832" t="s">
        <v>9003</v>
      </c>
      <c r="G2832" t="s">
        <v>796</v>
      </c>
    </row>
    <row r="2833" spans="1:7" hidden="1" x14ac:dyDescent="0.25">
      <c r="A2833" t="s">
        <v>793</v>
      </c>
      <c r="B2833" t="s">
        <v>1607</v>
      </c>
      <c r="F2833" t="s">
        <v>9006</v>
      </c>
      <c r="G2833" t="s">
        <v>796</v>
      </c>
    </row>
    <row r="2834" spans="1:7" hidden="1" x14ac:dyDescent="0.25">
      <c r="A2834" t="s">
        <v>2024</v>
      </c>
      <c r="B2834" t="s">
        <v>796</v>
      </c>
      <c r="F2834" t="s">
        <v>9009</v>
      </c>
      <c r="G2834" t="s">
        <v>796</v>
      </c>
    </row>
    <row r="2835" spans="1:7" hidden="1" x14ac:dyDescent="0.25">
      <c r="A2835" t="s">
        <v>9198</v>
      </c>
      <c r="B2835" t="s">
        <v>9199</v>
      </c>
      <c r="F2835" t="s">
        <v>9012</v>
      </c>
      <c r="G2835" t="s">
        <v>796</v>
      </c>
    </row>
    <row r="2836" spans="1:7" hidden="1" x14ac:dyDescent="0.25">
      <c r="A2836" t="s">
        <v>2024</v>
      </c>
      <c r="B2836" t="s">
        <v>796</v>
      </c>
      <c r="F2836" t="s">
        <v>9015</v>
      </c>
      <c r="G2836" t="s">
        <v>796</v>
      </c>
    </row>
    <row r="2837" spans="1:7" hidden="1" x14ac:dyDescent="0.25">
      <c r="A2837" t="s">
        <v>2024</v>
      </c>
      <c r="B2837" t="s">
        <v>796</v>
      </c>
      <c r="E2837" t="s">
        <v>2936</v>
      </c>
      <c r="F2837" t="s">
        <v>9018</v>
      </c>
      <c r="G2837" t="s">
        <v>796</v>
      </c>
    </row>
    <row r="2838" spans="1:7" hidden="1" x14ac:dyDescent="0.25">
      <c r="A2838" t="s">
        <v>4</v>
      </c>
      <c r="B2838" t="s">
        <v>9</v>
      </c>
      <c r="F2838" t="s">
        <v>9021</v>
      </c>
      <c r="G2838" t="s">
        <v>796</v>
      </c>
    </row>
    <row r="2839" spans="1:7" hidden="1" x14ac:dyDescent="0.25">
      <c r="A2839" t="s">
        <v>4</v>
      </c>
      <c r="B2839" t="s">
        <v>9</v>
      </c>
      <c r="F2839" t="s">
        <v>9024</v>
      </c>
      <c r="G2839" t="s">
        <v>796</v>
      </c>
    </row>
    <row r="2840" spans="1:7" hidden="1" x14ac:dyDescent="0.25">
      <c r="A2840" t="s">
        <v>2004</v>
      </c>
      <c r="B2840" t="s">
        <v>86</v>
      </c>
      <c r="E2840" t="s">
        <v>5479</v>
      </c>
      <c r="F2840" t="s">
        <v>8897</v>
      </c>
      <c r="G2840" t="s">
        <v>1100</v>
      </c>
    </row>
    <row r="2841" spans="1:7" hidden="1" x14ac:dyDescent="0.25">
      <c r="A2841" t="s">
        <v>4</v>
      </c>
      <c r="B2841" t="s">
        <v>9</v>
      </c>
      <c r="F2841" t="s">
        <v>8900</v>
      </c>
      <c r="G2841" t="s">
        <v>1100</v>
      </c>
    </row>
    <row r="2842" spans="1:7" hidden="1" x14ac:dyDescent="0.25">
      <c r="A2842" t="s">
        <v>9200</v>
      </c>
      <c r="B2842" t="s">
        <v>9201</v>
      </c>
      <c r="F2842" t="s">
        <v>8903</v>
      </c>
      <c r="G2842" t="s">
        <v>1100</v>
      </c>
    </row>
    <row r="2843" spans="1:7" hidden="1" x14ac:dyDescent="0.25">
      <c r="A2843" t="s">
        <v>2024</v>
      </c>
      <c r="B2843" t="s">
        <v>1304</v>
      </c>
      <c r="F2843" t="s">
        <v>8906</v>
      </c>
      <c r="G2843" t="s">
        <v>1100</v>
      </c>
    </row>
    <row r="2844" spans="1:7" hidden="1" x14ac:dyDescent="0.25">
      <c r="A2844" t="s">
        <v>9200</v>
      </c>
      <c r="B2844" t="s">
        <v>5137</v>
      </c>
      <c r="F2844" t="s">
        <v>8909</v>
      </c>
      <c r="G2844" t="s">
        <v>1100</v>
      </c>
    </row>
    <row r="2845" spans="1:7" hidden="1" x14ac:dyDescent="0.25">
      <c r="A2845" t="s">
        <v>5476</v>
      </c>
      <c r="B2845" t="s">
        <v>5480</v>
      </c>
      <c r="C2845" t="s">
        <v>9202</v>
      </c>
      <c r="F2845" t="s">
        <v>8912</v>
      </c>
      <c r="G2845" t="s">
        <v>1100</v>
      </c>
    </row>
    <row r="2846" spans="1:7" hidden="1" x14ac:dyDescent="0.25">
      <c r="A2846" t="s">
        <v>4</v>
      </c>
      <c r="B2846" t="s">
        <v>9</v>
      </c>
      <c r="F2846" t="s">
        <v>8915</v>
      </c>
      <c r="G2846" t="s">
        <v>1100</v>
      </c>
    </row>
    <row r="2847" spans="1:7" hidden="1" x14ac:dyDescent="0.25">
      <c r="A2847" t="s">
        <v>5476</v>
      </c>
      <c r="B2847" t="s">
        <v>5480</v>
      </c>
      <c r="C2847" t="s">
        <v>9203</v>
      </c>
      <c r="F2847" t="s">
        <v>8918</v>
      </c>
      <c r="G2847" t="s">
        <v>1100</v>
      </c>
    </row>
    <row r="2848" spans="1:7" hidden="1" x14ac:dyDescent="0.25">
      <c r="A2848" t="s">
        <v>4</v>
      </c>
      <c r="B2848" t="s">
        <v>9204</v>
      </c>
      <c r="F2848" t="s">
        <v>8921</v>
      </c>
      <c r="G2848" t="s">
        <v>1100</v>
      </c>
    </row>
    <row r="2849" spans="1:7" hidden="1" x14ac:dyDescent="0.25">
      <c r="A2849" t="s">
        <v>5476</v>
      </c>
      <c r="B2849" t="s">
        <v>5480</v>
      </c>
      <c r="C2849" t="s">
        <v>9203</v>
      </c>
      <c r="F2849" t="s">
        <v>8924</v>
      </c>
      <c r="G2849" t="s">
        <v>1100</v>
      </c>
    </row>
    <row r="2850" spans="1:7" hidden="1" x14ac:dyDescent="0.25">
      <c r="A2850" t="s">
        <v>5476</v>
      </c>
      <c r="B2850" t="s">
        <v>5480</v>
      </c>
      <c r="C2850" t="s">
        <v>9203</v>
      </c>
      <c r="F2850" t="s">
        <v>8927</v>
      </c>
      <c r="G2850" t="s">
        <v>1100</v>
      </c>
    </row>
    <row r="2851" spans="1:7" hidden="1" x14ac:dyDescent="0.25">
      <c r="A2851" t="s">
        <v>4</v>
      </c>
      <c r="B2851" t="s">
        <v>9</v>
      </c>
      <c r="F2851" t="s">
        <v>8930</v>
      </c>
      <c r="G2851" t="s">
        <v>1100</v>
      </c>
    </row>
    <row r="2852" spans="1:7" hidden="1" x14ac:dyDescent="0.25">
      <c r="A2852" t="s">
        <v>5476</v>
      </c>
      <c r="B2852" t="s">
        <v>5480</v>
      </c>
      <c r="C2852" t="s">
        <v>9203</v>
      </c>
      <c r="F2852" t="s">
        <v>8933</v>
      </c>
      <c r="G2852" t="s">
        <v>1100</v>
      </c>
    </row>
    <row r="2853" spans="1:7" hidden="1" x14ac:dyDescent="0.25">
      <c r="A2853" t="s">
        <v>5476</v>
      </c>
      <c r="B2853" t="s">
        <v>5480</v>
      </c>
      <c r="C2853" t="s">
        <v>9203</v>
      </c>
      <c r="F2853" t="s">
        <v>8936</v>
      </c>
      <c r="G2853" t="s">
        <v>1100</v>
      </c>
    </row>
    <row r="2854" spans="1:7" hidden="1" x14ac:dyDescent="0.25">
      <c r="A2854" t="s">
        <v>4</v>
      </c>
      <c r="B2854" t="s">
        <v>9</v>
      </c>
      <c r="F2854" t="s">
        <v>8939</v>
      </c>
      <c r="G2854" t="s">
        <v>1100</v>
      </c>
    </row>
    <row r="2855" spans="1:7" hidden="1" x14ac:dyDescent="0.25">
      <c r="A2855" t="s">
        <v>4</v>
      </c>
      <c r="B2855" t="s">
        <v>86</v>
      </c>
      <c r="E2855" t="s">
        <v>5479</v>
      </c>
      <c r="F2855" t="s">
        <v>8942</v>
      </c>
      <c r="G2855" t="s">
        <v>1100</v>
      </c>
    </row>
    <row r="2856" spans="1:7" hidden="1" x14ac:dyDescent="0.25">
      <c r="A2856" t="s">
        <v>9205</v>
      </c>
      <c r="B2856" t="s">
        <v>1304</v>
      </c>
      <c r="F2856" t="s">
        <v>8945</v>
      </c>
      <c r="G2856" t="s">
        <v>1100</v>
      </c>
    </row>
    <row r="2857" spans="1:7" hidden="1" x14ac:dyDescent="0.25">
      <c r="A2857" t="s">
        <v>2024</v>
      </c>
      <c r="B2857" t="s">
        <v>1304</v>
      </c>
      <c r="F2857" t="s">
        <v>8948</v>
      </c>
      <c r="G2857" t="s">
        <v>1100</v>
      </c>
    </row>
    <row r="2858" spans="1:7" hidden="1" x14ac:dyDescent="0.25">
      <c r="A2858" t="s">
        <v>2024</v>
      </c>
      <c r="B2858" t="s">
        <v>1304</v>
      </c>
      <c r="F2858" t="s">
        <v>8951</v>
      </c>
      <c r="G2858" t="s">
        <v>1100</v>
      </c>
    </row>
    <row r="2859" spans="1:7" hidden="1" x14ac:dyDescent="0.25">
      <c r="A2859" t="s">
        <v>4</v>
      </c>
      <c r="B2859" t="s">
        <v>9</v>
      </c>
      <c r="F2859" t="s">
        <v>8954</v>
      </c>
      <c r="G2859" t="s">
        <v>1100</v>
      </c>
    </row>
    <row r="2860" spans="1:7" hidden="1" x14ac:dyDescent="0.25">
      <c r="A2860" t="s">
        <v>9200</v>
      </c>
      <c r="B2860" t="s">
        <v>5137</v>
      </c>
      <c r="F2860" t="s">
        <v>8957</v>
      </c>
      <c r="G2860" t="s">
        <v>1100</v>
      </c>
    </row>
    <row r="2861" spans="1:7" hidden="1" x14ac:dyDescent="0.25">
      <c r="A2861" t="s">
        <v>5476</v>
      </c>
      <c r="B2861" t="s">
        <v>5480</v>
      </c>
      <c r="C2861" t="s">
        <v>528</v>
      </c>
      <c r="F2861" t="s">
        <v>8960</v>
      </c>
      <c r="G2861" t="s">
        <v>1100</v>
      </c>
    </row>
    <row r="2862" spans="1:7" hidden="1" x14ac:dyDescent="0.25">
      <c r="A2862" t="s">
        <v>4</v>
      </c>
      <c r="B2862" t="s">
        <v>7709</v>
      </c>
      <c r="F2862" t="s">
        <v>8963</v>
      </c>
      <c r="G2862" t="s">
        <v>1100</v>
      </c>
    </row>
    <row r="2863" spans="1:7" hidden="1" x14ac:dyDescent="0.25">
      <c r="A2863" t="s">
        <v>9206</v>
      </c>
      <c r="B2863" t="s">
        <v>1304</v>
      </c>
      <c r="F2863" t="s">
        <v>8966</v>
      </c>
      <c r="G2863" t="s">
        <v>1100</v>
      </c>
    </row>
    <row r="2864" spans="1:7" hidden="1" x14ac:dyDescent="0.25">
      <c r="A2864" t="s">
        <v>9206</v>
      </c>
      <c r="B2864" t="s">
        <v>1304</v>
      </c>
      <c r="F2864" t="s">
        <v>8969</v>
      </c>
      <c r="G2864" t="s">
        <v>1100</v>
      </c>
    </row>
    <row r="2865" spans="1:7" hidden="1" x14ac:dyDescent="0.25">
      <c r="A2865" t="s">
        <v>4</v>
      </c>
      <c r="B2865" t="s">
        <v>86</v>
      </c>
      <c r="E2865" t="s">
        <v>5479</v>
      </c>
      <c r="F2865" t="s">
        <v>8972</v>
      </c>
      <c r="G2865" t="s">
        <v>1100</v>
      </c>
    </row>
    <row r="2866" spans="1:7" hidden="1" x14ac:dyDescent="0.25">
      <c r="A2866" t="s">
        <v>4</v>
      </c>
      <c r="B2866" t="s">
        <v>8</v>
      </c>
      <c r="F2866" t="s">
        <v>9027</v>
      </c>
      <c r="G2866" s="1" t="s">
        <v>1603</v>
      </c>
    </row>
    <row r="2867" spans="1:7" hidden="1" x14ac:dyDescent="0.25">
      <c r="A2867" t="s">
        <v>289</v>
      </c>
      <c r="B2867" t="s">
        <v>86</v>
      </c>
      <c r="C2867" t="s">
        <v>9190</v>
      </c>
      <c r="F2867" t="s">
        <v>9030</v>
      </c>
      <c r="G2867" s="1" t="s">
        <v>1603</v>
      </c>
    </row>
    <row r="2868" spans="1:7" hidden="1" x14ac:dyDescent="0.25">
      <c r="A2868" t="s">
        <v>4221</v>
      </c>
      <c r="B2868" t="s">
        <v>86</v>
      </c>
      <c r="C2868" t="s">
        <v>9190</v>
      </c>
      <c r="F2868" t="s">
        <v>9033</v>
      </c>
      <c r="G2868" s="1" t="s">
        <v>1603</v>
      </c>
    </row>
    <row r="2869" spans="1:7" hidden="1" x14ac:dyDescent="0.25">
      <c r="A2869" t="s">
        <v>4221</v>
      </c>
      <c r="B2869" t="s">
        <v>9207</v>
      </c>
      <c r="C2869" t="s">
        <v>9190</v>
      </c>
      <c r="F2869" t="s">
        <v>9036</v>
      </c>
      <c r="G2869" s="1" t="s">
        <v>1603</v>
      </c>
    </row>
    <row r="2870" spans="1:7" hidden="1" x14ac:dyDescent="0.25">
      <c r="A2870" t="s">
        <v>4223</v>
      </c>
      <c r="B2870" t="s">
        <v>86</v>
      </c>
      <c r="C2870" t="s">
        <v>60</v>
      </c>
      <c r="E2870" t="s">
        <v>1605</v>
      </c>
      <c r="F2870" t="s">
        <v>9039</v>
      </c>
      <c r="G2870" s="1" t="s">
        <v>1603</v>
      </c>
    </row>
    <row r="2871" spans="1:7" hidden="1" x14ac:dyDescent="0.25">
      <c r="A2871" t="s">
        <v>4223</v>
      </c>
      <c r="B2871" t="s">
        <v>86</v>
      </c>
      <c r="C2871" t="s">
        <v>9202</v>
      </c>
      <c r="F2871" t="s">
        <v>9042</v>
      </c>
      <c r="G2871" s="1" t="s">
        <v>1603</v>
      </c>
    </row>
    <row r="2872" spans="1:7" hidden="1" x14ac:dyDescent="0.25">
      <c r="A2872" t="s">
        <v>4223</v>
      </c>
      <c r="B2872" t="s">
        <v>86</v>
      </c>
      <c r="C2872" t="s">
        <v>9202</v>
      </c>
      <c r="E2872" t="s">
        <v>2936</v>
      </c>
      <c r="F2872" t="s">
        <v>9045</v>
      </c>
      <c r="G2872" s="1" t="s">
        <v>1603</v>
      </c>
    </row>
    <row r="2873" spans="1:7" hidden="1" x14ac:dyDescent="0.25">
      <c r="A2873" t="s">
        <v>4223</v>
      </c>
      <c r="B2873" t="s">
        <v>86</v>
      </c>
      <c r="C2873" t="s">
        <v>9203</v>
      </c>
      <c r="F2873" t="s">
        <v>9048</v>
      </c>
      <c r="G2873" s="1" t="s">
        <v>1603</v>
      </c>
    </row>
    <row r="2874" spans="1:7" hidden="1" x14ac:dyDescent="0.25">
      <c r="A2874" t="s">
        <v>4223</v>
      </c>
      <c r="B2874" t="s">
        <v>86</v>
      </c>
      <c r="C2874" t="s">
        <v>9203</v>
      </c>
      <c r="F2874" t="s">
        <v>9051</v>
      </c>
      <c r="G2874" s="1" t="s">
        <v>1603</v>
      </c>
    </row>
    <row r="2875" spans="1:7" hidden="1" x14ac:dyDescent="0.25">
      <c r="A2875" t="s">
        <v>4223</v>
      </c>
      <c r="B2875" t="s">
        <v>86</v>
      </c>
      <c r="C2875" t="s">
        <v>9203</v>
      </c>
      <c r="F2875" t="s">
        <v>9054</v>
      </c>
      <c r="G2875" s="1" t="s">
        <v>1603</v>
      </c>
    </row>
    <row r="2876" spans="1:7" hidden="1" x14ac:dyDescent="0.25">
      <c r="A2876" t="s">
        <v>4223</v>
      </c>
      <c r="B2876" t="s">
        <v>86</v>
      </c>
      <c r="C2876" t="s">
        <v>9203</v>
      </c>
      <c r="F2876" t="s">
        <v>9057</v>
      </c>
      <c r="G2876" s="1" t="s">
        <v>1603</v>
      </c>
    </row>
    <row r="2877" spans="1:7" hidden="1" x14ac:dyDescent="0.25">
      <c r="A2877" t="s">
        <v>4223</v>
      </c>
      <c r="B2877" t="s">
        <v>86</v>
      </c>
      <c r="C2877" t="s">
        <v>9203</v>
      </c>
      <c r="F2877" t="s">
        <v>9060</v>
      </c>
      <c r="G2877" s="1" t="s">
        <v>1603</v>
      </c>
    </row>
    <row r="2878" spans="1:7" hidden="1" x14ac:dyDescent="0.25">
      <c r="A2878" t="s">
        <v>4223</v>
      </c>
      <c r="B2878" t="s">
        <v>86</v>
      </c>
      <c r="C2878" t="s">
        <v>60</v>
      </c>
      <c r="E2878" t="s">
        <v>1605</v>
      </c>
      <c r="F2878" t="s">
        <v>9063</v>
      </c>
      <c r="G2878" s="1" t="s">
        <v>1603</v>
      </c>
    </row>
    <row r="2879" spans="1:7" hidden="1" x14ac:dyDescent="0.25">
      <c r="A2879" t="s">
        <v>4223</v>
      </c>
      <c r="B2879" t="s">
        <v>86</v>
      </c>
      <c r="C2879" t="s">
        <v>60</v>
      </c>
      <c r="E2879" t="s">
        <v>1605</v>
      </c>
      <c r="F2879" t="s">
        <v>9066</v>
      </c>
      <c r="G2879" s="1" t="s">
        <v>1603</v>
      </c>
    </row>
    <row r="2880" spans="1:7" hidden="1" x14ac:dyDescent="0.25">
      <c r="A2880" t="s">
        <v>4223</v>
      </c>
      <c r="B2880" t="s">
        <v>86</v>
      </c>
      <c r="C2880" t="s">
        <v>9203</v>
      </c>
      <c r="F2880" t="s">
        <v>9069</v>
      </c>
      <c r="G2880" s="1" t="s">
        <v>1603</v>
      </c>
    </row>
    <row r="2881" spans="1:7" hidden="1" x14ac:dyDescent="0.25">
      <c r="A2881" t="s">
        <v>533</v>
      </c>
      <c r="B2881" t="s">
        <v>531</v>
      </c>
      <c r="C2881" t="s">
        <v>58</v>
      </c>
      <c r="F2881" t="s">
        <v>9072</v>
      </c>
      <c r="G2881" s="1" t="s">
        <v>1603</v>
      </c>
    </row>
    <row r="2882" spans="1:7" hidden="1" x14ac:dyDescent="0.25">
      <c r="A2882" t="s">
        <v>533</v>
      </c>
      <c r="B2882" t="s">
        <v>531</v>
      </c>
      <c r="C2882" t="s">
        <v>58</v>
      </c>
      <c r="F2882" t="s">
        <v>9075</v>
      </c>
      <c r="G2882" s="1" t="s">
        <v>1603</v>
      </c>
    </row>
    <row r="2883" spans="1:7" hidden="1" x14ac:dyDescent="0.25">
      <c r="A2883" t="s">
        <v>533</v>
      </c>
      <c r="B2883" t="s">
        <v>531</v>
      </c>
      <c r="C2883" t="s">
        <v>58</v>
      </c>
      <c r="F2883" t="s">
        <v>9078</v>
      </c>
      <c r="G2883" s="1" t="s">
        <v>1603</v>
      </c>
    </row>
    <row r="2884" spans="1:7" hidden="1" x14ac:dyDescent="0.25">
      <c r="A2884" t="s">
        <v>533</v>
      </c>
      <c r="B2884" t="s">
        <v>531</v>
      </c>
      <c r="C2884" t="s">
        <v>58</v>
      </c>
      <c r="F2884" t="s">
        <v>9081</v>
      </c>
      <c r="G2884" s="1" t="s">
        <v>1603</v>
      </c>
    </row>
    <row r="2885" spans="1:7" hidden="1" x14ac:dyDescent="0.25">
      <c r="A2885" t="s">
        <v>533</v>
      </c>
      <c r="B2885" t="s">
        <v>531</v>
      </c>
      <c r="C2885" t="s">
        <v>58</v>
      </c>
      <c r="F2885" t="s">
        <v>9084</v>
      </c>
      <c r="G2885" s="1" t="s">
        <v>1603</v>
      </c>
    </row>
    <row r="2886" spans="1:7" hidden="1" x14ac:dyDescent="0.25">
      <c r="A2886" t="s">
        <v>533</v>
      </c>
      <c r="B2886" t="s">
        <v>531</v>
      </c>
      <c r="C2886" t="s">
        <v>9208</v>
      </c>
      <c r="F2886" t="s">
        <v>9087</v>
      </c>
      <c r="G2886" s="1" t="s">
        <v>1603</v>
      </c>
    </row>
    <row r="2887" spans="1:7" hidden="1" x14ac:dyDescent="0.25">
      <c r="A2887" t="s">
        <v>533</v>
      </c>
      <c r="B2887" t="s">
        <v>531</v>
      </c>
      <c r="C2887" t="s">
        <v>58</v>
      </c>
      <c r="F2887" t="s">
        <v>9090</v>
      </c>
      <c r="G2887" s="1" t="s">
        <v>1603</v>
      </c>
    </row>
    <row r="2888" spans="1:7" hidden="1" x14ac:dyDescent="0.25">
      <c r="A2888" t="s">
        <v>533</v>
      </c>
      <c r="B2888" t="s">
        <v>531</v>
      </c>
      <c r="C2888" t="s">
        <v>9202</v>
      </c>
      <c r="F2888" t="s">
        <v>9093</v>
      </c>
      <c r="G2888" s="1" t="s">
        <v>1603</v>
      </c>
    </row>
    <row r="2889" spans="1:7" hidden="1" x14ac:dyDescent="0.25">
      <c r="A2889" t="s">
        <v>4223</v>
      </c>
      <c r="B2889" t="s">
        <v>86</v>
      </c>
      <c r="C2889" t="s">
        <v>528</v>
      </c>
      <c r="F2889" t="s">
        <v>9096</v>
      </c>
      <c r="G2889" s="1" t="s">
        <v>1603</v>
      </c>
    </row>
    <row r="2890" spans="1:7" hidden="1" x14ac:dyDescent="0.25">
      <c r="A2890" t="s">
        <v>4223</v>
      </c>
      <c r="B2890" t="s">
        <v>86</v>
      </c>
      <c r="C2890" t="s">
        <v>528</v>
      </c>
      <c r="E2890" t="s">
        <v>2936</v>
      </c>
      <c r="F2890" t="s">
        <v>9099</v>
      </c>
      <c r="G2890" s="1" t="s">
        <v>1603</v>
      </c>
    </row>
    <row r="2891" spans="1:7" hidden="1" x14ac:dyDescent="0.25">
      <c r="A2891" t="s">
        <v>533</v>
      </c>
      <c r="B2891" t="s">
        <v>531</v>
      </c>
      <c r="C2891" t="s">
        <v>58</v>
      </c>
      <c r="F2891" t="s">
        <v>9102</v>
      </c>
      <c r="G2891" s="1" t="s">
        <v>1603</v>
      </c>
    </row>
    <row r="2892" spans="1:7" hidden="1" x14ac:dyDescent="0.25">
      <c r="A2892" t="s">
        <v>533</v>
      </c>
      <c r="B2892" t="s">
        <v>531</v>
      </c>
      <c r="C2892" t="s">
        <v>58</v>
      </c>
      <c r="F2892" t="s">
        <v>9105</v>
      </c>
      <c r="G2892" s="1" t="s">
        <v>1603</v>
      </c>
    </row>
    <row r="2893" spans="1:7" hidden="1" x14ac:dyDescent="0.25">
      <c r="A2893" t="s">
        <v>533</v>
      </c>
      <c r="B2893" t="s">
        <v>531</v>
      </c>
      <c r="C2893" t="s">
        <v>9209</v>
      </c>
      <c r="F2893" t="s">
        <v>9108</v>
      </c>
      <c r="G2893" s="1" t="s">
        <v>1603</v>
      </c>
    </row>
    <row r="2894" spans="1:7" hidden="1" x14ac:dyDescent="0.25">
      <c r="A2894" t="s">
        <v>533</v>
      </c>
      <c r="B2894" t="s">
        <v>531</v>
      </c>
      <c r="C2894" t="s">
        <v>9210</v>
      </c>
      <c r="F2894" t="s">
        <v>9111</v>
      </c>
      <c r="G2894" s="1" t="s">
        <v>1603</v>
      </c>
    </row>
    <row r="2895" spans="1:7" hidden="1" x14ac:dyDescent="0.25">
      <c r="A2895" t="s">
        <v>7171</v>
      </c>
      <c r="B2895" t="s">
        <v>5480</v>
      </c>
      <c r="C2895" t="s">
        <v>9190</v>
      </c>
      <c r="F2895" t="s">
        <v>9114</v>
      </c>
      <c r="G2895" t="s">
        <v>1817</v>
      </c>
    </row>
    <row r="2896" spans="1:7" hidden="1" x14ac:dyDescent="0.25">
      <c r="A2896" t="s">
        <v>651</v>
      </c>
      <c r="B2896" t="s">
        <v>5480</v>
      </c>
      <c r="F2896" t="s">
        <v>9117</v>
      </c>
      <c r="G2896" t="s">
        <v>1817</v>
      </c>
    </row>
    <row r="2897" spans="1:7" hidden="1" x14ac:dyDescent="0.25">
      <c r="A2897" t="s">
        <v>651</v>
      </c>
      <c r="B2897" t="s">
        <v>5480</v>
      </c>
      <c r="F2897" t="s">
        <v>9120</v>
      </c>
      <c r="G2897" t="s">
        <v>1817</v>
      </c>
    </row>
    <row r="2898" spans="1:7" hidden="1" x14ac:dyDescent="0.25">
      <c r="A2898" t="s">
        <v>651</v>
      </c>
      <c r="B2898" t="s">
        <v>5480</v>
      </c>
      <c r="F2898" t="s">
        <v>9123</v>
      </c>
      <c r="G2898" t="s">
        <v>1817</v>
      </c>
    </row>
    <row r="2899" spans="1:7" hidden="1" x14ac:dyDescent="0.25">
      <c r="A2899" t="s">
        <v>7171</v>
      </c>
      <c r="B2899" t="s">
        <v>5480</v>
      </c>
      <c r="C2899" t="s">
        <v>9202</v>
      </c>
      <c r="F2899" t="s">
        <v>9126</v>
      </c>
      <c r="G2899" t="s">
        <v>1817</v>
      </c>
    </row>
    <row r="2900" spans="1:7" hidden="1" x14ac:dyDescent="0.25">
      <c r="A2900" t="s">
        <v>4</v>
      </c>
      <c r="B2900" t="s">
        <v>8</v>
      </c>
      <c r="F2900" t="s">
        <v>9129</v>
      </c>
      <c r="G2900" t="s">
        <v>1817</v>
      </c>
    </row>
    <row r="2901" spans="1:7" hidden="1" x14ac:dyDescent="0.25">
      <c r="A2901" t="s">
        <v>651</v>
      </c>
      <c r="B2901" t="s">
        <v>5480</v>
      </c>
      <c r="F2901" t="s">
        <v>9132</v>
      </c>
      <c r="G2901" t="s">
        <v>1817</v>
      </c>
    </row>
    <row r="2902" spans="1:7" hidden="1" x14ac:dyDescent="0.25">
      <c r="A2902" t="s">
        <v>651</v>
      </c>
      <c r="B2902" t="s">
        <v>5480</v>
      </c>
      <c r="F2902" t="s">
        <v>9135</v>
      </c>
      <c r="G2902" t="s">
        <v>1817</v>
      </c>
    </row>
    <row r="2903" spans="1:7" hidden="1" x14ac:dyDescent="0.25">
      <c r="A2903" t="s">
        <v>651</v>
      </c>
      <c r="B2903" t="s">
        <v>5480</v>
      </c>
      <c r="F2903" t="s">
        <v>9138</v>
      </c>
      <c r="G2903" t="s">
        <v>1817</v>
      </c>
    </row>
    <row r="2904" spans="1:7" hidden="1" x14ac:dyDescent="0.25">
      <c r="A2904" t="s">
        <v>651</v>
      </c>
      <c r="B2904" t="s">
        <v>5480</v>
      </c>
      <c r="F2904" t="s">
        <v>9141</v>
      </c>
      <c r="G2904" t="s">
        <v>1817</v>
      </c>
    </row>
    <row r="2905" spans="1:7" hidden="1" x14ac:dyDescent="0.25">
      <c r="A2905" t="s">
        <v>4</v>
      </c>
      <c r="B2905" t="s">
        <v>8</v>
      </c>
      <c r="F2905" t="s">
        <v>9144</v>
      </c>
      <c r="G2905" t="s">
        <v>1817</v>
      </c>
    </row>
    <row r="2906" spans="1:7" hidden="1" x14ac:dyDescent="0.25">
      <c r="A2906" t="s">
        <v>4</v>
      </c>
      <c r="B2906" t="s">
        <v>5480</v>
      </c>
      <c r="C2906" t="s">
        <v>9190</v>
      </c>
      <c r="F2906" t="s">
        <v>9147</v>
      </c>
      <c r="G2906" t="s">
        <v>1934</v>
      </c>
    </row>
    <row r="2907" spans="1:7" hidden="1" x14ac:dyDescent="0.25">
      <c r="A2907" t="s">
        <v>4</v>
      </c>
      <c r="B2907" t="s">
        <v>8</v>
      </c>
      <c r="F2907" t="s">
        <v>9150</v>
      </c>
      <c r="G2907" t="s">
        <v>1934</v>
      </c>
    </row>
    <row r="2908" spans="1:7" hidden="1" x14ac:dyDescent="0.25">
      <c r="A2908" t="s">
        <v>4</v>
      </c>
      <c r="B2908" t="s">
        <v>12</v>
      </c>
      <c r="F2908" t="s">
        <v>9153</v>
      </c>
      <c r="G2908" t="s">
        <v>1934</v>
      </c>
    </row>
    <row r="2909" spans="1:7" hidden="1" x14ac:dyDescent="0.25">
      <c r="A2909" t="s">
        <v>4</v>
      </c>
      <c r="B2909" t="s">
        <v>9211</v>
      </c>
      <c r="F2909" t="s">
        <v>9156</v>
      </c>
      <c r="G2909" t="s">
        <v>1934</v>
      </c>
    </row>
    <row r="2910" spans="1:7" hidden="1" x14ac:dyDescent="0.25">
      <c r="A2910" t="s">
        <v>4</v>
      </c>
      <c r="B2910" t="s">
        <v>8</v>
      </c>
      <c r="F2910" t="s">
        <v>9159</v>
      </c>
      <c r="G2910" t="s">
        <v>1934</v>
      </c>
    </row>
    <row r="2911" spans="1:7" hidden="1" x14ac:dyDescent="0.25">
      <c r="A2911" t="s">
        <v>4</v>
      </c>
      <c r="B2911" t="s">
        <v>12</v>
      </c>
      <c r="F2911" t="s">
        <v>9162</v>
      </c>
      <c r="G2911" t="s">
        <v>1934</v>
      </c>
    </row>
    <row r="2912" spans="1:7" hidden="1" x14ac:dyDescent="0.25">
      <c r="A2912" t="s">
        <v>4</v>
      </c>
      <c r="B2912" t="s">
        <v>12</v>
      </c>
      <c r="F2912" t="s">
        <v>9165</v>
      </c>
      <c r="G2912" t="s">
        <v>1934</v>
      </c>
    </row>
    <row r="2913" spans="1:7" x14ac:dyDescent="0.25">
      <c r="A2913" t="s">
        <v>4</v>
      </c>
      <c r="B2913" t="s">
        <v>8045</v>
      </c>
      <c r="F2913" t="s">
        <v>9168</v>
      </c>
      <c r="G2913" t="s">
        <v>1997</v>
      </c>
    </row>
    <row r="2914" spans="1:7" x14ac:dyDescent="0.25">
      <c r="A2914" t="s">
        <v>7171</v>
      </c>
      <c r="B2914" t="s">
        <v>5480</v>
      </c>
      <c r="C2914" t="s">
        <v>9202</v>
      </c>
      <c r="F2914" t="s">
        <v>9171</v>
      </c>
      <c r="G2914" t="s">
        <v>1997</v>
      </c>
    </row>
    <row r="2915" spans="1:7" x14ac:dyDescent="0.25">
      <c r="A2915" t="s">
        <v>4</v>
      </c>
      <c r="B2915" t="s">
        <v>8</v>
      </c>
      <c r="F2915" t="s">
        <v>9174</v>
      </c>
      <c r="G2915" t="s">
        <v>1997</v>
      </c>
    </row>
    <row r="2916" spans="1:7" x14ac:dyDescent="0.25">
      <c r="A2916" t="s">
        <v>4</v>
      </c>
      <c r="B2916" t="s">
        <v>9212</v>
      </c>
      <c r="F2916" t="s">
        <v>9177</v>
      </c>
      <c r="G2916" t="s">
        <v>1997</v>
      </c>
    </row>
    <row r="2917" spans="1:7" x14ac:dyDescent="0.25">
      <c r="A2917" t="s">
        <v>4</v>
      </c>
      <c r="B2917" t="s">
        <v>9212</v>
      </c>
      <c r="F2917" t="s">
        <v>9180</v>
      </c>
      <c r="G2917" t="s">
        <v>1997</v>
      </c>
    </row>
    <row r="2918" spans="1:7" x14ac:dyDescent="0.25">
      <c r="A2918" t="s">
        <v>4</v>
      </c>
      <c r="B2918" t="s">
        <v>8</v>
      </c>
      <c r="F2918" t="s">
        <v>9183</v>
      </c>
      <c r="G2918" t="s">
        <v>1997</v>
      </c>
    </row>
    <row r="2919" spans="1:7" hidden="1" x14ac:dyDescent="0.25">
      <c r="A2919" t="s">
        <v>91</v>
      </c>
      <c r="B2919" t="s">
        <v>4193</v>
      </c>
      <c r="C2919" t="s">
        <v>5076</v>
      </c>
      <c r="F2919" t="s">
        <v>9243</v>
      </c>
      <c r="G2919" t="s">
        <v>1102</v>
      </c>
    </row>
    <row r="2920" spans="1:7" hidden="1" x14ac:dyDescent="0.25">
      <c r="A2920" t="s">
        <v>62</v>
      </c>
      <c r="B2920" t="s">
        <v>4193</v>
      </c>
      <c r="C2920" t="s">
        <v>5076</v>
      </c>
      <c r="F2920" t="s">
        <v>9246</v>
      </c>
      <c r="G2920" t="s">
        <v>1102</v>
      </c>
    </row>
    <row r="2921" spans="1:7" hidden="1" x14ac:dyDescent="0.25">
      <c r="A2921" t="s">
        <v>2004</v>
      </c>
      <c r="F2921" t="s">
        <v>9249</v>
      </c>
      <c r="G2921" t="s">
        <v>1102</v>
      </c>
    </row>
    <row r="2922" spans="1:7" hidden="1" x14ac:dyDescent="0.25">
      <c r="A2922" t="s">
        <v>62</v>
      </c>
      <c r="B2922" t="s">
        <v>8352</v>
      </c>
      <c r="C2922" t="s">
        <v>2944</v>
      </c>
      <c r="E2922" t="s">
        <v>9336</v>
      </c>
      <c r="F2922" t="s">
        <v>9252</v>
      </c>
      <c r="G2922" t="s">
        <v>1102</v>
      </c>
    </row>
    <row r="2923" spans="1:7" hidden="1" x14ac:dyDescent="0.25">
      <c r="A2923" t="s">
        <v>1606</v>
      </c>
      <c r="B2923" t="s">
        <v>4193</v>
      </c>
      <c r="F2923" t="s">
        <v>9213</v>
      </c>
      <c r="G2923" t="s">
        <v>1103</v>
      </c>
    </row>
    <row r="2924" spans="1:7" hidden="1" x14ac:dyDescent="0.25">
      <c r="A2924" t="s">
        <v>9337</v>
      </c>
      <c r="B2924" t="s">
        <v>4193</v>
      </c>
      <c r="F2924" t="s">
        <v>9216</v>
      </c>
      <c r="G2924" t="s">
        <v>1103</v>
      </c>
    </row>
    <row r="2925" spans="1:7" hidden="1" x14ac:dyDescent="0.25">
      <c r="A2925" t="s">
        <v>9337</v>
      </c>
      <c r="B2925" t="s">
        <v>4193</v>
      </c>
      <c r="E2925" t="s">
        <v>9338</v>
      </c>
      <c r="F2925" t="s">
        <v>9219</v>
      </c>
      <c r="G2925" t="s">
        <v>1103</v>
      </c>
    </row>
    <row r="2926" spans="1:7" hidden="1" x14ac:dyDescent="0.25">
      <c r="A2926" t="s">
        <v>9337</v>
      </c>
      <c r="B2926" t="s">
        <v>4193</v>
      </c>
      <c r="C2926" t="s">
        <v>9339</v>
      </c>
      <c r="E2926" t="s">
        <v>9340</v>
      </c>
      <c r="F2926" t="s">
        <v>9222</v>
      </c>
      <c r="G2926" t="s">
        <v>1103</v>
      </c>
    </row>
    <row r="2927" spans="1:7" hidden="1" x14ac:dyDescent="0.25">
      <c r="A2927" t="s">
        <v>650</v>
      </c>
      <c r="B2927" t="s">
        <v>4193</v>
      </c>
      <c r="F2927" t="s">
        <v>9225</v>
      </c>
      <c r="G2927" t="s">
        <v>1103</v>
      </c>
    </row>
    <row r="2928" spans="1:7" hidden="1" x14ac:dyDescent="0.25">
      <c r="A2928" t="s">
        <v>2004</v>
      </c>
      <c r="B2928" t="s">
        <v>8</v>
      </c>
      <c r="F2928" t="s">
        <v>9228</v>
      </c>
      <c r="G2928" t="s">
        <v>1103</v>
      </c>
    </row>
    <row r="2929" spans="1:7" hidden="1" x14ac:dyDescent="0.25">
      <c r="A2929" t="s">
        <v>533</v>
      </c>
      <c r="B2929" t="s">
        <v>531</v>
      </c>
      <c r="C2929" t="s">
        <v>2929</v>
      </c>
      <c r="F2929" t="s">
        <v>9231</v>
      </c>
      <c r="G2929" t="s">
        <v>1103</v>
      </c>
    </row>
    <row r="2930" spans="1:7" hidden="1" x14ac:dyDescent="0.25">
      <c r="A2930" t="s">
        <v>533</v>
      </c>
      <c r="B2930" t="s">
        <v>531</v>
      </c>
      <c r="C2930" t="s">
        <v>2929</v>
      </c>
      <c r="E2930" t="s">
        <v>2936</v>
      </c>
      <c r="F2930" t="s">
        <v>9234</v>
      </c>
      <c r="G2930" t="s">
        <v>1103</v>
      </c>
    </row>
    <row r="2931" spans="1:7" hidden="1" x14ac:dyDescent="0.25">
      <c r="A2931" t="s">
        <v>9341</v>
      </c>
      <c r="B2931" t="s">
        <v>9342</v>
      </c>
      <c r="E2931" t="s">
        <v>6531</v>
      </c>
      <c r="F2931" t="s">
        <v>9237</v>
      </c>
      <c r="G2931" t="s">
        <v>1103</v>
      </c>
    </row>
    <row r="2932" spans="1:7" hidden="1" x14ac:dyDescent="0.25">
      <c r="A2932" t="s">
        <v>4</v>
      </c>
      <c r="B2932" t="s">
        <v>8803</v>
      </c>
      <c r="F2932" t="s">
        <v>9240</v>
      </c>
      <c r="G2932" t="s">
        <v>91</v>
      </c>
    </row>
    <row r="2933" spans="1:7" hidden="1" x14ac:dyDescent="0.25">
      <c r="A2933" t="s">
        <v>4</v>
      </c>
      <c r="B2933" t="s">
        <v>8803</v>
      </c>
      <c r="F2933" t="s">
        <v>9343</v>
      </c>
      <c r="G2933" t="s">
        <v>91</v>
      </c>
    </row>
    <row r="2934" spans="1:7" hidden="1" x14ac:dyDescent="0.25">
      <c r="A2934" t="s">
        <v>4</v>
      </c>
      <c r="B2934" t="s">
        <v>8803</v>
      </c>
      <c r="F2934" t="s">
        <v>9346</v>
      </c>
      <c r="G2934" t="s">
        <v>91</v>
      </c>
    </row>
    <row r="2935" spans="1:7" hidden="1" x14ac:dyDescent="0.25">
      <c r="A2935" t="s">
        <v>4</v>
      </c>
      <c r="B2935" t="s">
        <v>8803</v>
      </c>
      <c r="F2935" t="s">
        <v>9349</v>
      </c>
      <c r="G2935" t="s">
        <v>91</v>
      </c>
    </row>
    <row r="2936" spans="1:7" hidden="1" x14ac:dyDescent="0.25">
      <c r="A2936" t="s">
        <v>4</v>
      </c>
      <c r="B2936" t="s">
        <v>8803</v>
      </c>
      <c r="F2936" t="s">
        <v>9255</v>
      </c>
      <c r="G2936" t="s">
        <v>1104</v>
      </c>
    </row>
    <row r="2937" spans="1:7" hidden="1" x14ac:dyDescent="0.25">
      <c r="A2937" t="s">
        <v>4</v>
      </c>
      <c r="B2937" t="s">
        <v>8803</v>
      </c>
      <c r="F2937" t="s">
        <v>9352</v>
      </c>
      <c r="G2937" t="s">
        <v>1104</v>
      </c>
    </row>
    <row r="2938" spans="1:7" hidden="1" x14ac:dyDescent="0.25">
      <c r="A2938" t="s">
        <v>4</v>
      </c>
      <c r="B2938" t="s">
        <v>9367</v>
      </c>
      <c r="F2938" t="s">
        <v>9355</v>
      </c>
      <c r="G2938" t="s">
        <v>1104</v>
      </c>
    </row>
    <row r="2939" spans="1:7" hidden="1" x14ac:dyDescent="0.25">
      <c r="A2939" t="s">
        <v>158</v>
      </c>
      <c r="B2939" t="s">
        <v>5480</v>
      </c>
      <c r="C2939" t="s">
        <v>528</v>
      </c>
      <c r="F2939" t="s">
        <v>9358</v>
      </c>
      <c r="G2939" t="s">
        <v>1104</v>
      </c>
    </row>
    <row r="2940" spans="1:7" hidden="1" x14ac:dyDescent="0.25">
      <c r="A2940" t="s">
        <v>158</v>
      </c>
      <c r="B2940" t="s">
        <v>5480</v>
      </c>
      <c r="C2940" t="s">
        <v>528</v>
      </c>
      <c r="E2940" t="s">
        <v>2936</v>
      </c>
      <c r="F2940" t="s">
        <v>9361</v>
      </c>
      <c r="G2940" t="s">
        <v>1104</v>
      </c>
    </row>
    <row r="2941" spans="1:7" hidden="1" x14ac:dyDescent="0.25">
      <c r="A2941" t="s">
        <v>4</v>
      </c>
      <c r="B2941" t="s">
        <v>9368</v>
      </c>
      <c r="F2941" t="s">
        <v>9364</v>
      </c>
      <c r="G2941" t="s">
        <v>1104</v>
      </c>
    </row>
    <row r="2942" spans="1:7" hidden="1" x14ac:dyDescent="0.25">
      <c r="A2942" t="s">
        <v>4</v>
      </c>
      <c r="B2942" t="s">
        <v>8045</v>
      </c>
      <c r="F2942" t="s">
        <v>9258</v>
      </c>
      <c r="G2942" t="s">
        <v>1105</v>
      </c>
    </row>
    <row r="2943" spans="1:7" hidden="1" x14ac:dyDescent="0.25">
      <c r="A2943" t="s">
        <v>4</v>
      </c>
      <c r="B2943" t="s">
        <v>8045</v>
      </c>
      <c r="E2943" t="s">
        <v>2936</v>
      </c>
      <c r="F2943" t="s">
        <v>9261</v>
      </c>
      <c r="G2943" t="s">
        <v>1105</v>
      </c>
    </row>
    <row r="2944" spans="1:7" hidden="1" x14ac:dyDescent="0.25">
      <c r="A2944" t="s">
        <v>4</v>
      </c>
      <c r="B2944" t="s">
        <v>8045</v>
      </c>
      <c r="E2944" t="s">
        <v>2936</v>
      </c>
      <c r="F2944" t="s">
        <v>9264</v>
      </c>
      <c r="G2944" t="s">
        <v>1105</v>
      </c>
    </row>
    <row r="2945" spans="1:7" hidden="1" x14ac:dyDescent="0.25">
      <c r="A2945" t="s">
        <v>1094</v>
      </c>
      <c r="B2945" t="s">
        <v>4247</v>
      </c>
      <c r="C2945" t="s">
        <v>60</v>
      </c>
      <c r="F2945" t="s">
        <v>9369</v>
      </c>
      <c r="G2945" t="s">
        <v>1105</v>
      </c>
    </row>
    <row r="2946" spans="1:7" hidden="1" x14ac:dyDescent="0.25">
      <c r="A2946" t="s">
        <v>4</v>
      </c>
      <c r="B2946" t="s">
        <v>8045</v>
      </c>
      <c r="F2946" t="s">
        <v>9372</v>
      </c>
      <c r="G2946" t="s">
        <v>1105</v>
      </c>
    </row>
    <row r="2947" spans="1:7" hidden="1" x14ac:dyDescent="0.25">
      <c r="A2947" t="s">
        <v>4</v>
      </c>
      <c r="B2947" t="s">
        <v>8045</v>
      </c>
      <c r="F2947" t="s">
        <v>9375</v>
      </c>
      <c r="G2947" t="s">
        <v>1105</v>
      </c>
    </row>
    <row r="2948" spans="1:7" hidden="1" x14ac:dyDescent="0.25">
      <c r="A2948" t="s">
        <v>4</v>
      </c>
      <c r="B2948" t="s">
        <v>8045</v>
      </c>
      <c r="F2948" t="s">
        <v>9378</v>
      </c>
      <c r="G2948" t="s">
        <v>1105</v>
      </c>
    </row>
    <row r="2949" spans="1:7" hidden="1" x14ac:dyDescent="0.25">
      <c r="A2949" t="s">
        <v>4</v>
      </c>
      <c r="B2949" t="s">
        <v>8045</v>
      </c>
      <c r="F2949" t="s">
        <v>9381</v>
      </c>
      <c r="G2949" t="s">
        <v>1105</v>
      </c>
    </row>
    <row r="2950" spans="1:7" hidden="1" x14ac:dyDescent="0.25">
      <c r="A2950" t="s">
        <v>4</v>
      </c>
      <c r="B2950" t="s">
        <v>8</v>
      </c>
      <c r="F2950" t="s">
        <v>9384</v>
      </c>
      <c r="G2950" t="s">
        <v>1105</v>
      </c>
    </row>
    <row r="2951" spans="1:7" hidden="1" x14ac:dyDescent="0.25">
      <c r="A2951" t="s">
        <v>2004</v>
      </c>
      <c r="B2951" t="s">
        <v>8</v>
      </c>
      <c r="F2951" t="s">
        <v>9267</v>
      </c>
      <c r="G2951" t="s">
        <v>1106</v>
      </c>
    </row>
    <row r="2952" spans="1:7" hidden="1" x14ac:dyDescent="0.25">
      <c r="A2952" t="s">
        <v>2004</v>
      </c>
      <c r="B2952" t="s">
        <v>8</v>
      </c>
      <c r="F2952" t="s">
        <v>9387</v>
      </c>
      <c r="G2952" t="s">
        <v>1106</v>
      </c>
    </row>
    <row r="2953" spans="1:7" hidden="1" x14ac:dyDescent="0.25">
      <c r="A2953" t="s">
        <v>9399</v>
      </c>
      <c r="B2953" t="s">
        <v>60</v>
      </c>
      <c r="F2953" t="s">
        <v>9390</v>
      </c>
      <c r="G2953" t="s">
        <v>1106</v>
      </c>
    </row>
    <row r="2954" spans="1:7" hidden="1" x14ac:dyDescent="0.25">
      <c r="A2954" t="s">
        <v>1094</v>
      </c>
      <c r="B2954" t="s">
        <v>4247</v>
      </c>
      <c r="C2954" t="s">
        <v>60</v>
      </c>
      <c r="F2954" t="s">
        <v>9393</v>
      </c>
      <c r="G2954" t="s">
        <v>1106</v>
      </c>
    </row>
    <row r="2955" spans="1:7" hidden="1" x14ac:dyDescent="0.25">
      <c r="A2955" t="s">
        <v>4</v>
      </c>
      <c r="B2955" t="s">
        <v>8</v>
      </c>
      <c r="F2955" t="s">
        <v>9396</v>
      </c>
      <c r="G2955" t="s">
        <v>1106</v>
      </c>
    </row>
    <row r="2956" spans="1:7" hidden="1" x14ac:dyDescent="0.25">
      <c r="A2956" t="s">
        <v>2004</v>
      </c>
      <c r="B2956" t="s">
        <v>8</v>
      </c>
      <c r="F2956" t="s">
        <v>9400</v>
      </c>
      <c r="G2956" t="s">
        <v>1107</v>
      </c>
    </row>
    <row r="2957" spans="1:7" hidden="1" x14ac:dyDescent="0.25">
      <c r="A2957" t="s">
        <v>2004</v>
      </c>
      <c r="B2957" t="s">
        <v>8</v>
      </c>
      <c r="F2957" t="s">
        <v>9403</v>
      </c>
      <c r="G2957" t="s">
        <v>1107</v>
      </c>
    </row>
    <row r="2958" spans="1:7" hidden="1" x14ac:dyDescent="0.25">
      <c r="A2958" t="s">
        <v>2004</v>
      </c>
      <c r="B2958" t="s">
        <v>8</v>
      </c>
      <c r="F2958" t="s">
        <v>9406</v>
      </c>
      <c r="G2958" t="s">
        <v>1107</v>
      </c>
    </row>
    <row r="2959" spans="1:7" hidden="1" x14ac:dyDescent="0.25">
      <c r="A2959" t="s">
        <v>4</v>
      </c>
      <c r="B2959" t="s">
        <v>9</v>
      </c>
      <c r="F2959" t="s">
        <v>9270</v>
      </c>
      <c r="G2959" t="s">
        <v>796</v>
      </c>
    </row>
    <row r="2960" spans="1:7" hidden="1" x14ac:dyDescent="0.25">
      <c r="A2960" t="s">
        <v>4</v>
      </c>
      <c r="B2960" t="s">
        <v>9</v>
      </c>
      <c r="E2960" t="s">
        <v>2936</v>
      </c>
      <c r="F2960" t="s">
        <v>9273</v>
      </c>
      <c r="G2960" t="s">
        <v>796</v>
      </c>
    </row>
    <row r="2961" spans="1:7" hidden="1" x14ac:dyDescent="0.25">
      <c r="A2961" t="s">
        <v>9409</v>
      </c>
      <c r="B2961" t="s">
        <v>1607</v>
      </c>
      <c r="F2961" t="s">
        <v>9276</v>
      </c>
      <c r="G2961" t="s">
        <v>796</v>
      </c>
    </row>
    <row r="2962" spans="1:7" hidden="1" x14ac:dyDescent="0.25">
      <c r="A2962" t="s">
        <v>9409</v>
      </c>
      <c r="B2962" t="s">
        <v>1607</v>
      </c>
      <c r="E2962" t="s">
        <v>2936</v>
      </c>
      <c r="F2962" t="s">
        <v>9279</v>
      </c>
      <c r="G2962" t="s">
        <v>796</v>
      </c>
    </row>
    <row r="2963" spans="1:7" hidden="1" x14ac:dyDescent="0.25">
      <c r="A2963" t="s">
        <v>9409</v>
      </c>
      <c r="B2963" t="s">
        <v>1607</v>
      </c>
      <c r="E2963" t="s">
        <v>2936</v>
      </c>
      <c r="F2963" t="s">
        <v>9282</v>
      </c>
      <c r="G2963" t="s">
        <v>796</v>
      </c>
    </row>
    <row r="2964" spans="1:7" hidden="1" x14ac:dyDescent="0.25">
      <c r="A2964" t="s">
        <v>2024</v>
      </c>
      <c r="B2964" t="s">
        <v>796</v>
      </c>
      <c r="F2964" t="s">
        <v>9285</v>
      </c>
      <c r="G2964" t="s">
        <v>796</v>
      </c>
    </row>
    <row r="2965" spans="1:7" hidden="1" x14ac:dyDescent="0.25">
      <c r="A2965" t="s">
        <v>4</v>
      </c>
      <c r="B2965" t="s">
        <v>9</v>
      </c>
      <c r="F2965" t="s">
        <v>9410</v>
      </c>
      <c r="G2965" t="s">
        <v>796</v>
      </c>
    </row>
    <row r="2966" spans="1:7" hidden="1" x14ac:dyDescent="0.25">
      <c r="A2966" t="s">
        <v>2024</v>
      </c>
      <c r="B2966" t="s">
        <v>796</v>
      </c>
      <c r="F2966" t="s">
        <v>9413</v>
      </c>
      <c r="G2966" t="s">
        <v>796</v>
      </c>
    </row>
    <row r="2967" spans="1:7" hidden="1" x14ac:dyDescent="0.25">
      <c r="A2967" t="s">
        <v>2024</v>
      </c>
      <c r="B2967" t="s">
        <v>796</v>
      </c>
      <c r="F2967" t="s">
        <v>9416</v>
      </c>
      <c r="G2967" t="s">
        <v>796</v>
      </c>
    </row>
    <row r="2968" spans="1:7" hidden="1" x14ac:dyDescent="0.25">
      <c r="A2968" t="s">
        <v>9409</v>
      </c>
      <c r="B2968" t="s">
        <v>1607</v>
      </c>
      <c r="F2968" t="s">
        <v>9419</v>
      </c>
      <c r="G2968" t="s">
        <v>796</v>
      </c>
    </row>
    <row r="2969" spans="1:7" hidden="1" x14ac:dyDescent="0.25">
      <c r="A2969" t="s">
        <v>2024</v>
      </c>
      <c r="B2969" t="s">
        <v>796</v>
      </c>
      <c r="F2969" t="s">
        <v>9422</v>
      </c>
      <c r="G2969" t="s">
        <v>796</v>
      </c>
    </row>
    <row r="2970" spans="1:7" hidden="1" x14ac:dyDescent="0.25">
      <c r="A2970" t="s">
        <v>2024</v>
      </c>
      <c r="B2970" t="s">
        <v>796</v>
      </c>
      <c r="F2970" t="s">
        <v>9425</v>
      </c>
      <c r="G2970" t="s">
        <v>796</v>
      </c>
    </row>
    <row r="2971" spans="1:7" hidden="1" x14ac:dyDescent="0.25">
      <c r="A2971" t="s">
        <v>9409</v>
      </c>
      <c r="B2971" t="s">
        <v>1607</v>
      </c>
      <c r="F2971" t="s">
        <v>9428</v>
      </c>
      <c r="G2971" t="s">
        <v>796</v>
      </c>
    </row>
    <row r="2972" spans="1:7" hidden="1" x14ac:dyDescent="0.25">
      <c r="A2972" t="s">
        <v>2024</v>
      </c>
      <c r="B2972" t="s">
        <v>796</v>
      </c>
      <c r="F2972" t="s">
        <v>9431</v>
      </c>
      <c r="G2972" t="s">
        <v>796</v>
      </c>
    </row>
    <row r="2973" spans="1:7" hidden="1" x14ac:dyDescent="0.25">
      <c r="A2973" t="s">
        <v>2024</v>
      </c>
      <c r="B2973" t="s">
        <v>796</v>
      </c>
      <c r="F2973" t="s">
        <v>9434</v>
      </c>
      <c r="G2973" t="s">
        <v>796</v>
      </c>
    </row>
    <row r="2974" spans="1:7" hidden="1" x14ac:dyDescent="0.25">
      <c r="A2974" t="s">
        <v>9455</v>
      </c>
      <c r="B2974" t="s">
        <v>531</v>
      </c>
      <c r="F2974" t="s">
        <v>9437</v>
      </c>
      <c r="G2974" t="s">
        <v>796</v>
      </c>
    </row>
    <row r="2975" spans="1:7" hidden="1" x14ac:dyDescent="0.25">
      <c r="A2975" t="s">
        <v>9409</v>
      </c>
      <c r="B2975" t="s">
        <v>1607</v>
      </c>
      <c r="F2975" t="s">
        <v>9440</v>
      </c>
      <c r="G2975" t="s">
        <v>796</v>
      </c>
    </row>
    <row r="2976" spans="1:7" hidden="1" x14ac:dyDescent="0.25">
      <c r="A2976" t="s">
        <v>9409</v>
      </c>
      <c r="B2976" t="s">
        <v>1607</v>
      </c>
      <c r="F2976" t="s">
        <v>9443</v>
      </c>
      <c r="G2976" t="s">
        <v>796</v>
      </c>
    </row>
    <row r="2977" spans="1:7" hidden="1" x14ac:dyDescent="0.25">
      <c r="A2977" t="s">
        <v>9409</v>
      </c>
      <c r="B2977" t="s">
        <v>1607</v>
      </c>
      <c r="F2977" t="s">
        <v>9446</v>
      </c>
      <c r="G2977" t="s">
        <v>796</v>
      </c>
    </row>
    <row r="2978" spans="1:7" hidden="1" x14ac:dyDescent="0.25">
      <c r="A2978" t="s">
        <v>2024</v>
      </c>
      <c r="B2978" t="s">
        <v>796</v>
      </c>
      <c r="F2978" t="s">
        <v>9449</v>
      </c>
      <c r="G2978" t="s">
        <v>796</v>
      </c>
    </row>
    <row r="2979" spans="1:7" hidden="1" x14ac:dyDescent="0.25">
      <c r="A2979" t="s">
        <v>9409</v>
      </c>
      <c r="B2979" t="s">
        <v>1607</v>
      </c>
      <c r="F2979" t="s">
        <v>9452</v>
      </c>
      <c r="G2979" t="s">
        <v>796</v>
      </c>
    </row>
    <row r="2980" spans="1:7" hidden="1" x14ac:dyDescent="0.25">
      <c r="A2980" t="s">
        <v>9456</v>
      </c>
      <c r="B2980" t="s">
        <v>1304</v>
      </c>
      <c r="F2980" t="s">
        <v>9288</v>
      </c>
      <c r="G2980" t="s">
        <v>1100</v>
      </c>
    </row>
    <row r="2981" spans="1:7" hidden="1" x14ac:dyDescent="0.25">
      <c r="A2981" t="s">
        <v>9456</v>
      </c>
      <c r="B2981" t="s">
        <v>1304</v>
      </c>
      <c r="F2981" t="s">
        <v>9291</v>
      </c>
      <c r="G2981" t="s">
        <v>1100</v>
      </c>
    </row>
    <row r="2982" spans="1:7" hidden="1" x14ac:dyDescent="0.25">
      <c r="A2982" t="s">
        <v>9456</v>
      </c>
      <c r="B2982" t="s">
        <v>9457</v>
      </c>
      <c r="F2982" t="s">
        <v>9294</v>
      </c>
      <c r="G2982" t="s">
        <v>1100</v>
      </c>
    </row>
    <row r="2983" spans="1:7" hidden="1" x14ac:dyDescent="0.25">
      <c r="A2983" t="s">
        <v>4</v>
      </c>
      <c r="B2983" t="s">
        <v>7709</v>
      </c>
      <c r="F2983" t="s">
        <v>9297</v>
      </c>
      <c r="G2983" t="s">
        <v>1100</v>
      </c>
    </row>
    <row r="2984" spans="1:7" hidden="1" x14ac:dyDescent="0.25">
      <c r="A2984" t="s">
        <v>9456</v>
      </c>
      <c r="B2984" t="s">
        <v>1304</v>
      </c>
      <c r="F2984" t="s">
        <v>9458</v>
      </c>
      <c r="G2984" t="s">
        <v>1100</v>
      </c>
    </row>
    <row r="2985" spans="1:7" hidden="1" x14ac:dyDescent="0.25">
      <c r="A2985" t="s">
        <v>9456</v>
      </c>
      <c r="B2985" t="s">
        <v>1304</v>
      </c>
      <c r="F2985" t="s">
        <v>9461</v>
      </c>
      <c r="G2985" t="s">
        <v>1100</v>
      </c>
    </row>
    <row r="2986" spans="1:7" hidden="1" x14ac:dyDescent="0.25">
      <c r="A2986" t="s">
        <v>9456</v>
      </c>
      <c r="B2986" t="s">
        <v>1304</v>
      </c>
      <c r="F2986" t="s">
        <v>9464</v>
      </c>
      <c r="G2986" t="s">
        <v>1100</v>
      </c>
    </row>
    <row r="2987" spans="1:7" hidden="1" x14ac:dyDescent="0.25">
      <c r="A2987" t="s">
        <v>9456</v>
      </c>
      <c r="B2987" t="s">
        <v>1304</v>
      </c>
      <c r="F2987" t="s">
        <v>9467</v>
      </c>
      <c r="G2987" t="s">
        <v>1100</v>
      </c>
    </row>
    <row r="2988" spans="1:7" hidden="1" x14ac:dyDescent="0.25">
      <c r="A2988" t="s">
        <v>9456</v>
      </c>
      <c r="B2988" t="s">
        <v>1304</v>
      </c>
      <c r="F2988" t="s">
        <v>9470</v>
      </c>
      <c r="G2988" t="s">
        <v>1100</v>
      </c>
    </row>
    <row r="2989" spans="1:7" hidden="1" x14ac:dyDescent="0.25">
      <c r="A2989" t="s">
        <v>9456</v>
      </c>
      <c r="B2989" t="s">
        <v>1304</v>
      </c>
      <c r="F2989" t="s">
        <v>9473</v>
      </c>
      <c r="G2989" t="s">
        <v>1100</v>
      </c>
    </row>
    <row r="2990" spans="1:7" hidden="1" x14ac:dyDescent="0.25">
      <c r="A2990" t="s">
        <v>9485</v>
      </c>
      <c r="B2990" t="s">
        <v>1304</v>
      </c>
      <c r="F2990" t="s">
        <v>9476</v>
      </c>
      <c r="G2990" t="s">
        <v>1100</v>
      </c>
    </row>
    <row r="2991" spans="1:7" hidden="1" x14ac:dyDescent="0.25">
      <c r="A2991" t="s">
        <v>9455</v>
      </c>
      <c r="B2991" t="s">
        <v>5137</v>
      </c>
      <c r="F2991" t="s">
        <v>9479</v>
      </c>
      <c r="G2991" t="s">
        <v>1100</v>
      </c>
    </row>
    <row r="2992" spans="1:7" hidden="1" x14ac:dyDescent="0.25">
      <c r="A2992" t="s">
        <v>4</v>
      </c>
      <c r="B2992" t="s">
        <v>86</v>
      </c>
      <c r="E2992" t="s">
        <v>5479</v>
      </c>
      <c r="F2992" t="s">
        <v>9482</v>
      </c>
      <c r="G2992" t="s">
        <v>1100</v>
      </c>
    </row>
    <row r="2993" spans="1:7" hidden="1" x14ac:dyDescent="0.25">
      <c r="A2993" t="s">
        <v>8042</v>
      </c>
      <c r="B2993" t="s">
        <v>4193</v>
      </c>
      <c r="F2993" t="s">
        <v>9300</v>
      </c>
      <c r="G2993" s="1" t="s">
        <v>1603</v>
      </c>
    </row>
    <row r="2994" spans="1:7" hidden="1" x14ac:dyDescent="0.25">
      <c r="A2994" t="s">
        <v>533</v>
      </c>
      <c r="B2994" t="s">
        <v>1607</v>
      </c>
      <c r="C2994" t="s">
        <v>58</v>
      </c>
      <c r="F2994" t="s">
        <v>9303</v>
      </c>
      <c r="G2994" s="1" t="s">
        <v>1603</v>
      </c>
    </row>
    <row r="2995" spans="1:7" hidden="1" x14ac:dyDescent="0.25">
      <c r="A2995" t="s">
        <v>8042</v>
      </c>
      <c r="B2995" t="s">
        <v>4193</v>
      </c>
      <c r="F2995" t="s">
        <v>9306</v>
      </c>
      <c r="G2995" s="1" t="s">
        <v>1603</v>
      </c>
    </row>
    <row r="2996" spans="1:7" hidden="1" x14ac:dyDescent="0.25">
      <c r="A2996" t="s">
        <v>4</v>
      </c>
      <c r="B2996" t="s">
        <v>8</v>
      </c>
      <c r="F2996" t="s">
        <v>9309</v>
      </c>
      <c r="G2996" s="1" t="s">
        <v>1603</v>
      </c>
    </row>
    <row r="2997" spans="1:7" hidden="1" x14ac:dyDescent="0.25">
      <c r="A2997" t="s">
        <v>533</v>
      </c>
      <c r="B2997" t="s">
        <v>1607</v>
      </c>
      <c r="C2997" t="s">
        <v>58</v>
      </c>
      <c r="E2997" t="s">
        <v>9519</v>
      </c>
      <c r="F2997" t="s">
        <v>9486</v>
      </c>
      <c r="G2997" s="1" t="s">
        <v>1603</v>
      </c>
    </row>
    <row r="2998" spans="1:7" hidden="1" x14ac:dyDescent="0.25">
      <c r="A2998" t="s">
        <v>533</v>
      </c>
      <c r="B2998" t="s">
        <v>1607</v>
      </c>
      <c r="C2998" t="s">
        <v>58</v>
      </c>
      <c r="E2998" t="s">
        <v>9519</v>
      </c>
      <c r="F2998" t="s">
        <v>9489</v>
      </c>
      <c r="G2998" s="1" t="s">
        <v>1603</v>
      </c>
    </row>
    <row r="2999" spans="1:7" hidden="1" x14ac:dyDescent="0.25">
      <c r="A2999" t="s">
        <v>533</v>
      </c>
      <c r="B2999" t="s">
        <v>1607</v>
      </c>
      <c r="C2999" t="s">
        <v>58</v>
      </c>
      <c r="E2999" t="s">
        <v>2949</v>
      </c>
      <c r="F2999" t="s">
        <v>9492</v>
      </c>
      <c r="G2999" s="1" t="s">
        <v>1603</v>
      </c>
    </row>
    <row r="3000" spans="1:7" hidden="1" x14ac:dyDescent="0.25">
      <c r="A3000" t="s">
        <v>1606</v>
      </c>
      <c r="B3000" t="s">
        <v>9520</v>
      </c>
      <c r="F3000" t="s">
        <v>9495</v>
      </c>
      <c r="G3000" s="1" t="s">
        <v>1603</v>
      </c>
    </row>
    <row r="3001" spans="1:7" hidden="1" x14ac:dyDescent="0.25">
      <c r="A3001" t="s">
        <v>650</v>
      </c>
      <c r="B3001" t="s">
        <v>9520</v>
      </c>
      <c r="F3001" t="s">
        <v>9498</v>
      </c>
      <c r="G3001" s="1" t="s">
        <v>1603</v>
      </c>
    </row>
    <row r="3002" spans="1:7" hidden="1" x14ac:dyDescent="0.25">
      <c r="A3002" t="s">
        <v>533</v>
      </c>
      <c r="B3002" t="s">
        <v>1607</v>
      </c>
      <c r="C3002" t="s">
        <v>58</v>
      </c>
      <c r="E3002" t="s">
        <v>9519</v>
      </c>
      <c r="F3002" t="s">
        <v>9501</v>
      </c>
      <c r="G3002" s="1" t="s">
        <v>1603</v>
      </c>
    </row>
    <row r="3003" spans="1:7" hidden="1" x14ac:dyDescent="0.25">
      <c r="A3003" t="s">
        <v>1606</v>
      </c>
      <c r="B3003" t="s">
        <v>9521</v>
      </c>
      <c r="F3003" t="s">
        <v>9504</v>
      </c>
      <c r="G3003" s="1" t="s">
        <v>1603</v>
      </c>
    </row>
    <row r="3004" spans="1:7" hidden="1" x14ac:dyDescent="0.25">
      <c r="A3004" t="s">
        <v>289</v>
      </c>
      <c r="B3004" t="s">
        <v>9521</v>
      </c>
      <c r="C3004" t="s">
        <v>2944</v>
      </c>
      <c r="F3004" t="s">
        <v>9507</v>
      </c>
      <c r="G3004" s="1" t="s">
        <v>1603</v>
      </c>
    </row>
    <row r="3005" spans="1:7" hidden="1" x14ac:dyDescent="0.25">
      <c r="A3005" t="s">
        <v>650</v>
      </c>
      <c r="B3005" t="s">
        <v>9521</v>
      </c>
      <c r="C3005" t="s">
        <v>2944</v>
      </c>
      <c r="F3005" t="s">
        <v>9510</v>
      </c>
      <c r="G3005" s="1" t="s">
        <v>1603</v>
      </c>
    </row>
    <row r="3006" spans="1:7" hidden="1" x14ac:dyDescent="0.25">
      <c r="A3006" t="s">
        <v>533</v>
      </c>
      <c r="B3006" t="s">
        <v>1607</v>
      </c>
      <c r="C3006" t="s">
        <v>58</v>
      </c>
      <c r="E3006" t="s">
        <v>9519</v>
      </c>
      <c r="F3006" t="s">
        <v>9513</v>
      </c>
      <c r="G3006" s="1" t="s">
        <v>1603</v>
      </c>
    </row>
    <row r="3007" spans="1:7" hidden="1" x14ac:dyDescent="0.25">
      <c r="A3007" t="s">
        <v>4</v>
      </c>
      <c r="B3007" t="s">
        <v>8</v>
      </c>
      <c r="F3007" t="s">
        <v>9516</v>
      </c>
      <c r="G3007" s="1" t="s">
        <v>1603</v>
      </c>
    </row>
    <row r="3008" spans="1:7" hidden="1" x14ac:dyDescent="0.25">
      <c r="A3008" t="s">
        <v>2004</v>
      </c>
      <c r="B3008" t="s">
        <v>8</v>
      </c>
      <c r="F3008" t="s">
        <v>9312</v>
      </c>
      <c r="G3008" t="s">
        <v>1817</v>
      </c>
    </row>
    <row r="3009" spans="1:7" hidden="1" x14ac:dyDescent="0.25">
      <c r="A3009" t="s">
        <v>4</v>
      </c>
      <c r="B3009" t="s">
        <v>8</v>
      </c>
      <c r="F3009" t="s">
        <v>9522</v>
      </c>
      <c r="G3009" t="s">
        <v>1817</v>
      </c>
    </row>
    <row r="3010" spans="1:7" hidden="1" x14ac:dyDescent="0.25">
      <c r="A3010" t="s">
        <v>651</v>
      </c>
      <c r="B3010" t="s">
        <v>5480</v>
      </c>
      <c r="F3010" t="s">
        <v>9525</v>
      </c>
      <c r="G3010" t="s">
        <v>1817</v>
      </c>
    </row>
    <row r="3011" spans="1:7" hidden="1" x14ac:dyDescent="0.25">
      <c r="A3011" t="s">
        <v>651</v>
      </c>
      <c r="B3011" t="s">
        <v>5480</v>
      </c>
      <c r="F3011" t="s">
        <v>9528</v>
      </c>
      <c r="G3011" t="s">
        <v>1817</v>
      </c>
    </row>
    <row r="3012" spans="1:7" hidden="1" x14ac:dyDescent="0.25">
      <c r="A3012" t="s">
        <v>651</v>
      </c>
      <c r="B3012" t="s">
        <v>5480</v>
      </c>
      <c r="F3012" t="s">
        <v>9531</v>
      </c>
      <c r="G3012" t="s">
        <v>1817</v>
      </c>
    </row>
    <row r="3013" spans="1:7" hidden="1" x14ac:dyDescent="0.25">
      <c r="A3013" t="s">
        <v>651</v>
      </c>
      <c r="B3013" t="s">
        <v>5480</v>
      </c>
      <c r="F3013" t="s">
        <v>9534</v>
      </c>
      <c r="G3013" t="s">
        <v>1817</v>
      </c>
    </row>
    <row r="3014" spans="1:7" hidden="1" x14ac:dyDescent="0.25">
      <c r="A3014" t="s">
        <v>651</v>
      </c>
      <c r="B3014" t="s">
        <v>5480</v>
      </c>
      <c r="F3014" t="s">
        <v>9537</v>
      </c>
      <c r="G3014" t="s">
        <v>1817</v>
      </c>
    </row>
    <row r="3015" spans="1:7" hidden="1" x14ac:dyDescent="0.25">
      <c r="A3015" t="s">
        <v>4</v>
      </c>
      <c r="B3015" t="s">
        <v>8</v>
      </c>
      <c r="F3015" t="s">
        <v>9540</v>
      </c>
      <c r="G3015" t="s">
        <v>1817</v>
      </c>
    </row>
    <row r="3016" spans="1:7" hidden="1" x14ac:dyDescent="0.25">
      <c r="A3016" t="s">
        <v>4</v>
      </c>
      <c r="B3016" t="s">
        <v>8</v>
      </c>
      <c r="F3016" t="s">
        <v>9315</v>
      </c>
      <c r="G3016" t="s">
        <v>1934</v>
      </c>
    </row>
    <row r="3017" spans="1:7" hidden="1" x14ac:dyDescent="0.25">
      <c r="A3017" t="s">
        <v>4</v>
      </c>
      <c r="B3017" t="s">
        <v>12</v>
      </c>
      <c r="F3017" t="s">
        <v>9318</v>
      </c>
      <c r="G3017" t="s">
        <v>1934</v>
      </c>
    </row>
    <row r="3018" spans="1:7" hidden="1" x14ac:dyDescent="0.25">
      <c r="A3018" t="s">
        <v>4</v>
      </c>
      <c r="B3018" t="s">
        <v>8</v>
      </c>
      <c r="F3018" t="s">
        <v>9321</v>
      </c>
      <c r="G3018" t="s">
        <v>1934</v>
      </c>
    </row>
    <row r="3019" spans="1:7" hidden="1" x14ac:dyDescent="0.25">
      <c r="A3019" t="s">
        <v>4</v>
      </c>
      <c r="B3019" t="s">
        <v>12</v>
      </c>
      <c r="F3019" t="s">
        <v>9543</v>
      </c>
      <c r="G3019" t="s">
        <v>1934</v>
      </c>
    </row>
    <row r="3020" spans="1:7" hidden="1" x14ac:dyDescent="0.25">
      <c r="A3020" t="s">
        <v>4</v>
      </c>
      <c r="B3020" t="s">
        <v>12</v>
      </c>
      <c r="F3020" t="s">
        <v>9546</v>
      </c>
      <c r="G3020" t="s">
        <v>1934</v>
      </c>
    </row>
    <row r="3021" spans="1:7" x14ac:dyDescent="0.25">
      <c r="A3021" t="s">
        <v>4</v>
      </c>
      <c r="B3021" t="s">
        <v>8045</v>
      </c>
      <c r="F3021" t="s">
        <v>9324</v>
      </c>
      <c r="G3021" t="s">
        <v>1997</v>
      </c>
    </row>
    <row r="3022" spans="1:7" x14ac:dyDescent="0.25">
      <c r="A3022" t="s">
        <v>4</v>
      </c>
      <c r="B3022" t="s">
        <v>8045</v>
      </c>
      <c r="F3022" t="s">
        <v>9327</v>
      </c>
      <c r="G3022" t="s">
        <v>1997</v>
      </c>
    </row>
    <row r="3023" spans="1:7" x14ac:dyDescent="0.25">
      <c r="A3023" t="s">
        <v>4</v>
      </c>
      <c r="B3023" t="s">
        <v>8045</v>
      </c>
      <c r="F3023" t="s">
        <v>9330</v>
      </c>
      <c r="G3023" t="s">
        <v>1997</v>
      </c>
    </row>
    <row r="3024" spans="1:7" x14ac:dyDescent="0.25">
      <c r="A3024" t="s">
        <v>4</v>
      </c>
      <c r="B3024" t="s">
        <v>8</v>
      </c>
      <c r="F3024" t="s">
        <v>9333</v>
      </c>
      <c r="G3024" t="s">
        <v>1997</v>
      </c>
    </row>
    <row r="3025" spans="1:7" x14ac:dyDescent="0.25">
      <c r="A3025" t="s">
        <v>4</v>
      </c>
      <c r="B3025" t="s">
        <v>8</v>
      </c>
      <c r="F3025" t="s">
        <v>9549</v>
      </c>
      <c r="G3025" t="s">
        <v>1997</v>
      </c>
    </row>
    <row r="3026" spans="1:7" x14ac:dyDescent="0.25">
      <c r="A3026" t="s">
        <v>4</v>
      </c>
      <c r="B3026" t="s">
        <v>8</v>
      </c>
      <c r="F3026" t="s">
        <v>9552</v>
      </c>
      <c r="G3026" t="s">
        <v>1997</v>
      </c>
    </row>
    <row r="3027" spans="1:7" x14ac:dyDescent="0.25">
      <c r="A3027" t="s">
        <v>4</v>
      </c>
      <c r="B3027" t="s">
        <v>9212</v>
      </c>
      <c r="F3027" t="s">
        <v>9555</v>
      </c>
      <c r="G3027" t="s">
        <v>1997</v>
      </c>
    </row>
    <row r="3028" spans="1:7" x14ac:dyDescent="0.25">
      <c r="A3028" t="s">
        <v>4</v>
      </c>
      <c r="B3028" t="s">
        <v>9212</v>
      </c>
      <c r="F3028" t="s">
        <v>9558</v>
      </c>
      <c r="G3028" t="s">
        <v>1997</v>
      </c>
    </row>
    <row r="3029" spans="1:7" x14ac:dyDescent="0.25">
      <c r="A3029" t="s">
        <v>4</v>
      </c>
      <c r="B3029" t="s">
        <v>9212</v>
      </c>
      <c r="F3029" t="s">
        <v>9561</v>
      </c>
      <c r="G3029" t="s">
        <v>1997</v>
      </c>
    </row>
    <row r="3030" spans="1:7" x14ac:dyDescent="0.25">
      <c r="A3030" t="s">
        <v>4</v>
      </c>
      <c r="B3030" t="s">
        <v>9212</v>
      </c>
      <c r="F3030" t="s">
        <v>9564</v>
      </c>
      <c r="G3030" t="s">
        <v>1997</v>
      </c>
    </row>
    <row r="3031" spans="1:7" x14ac:dyDescent="0.25">
      <c r="A3031" t="s">
        <v>4</v>
      </c>
      <c r="B3031" t="s">
        <v>8</v>
      </c>
      <c r="F3031" t="s">
        <v>9567</v>
      </c>
      <c r="G3031" t="s">
        <v>1997</v>
      </c>
    </row>
    <row r="3032" spans="1:7" hidden="1" x14ac:dyDescent="0.25">
      <c r="A3032" t="s">
        <v>91</v>
      </c>
      <c r="B3032" t="s">
        <v>6656</v>
      </c>
      <c r="C3032" t="s">
        <v>51</v>
      </c>
      <c r="F3032" t="s">
        <v>9591</v>
      </c>
      <c r="G3032" t="s">
        <v>1102</v>
      </c>
    </row>
    <row r="3033" spans="1:7" hidden="1" x14ac:dyDescent="0.25">
      <c r="A3033" t="s">
        <v>62</v>
      </c>
      <c r="B3033" t="s">
        <v>6656</v>
      </c>
      <c r="C3033" t="s">
        <v>4240</v>
      </c>
      <c r="F3033" t="s">
        <v>9594</v>
      </c>
      <c r="G3033" t="s">
        <v>1102</v>
      </c>
    </row>
    <row r="3034" spans="1:7" hidden="1" x14ac:dyDescent="0.25">
      <c r="A3034" t="s">
        <v>91</v>
      </c>
      <c r="B3034" t="s">
        <v>9683</v>
      </c>
      <c r="F3034" t="s">
        <v>9597</v>
      </c>
      <c r="G3034" t="s">
        <v>1102</v>
      </c>
    </row>
    <row r="3035" spans="1:7" hidden="1" x14ac:dyDescent="0.25">
      <c r="A3035" t="s">
        <v>91</v>
      </c>
      <c r="B3035" t="s">
        <v>6656</v>
      </c>
      <c r="C3035" t="s">
        <v>51</v>
      </c>
      <c r="F3035" t="s">
        <v>9600</v>
      </c>
      <c r="G3035" t="s">
        <v>1102</v>
      </c>
    </row>
    <row r="3036" spans="1:7" hidden="1" x14ac:dyDescent="0.25">
      <c r="A3036" t="s">
        <v>62</v>
      </c>
      <c r="B3036" t="s">
        <v>9683</v>
      </c>
      <c r="F3036" t="s">
        <v>9603</v>
      </c>
      <c r="G3036" t="s">
        <v>1102</v>
      </c>
    </row>
    <row r="3037" spans="1:7" hidden="1" x14ac:dyDescent="0.25">
      <c r="A3037" t="s">
        <v>62</v>
      </c>
      <c r="B3037" t="s">
        <v>6656</v>
      </c>
      <c r="C3037" t="s">
        <v>9684</v>
      </c>
      <c r="F3037" t="s">
        <v>9606</v>
      </c>
      <c r="G3037" t="s">
        <v>1102</v>
      </c>
    </row>
    <row r="3038" spans="1:7" hidden="1" x14ac:dyDescent="0.25">
      <c r="A3038" t="s">
        <v>2004</v>
      </c>
      <c r="F3038" t="s">
        <v>9609</v>
      </c>
      <c r="G3038" t="s">
        <v>1102</v>
      </c>
    </row>
    <row r="3039" spans="1:7" hidden="1" x14ac:dyDescent="0.25">
      <c r="A3039" t="s">
        <v>1606</v>
      </c>
      <c r="B3039" t="s">
        <v>6656</v>
      </c>
      <c r="C3039" t="s">
        <v>51</v>
      </c>
      <c r="F3039" t="s">
        <v>9570</v>
      </c>
      <c r="G3039" t="s">
        <v>1103</v>
      </c>
    </row>
    <row r="3040" spans="1:7" hidden="1" x14ac:dyDescent="0.25">
      <c r="A3040" t="s">
        <v>650</v>
      </c>
      <c r="B3040" t="s">
        <v>6656</v>
      </c>
      <c r="C3040" t="s">
        <v>4240</v>
      </c>
      <c r="F3040" t="s">
        <v>9573</v>
      </c>
      <c r="G3040" t="s">
        <v>1103</v>
      </c>
    </row>
    <row r="3041" spans="1:7" hidden="1" x14ac:dyDescent="0.25">
      <c r="A3041" t="s">
        <v>1606</v>
      </c>
      <c r="B3041" t="s">
        <v>6656</v>
      </c>
      <c r="C3041" t="s">
        <v>51</v>
      </c>
      <c r="F3041" t="s">
        <v>9576</v>
      </c>
      <c r="G3041" t="s">
        <v>1103</v>
      </c>
    </row>
    <row r="3042" spans="1:7" hidden="1" x14ac:dyDescent="0.25">
      <c r="A3042" t="s">
        <v>650</v>
      </c>
      <c r="B3042" t="s">
        <v>6656</v>
      </c>
      <c r="C3042" t="s">
        <v>9684</v>
      </c>
      <c r="F3042" t="s">
        <v>9579</v>
      </c>
      <c r="G3042" t="s">
        <v>1103</v>
      </c>
    </row>
    <row r="3043" spans="1:7" hidden="1" x14ac:dyDescent="0.25">
      <c r="A3043" t="s">
        <v>2004</v>
      </c>
      <c r="B3043" t="s">
        <v>8</v>
      </c>
      <c r="F3043" t="s">
        <v>9582</v>
      </c>
      <c r="G3043" t="s">
        <v>1103</v>
      </c>
    </row>
    <row r="3044" spans="1:7" hidden="1" x14ac:dyDescent="0.25">
      <c r="A3044" t="s">
        <v>4</v>
      </c>
      <c r="B3044" t="s">
        <v>9685</v>
      </c>
      <c r="F3044" t="s">
        <v>9585</v>
      </c>
      <c r="G3044" t="s">
        <v>91</v>
      </c>
    </row>
    <row r="3045" spans="1:7" hidden="1" x14ac:dyDescent="0.25">
      <c r="A3045" t="s">
        <v>2004</v>
      </c>
      <c r="B3045" t="s">
        <v>8</v>
      </c>
      <c r="F3045" t="s">
        <v>9588</v>
      </c>
      <c r="G3045" t="s">
        <v>91</v>
      </c>
    </row>
    <row r="3046" spans="1:7" hidden="1" x14ac:dyDescent="0.25">
      <c r="A3046" t="s">
        <v>4</v>
      </c>
      <c r="B3046" t="s">
        <v>8803</v>
      </c>
      <c r="F3046" t="s">
        <v>9633</v>
      </c>
      <c r="G3046" t="s">
        <v>1104</v>
      </c>
    </row>
    <row r="3047" spans="1:7" hidden="1" x14ac:dyDescent="0.25">
      <c r="A3047" t="s">
        <v>2004</v>
      </c>
      <c r="B3047" t="s">
        <v>8</v>
      </c>
      <c r="F3047" t="s">
        <v>9636</v>
      </c>
      <c r="G3047" t="s">
        <v>1104</v>
      </c>
    </row>
    <row r="3048" spans="1:7" hidden="1" x14ac:dyDescent="0.25">
      <c r="A3048" t="s">
        <v>4</v>
      </c>
      <c r="B3048" t="s">
        <v>8045</v>
      </c>
      <c r="F3048" t="s">
        <v>9639</v>
      </c>
      <c r="G3048" t="s">
        <v>1105</v>
      </c>
    </row>
    <row r="3049" spans="1:7" hidden="1" x14ac:dyDescent="0.25">
      <c r="A3049" t="s">
        <v>4</v>
      </c>
      <c r="B3049" t="s">
        <v>8045</v>
      </c>
      <c r="F3049" t="s">
        <v>9642</v>
      </c>
      <c r="G3049" t="s">
        <v>1105</v>
      </c>
    </row>
    <row r="3050" spans="1:7" hidden="1" x14ac:dyDescent="0.25">
      <c r="A3050" t="s">
        <v>4</v>
      </c>
      <c r="B3050" t="s">
        <v>8045</v>
      </c>
      <c r="F3050" t="s">
        <v>9645</v>
      </c>
      <c r="G3050" t="s">
        <v>1105</v>
      </c>
    </row>
    <row r="3051" spans="1:7" hidden="1" x14ac:dyDescent="0.25">
      <c r="A3051" t="s">
        <v>2004</v>
      </c>
      <c r="B3051" t="s">
        <v>8</v>
      </c>
      <c r="F3051" t="s">
        <v>9612</v>
      </c>
      <c r="G3051" t="s">
        <v>1106</v>
      </c>
    </row>
    <row r="3052" spans="1:7" hidden="1" x14ac:dyDescent="0.25">
      <c r="A3052" t="s">
        <v>2004</v>
      </c>
      <c r="B3052" t="s">
        <v>8</v>
      </c>
      <c r="F3052" t="s">
        <v>9615</v>
      </c>
      <c r="G3052" t="s">
        <v>1106</v>
      </c>
    </row>
    <row r="3053" spans="1:7" hidden="1" x14ac:dyDescent="0.25">
      <c r="A3053" t="s">
        <v>2004</v>
      </c>
      <c r="B3053" t="s">
        <v>8</v>
      </c>
      <c r="F3053" t="s">
        <v>9686</v>
      </c>
      <c r="G3053" t="s">
        <v>1107</v>
      </c>
    </row>
    <row r="3054" spans="1:7" hidden="1" x14ac:dyDescent="0.25">
      <c r="A3054" t="s">
        <v>2004</v>
      </c>
      <c r="B3054" t="s">
        <v>8</v>
      </c>
      <c r="F3054" t="s">
        <v>9688</v>
      </c>
      <c r="G3054" t="s">
        <v>1107</v>
      </c>
    </row>
    <row r="3055" spans="1:7" hidden="1" x14ac:dyDescent="0.25">
      <c r="A3055" t="s">
        <v>9409</v>
      </c>
      <c r="B3055" t="s">
        <v>1607</v>
      </c>
      <c r="F3055" t="s">
        <v>9618</v>
      </c>
      <c r="G3055" t="s">
        <v>796</v>
      </c>
    </row>
    <row r="3056" spans="1:7" hidden="1" x14ac:dyDescent="0.25">
      <c r="A3056" t="s">
        <v>4</v>
      </c>
      <c r="B3056" t="s">
        <v>9</v>
      </c>
      <c r="F3056" t="s">
        <v>9621</v>
      </c>
      <c r="G3056" t="s">
        <v>796</v>
      </c>
    </row>
    <row r="3057" spans="1:7" hidden="1" x14ac:dyDescent="0.25">
      <c r="A3057" t="s">
        <v>9409</v>
      </c>
      <c r="B3057" t="s">
        <v>1607</v>
      </c>
      <c r="F3057" t="s">
        <v>9624</v>
      </c>
      <c r="G3057" t="s">
        <v>796</v>
      </c>
    </row>
    <row r="3058" spans="1:7" hidden="1" x14ac:dyDescent="0.25">
      <c r="A3058" t="s">
        <v>2024</v>
      </c>
      <c r="B3058" t="s">
        <v>796</v>
      </c>
      <c r="F3058" t="s">
        <v>9627</v>
      </c>
      <c r="G3058" t="s">
        <v>796</v>
      </c>
    </row>
    <row r="3059" spans="1:7" hidden="1" x14ac:dyDescent="0.25">
      <c r="A3059" t="s">
        <v>4</v>
      </c>
      <c r="B3059" t="s">
        <v>9</v>
      </c>
      <c r="F3059" t="s">
        <v>9630</v>
      </c>
      <c r="G3059" t="s">
        <v>796</v>
      </c>
    </row>
    <row r="3060" spans="1:7" hidden="1" x14ac:dyDescent="0.25">
      <c r="A3060" t="s">
        <v>4</v>
      </c>
      <c r="B3060" t="s">
        <v>6656</v>
      </c>
      <c r="C3060" t="s">
        <v>9339</v>
      </c>
      <c r="F3060" t="s">
        <v>9657</v>
      </c>
      <c r="G3060" s="1" t="s">
        <v>1603</v>
      </c>
    </row>
    <row r="3061" spans="1:7" hidden="1" x14ac:dyDescent="0.25">
      <c r="A3061" t="s">
        <v>4</v>
      </c>
      <c r="B3061" t="s">
        <v>6656</v>
      </c>
      <c r="C3061" t="s">
        <v>9339</v>
      </c>
      <c r="F3061" t="s">
        <v>9660</v>
      </c>
      <c r="G3061" s="1" t="s">
        <v>1603</v>
      </c>
    </row>
    <row r="3062" spans="1:7" hidden="1" x14ac:dyDescent="0.25">
      <c r="A3062" t="s">
        <v>533</v>
      </c>
      <c r="B3062" t="s">
        <v>1607</v>
      </c>
      <c r="C3062" t="s">
        <v>58</v>
      </c>
      <c r="F3062" t="s">
        <v>9663</v>
      </c>
      <c r="G3062" s="1" t="s">
        <v>1603</v>
      </c>
    </row>
    <row r="3063" spans="1:7" hidden="1" x14ac:dyDescent="0.25">
      <c r="A3063" t="s">
        <v>2004</v>
      </c>
      <c r="B3063" t="s">
        <v>8</v>
      </c>
      <c r="F3063" t="s">
        <v>9666</v>
      </c>
      <c r="G3063" t="s">
        <v>1817</v>
      </c>
    </row>
    <row r="3064" spans="1:7" hidden="1" x14ac:dyDescent="0.25">
      <c r="A3064" t="s">
        <v>2004</v>
      </c>
      <c r="B3064" t="s">
        <v>8</v>
      </c>
      <c r="F3064" t="s">
        <v>9668</v>
      </c>
      <c r="G3064" t="s">
        <v>1817</v>
      </c>
    </row>
    <row r="3065" spans="1:7" hidden="1" x14ac:dyDescent="0.25">
      <c r="A3065" t="s">
        <v>2004</v>
      </c>
      <c r="B3065" t="s">
        <v>8</v>
      </c>
      <c r="F3065" t="s">
        <v>9671</v>
      </c>
      <c r="G3065" t="s">
        <v>1934</v>
      </c>
    </row>
    <row r="3066" spans="1:7" hidden="1" x14ac:dyDescent="0.25">
      <c r="A3066" t="s">
        <v>2004</v>
      </c>
      <c r="B3066" t="s">
        <v>8</v>
      </c>
      <c r="F3066" t="s">
        <v>9674</v>
      </c>
      <c r="G3066" t="s">
        <v>1934</v>
      </c>
    </row>
    <row r="3067" spans="1:7" x14ac:dyDescent="0.25">
      <c r="A3067" t="s">
        <v>2004</v>
      </c>
      <c r="B3067" t="s">
        <v>8</v>
      </c>
      <c r="F3067" t="s">
        <v>9677</v>
      </c>
      <c r="G3067" t="s">
        <v>1997</v>
      </c>
    </row>
    <row r="3068" spans="1:7" x14ac:dyDescent="0.25">
      <c r="A3068" t="s">
        <v>2004</v>
      </c>
      <c r="B3068" t="s">
        <v>8</v>
      </c>
      <c r="F3068" t="s">
        <v>9680</v>
      </c>
      <c r="G3068" t="s">
        <v>1997</v>
      </c>
    </row>
    <row r="3069" spans="1:7" hidden="1" x14ac:dyDescent="0.25">
      <c r="A3069" t="s">
        <v>4</v>
      </c>
      <c r="B3069" t="s">
        <v>86</v>
      </c>
      <c r="E3069" t="s">
        <v>5479</v>
      </c>
      <c r="F3069" t="s">
        <v>9648</v>
      </c>
      <c r="G3069" t="s">
        <v>1100</v>
      </c>
    </row>
    <row r="3070" spans="1:7" hidden="1" x14ac:dyDescent="0.25">
      <c r="A3070" t="s">
        <v>4</v>
      </c>
      <c r="B3070" t="s">
        <v>9691</v>
      </c>
      <c r="F3070" t="s">
        <v>9651</v>
      </c>
      <c r="G3070" t="s">
        <v>1100</v>
      </c>
    </row>
    <row r="3071" spans="1:7" hidden="1" x14ac:dyDescent="0.25">
      <c r="A3071" t="s">
        <v>9692</v>
      </c>
      <c r="B3071" t="s">
        <v>9201</v>
      </c>
      <c r="F3071" t="s">
        <v>9654</v>
      </c>
      <c r="G3071" t="s">
        <v>1100</v>
      </c>
    </row>
    <row r="3072" spans="1:7" hidden="1" x14ac:dyDescent="0.25">
      <c r="A3072" t="s">
        <v>2004</v>
      </c>
      <c r="F3072" t="s">
        <v>9708</v>
      </c>
      <c r="G3072" t="s">
        <v>1102</v>
      </c>
    </row>
    <row r="3073" spans="1:7" hidden="1" x14ac:dyDescent="0.25">
      <c r="A3073" t="s">
        <v>2004</v>
      </c>
      <c r="F3073" t="s">
        <v>9711</v>
      </c>
      <c r="G3073" t="s">
        <v>1102</v>
      </c>
    </row>
    <row r="3074" spans="1:7" hidden="1" x14ac:dyDescent="0.25">
      <c r="A3074" t="s">
        <v>2004</v>
      </c>
      <c r="B3074" t="s">
        <v>8</v>
      </c>
      <c r="F3074" t="s">
        <v>9714</v>
      </c>
      <c r="G3074" t="s">
        <v>1103</v>
      </c>
    </row>
    <row r="3075" spans="1:7" hidden="1" x14ac:dyDescent="0.25">
      <c r="A3075" t="s">
        <v>2004</v>
      </c>
      <c r="B3075" t="s">
        <v>8</v>
      </c>
      <c r="F3075" t="s">
        <v>9717</v>
      </c>
      <c r="G3075" t="s">
        <v>1103</v>
      </c>
    </row>
    <row r="3076" spans="1:7" hidden="1" x14ac:dyDescent="0.25">
      <c r="A3076" t="s">
        <v>4</v>
      </c>
      <c r="B3076" t="s">
        <v>8803</v>
      </c>
      <c r="F3076" t="s">
        <v>9720</v>
      </c>
      <c r="G3076" t="s">
        <v>91</v>
      </c>
    </row>
    <row r="3077" spans="1:7" hidden="1" x14ac:dyDescent="0.25">
      <c r="A3077" t="s">
        <v>4</v>
      </c>
      <c r="B3077" t="s">
        <v>8803</v>
      </c>
      <c r="F3077" t="s">
        <v>9723</v>
      </c>
      <c r="G3077" t="s">
        <v>91</v>
      </c>
    </row>
    <row r="3078" spans="1:7" hidden="1" x14ac:dyDescent="0.25">
      <c r="A3078" t="s">
        <v>4</v>
      </c>
      <c r="B3078" t="s">
        <v>8803</v>
      </c>
      <c r="F3078" t="s">
        <v>9726</v>
      </c>
      <c r="G3078" t="s">
        <v>1104</v>
      </c>
    </row>
    <row r="3079" spans="1:7" hidden="1" x14ac:dyDescent="0.25">
      <c r="A3079" t="s">
        <v>4</v>
      </c>
      <c r="B3079" t="s">
        <v>8803</v>
      </c>
      <c r="F3079" t="s">
        <v>9729</v>
      </c>
      <c r="G3079" t="s">
        <v>1104</v>
      </c>
    </row>
    <row r="3080" spans="1:7" hidden="1" x14ac:dyDescent="0.25">
      <c r="A3080" t="s">
        <v>4</v>
      </c>
      <c r="B3080" t="s">
        <v>8803</v>
      </c>
      <c r="F3080" t="s">
        <v>9732</v>
      </c>
      <c r="G3080" t="s">
        <v>1104</v>
      </c>
    </row>
    <row r="3081" spans="1:7" hidden="1" x14ac:dyDescent="0.25">
      <c r="A3081" t="s">
        <v>4</v>
      </c>
      <c r="B3081" t="s">
        <v>9876</v>
      </c>
      <c r="F3081" t="s">
        <v>9693</v>
      </c>
      <c r="G3081" t="s">
        <v>1105</v>
      </c>
    </row>
    <row r="3082" spans="1:7" hidden="1" x14ac:dyDescent="0.25">
      <c r="A3082" t="s">
        <v>4</v>
      </c>
      <c r="B3082" t="s">
        <v>9876</v>
      </c>
      <c r="F3082" t="s">
        <v>9696</v>
      </c>
      <c r="G3082" t="s">
        <v>1105</v>
      </c>
    </row>
    <row r="3083" spans="1:7" hidden="1" x14ac:dyDescent="0.25">
      <c r="A3083" t="s">
        <v>4</v>
      </c>
      <c r="B3083" t="s">
        <v>9876</v>
      </c>
      <c r="F3083" t="s">
        <v>9699</v>
      </c>
      <c r="G3083" t="s">
        <v>1105</v>
      </c>
    </row>
    <row r="3084" spans="1:7" hidden="1" x14ac:dyDescent="0.25">
      <c r="A3084" t="s">
        <v>4</v>
      </c>
      <c r="B3084" t="s">
        <v>9876</v>
      </c>
      <c r="F3084" t="s">
        <v>9702</v>
      </c>
      <c r="G3084" t="s">
        <v>1105</v>
      </c>
    </row>
    <row r="3085" spans="1:7" hidden="1" x14ac:dyDescent="0.25">
      <c r="A3085" t="s">
        <v>4</v>
      </c>
      <c r="B3085" t="s">
        <v>9876</v>
      </c>
      <c r="F3085" t="s">
        <v>9705</v>
      </c>
      <c r="G3085" t="s">
        <v>1105</v>
      </c>
    </row>
    <row r="3086" spans="1:7" hidden="1" x14ac:dyDescent="0.25">
      <c r="A3086" t="s">
        <v>2004</v>
      </c>
      <c r="B3086" t="s">
        <v>8</v>
      </c>
      <c r="F3086" t="s">
        <v>9735</v>
      </c>
      <c r="G3086" t="s">
        <v>1106</v>
      </c>
    </row>
    <row r="3087" spans="1:7" hidden="1" x14ac:dyDescent="0.25">
      <c r="A3087" t="s">
        <v>2004</v>
      </c>
      <c r="B3087" t="s">
        <v>8</v>
      </c>
      <c r="F3087" t="s">
        <v>9738</v>
      </c>
      <c r="G3087" t="s">
        <v>1106</v>
      </c>
    </row>
    <row r="3088" spans="1:7" hidden="1" x14ac:dyDescent="0.25">
      <c r="A3088" t="s">
        <v>4</v>
      </c>
      <c r="B3088" t="s">
        <v>9913</v>
      </c>
      <c r="F3088" t="s">
        <v>9877</v>
      </c>
      <c r="G3088" t="s">
        <v>1107</v>
      </c>
    </row>
    <row r="3089" spans="1:7" hidden="1" x14ac:dyDescent="0.25">
      <c r="A3089" t="s">
        <v>4</v>
      </c>
      <c r="B3089" t="s">
        <v>9913</v>
      </c>
      <c r="E3089" t="s">
        <v>2936</v>
      </c>
      <c r="F3089" t="s">
        <v>9880</v>
      </c>
      <c r="G3089" t="s">
        <v>1107</v>
      </c>
    </row>
    <row r="3090" spans="1:7" hidden="1" x14ac:dyDescent="0.25">
      <c r="A3090" t="s">
        <v>4</v>
      </c>
      <c r="B3090" t="s">
        <v>9913</v>
      </c>
      <c r="E3090" t="s">
        <v>2936</v>
      </c>
      <c r="F3090" t="s">
        <v>9883</v>
      </c>
      <c r="G3090" t="s">
        <v>1107</v>
      </c>
    </row>
    <row r="3091" spans="1:7" hidden="1" x14ac:dyDescent="0.25">
      <c r="A3091" t="s">
        <v>4</v>
      </c>
      <c r="B3091" t="s">
        <v>9913</v>
      </c>
      <c r="E3091" t="s">
        <v>2936</v>
      </c>
      <c r="F3091" t="s">
        <v>9886</v>
      </c>
      <c r="G3091" t="s">
        <v>1107</v>
      </c>
    </row>
    <row r="3092" spans="1:7" hidden="1" x14ac:dyDescent="0.25">
      <c r="A3092" t="s">
        <v>4</v>
      </c>
      <c r="B3092" t="s">
        <v>9913</v>
      </c>
      <c r="E3092" t="s">
        <v>2936</v>
      </c>
      <c r="F3092" t="s">
        <v>9889</v>
      </c>
      <c r="G3092" t="s">
        <v>1107</v>
      </c>
    </row>
    <row r="3093" spans="1:7" hidden="1" x14ac:dyDescent="0.25">
      <c r="A3093" t="s">
        <v>4</v>
      </c>
      <c r="B3093" t="s">
        <v>9913</v>
      </c>
      <c r="E3093" t="s">
        <v>2936</v>
      </c>
      <c r="F3093" t="s">
        <v>9892</v>
      </c>
      <c r="G3093" t="s">
        <v>1107</v>
      </c>
    </row>
    <row r="3094" spans="1:7" hidden="1" x14ac:dyDescent="0.25">
      <c r="A3094" t="s">
        <v>4</v>
      </c>
      <c r="B3094" t="s">
        <v>9913</v>
      </c>
      <c r="E3094" t="s">
        <v>2936</v>
      </c>
      <c r="F3094" t="s">
        <v>9895</v>
      </c>
      <c r="G3094" t="s">
        <v>1107</v>
      </c>
    </row>
    <row r="3095" spans="1:7" hidden="1" x14ac:dyDescent="0.25">
      <c r="A3095" t="s">
        <v>4</v>
      </c>
      <c r="B3095" t="s">
        <v>9913</v>
      </c>
      <c r="E3095" t="s">
        <v>2936</v>
      </c>
      <c r="F3095" t="s">
        <v>9898</v>
      </c>
      <c r="G3095" t="s">
        <v>1107</v>
      </c>
    </row>
    <row r="3096" spans="1:7" hidden="1" x14ac:dyDescent="0.25">
      <c r="A3096" t="s">
        <v>4</v>
      </c>
      <c r="B3096" t="s">
        <v>9913</v>
      </c>
      <c r="E3096" t="s">
        <v>2936</v>
      </c>
      <c r="F3096" t="s">
        <v>9901</v>
      </c>
      <c r="G3096" t="s">
        <v>1107</v>
      </c>
    </row>
    <row r="3097" spans="1:7" hidden="1" x14ac:dyDescent="0.25">
      <c r="A3097" t="s">
        <v>4</v>
      </c>
      <c r="B3097" t="s">
        <v>9913</v>
      </c>
      <c r="E3097" t="s">
        <v>2936</v>
      </c>
      <c r="F3097" t="s">
        <v>9904</v>
      </c>
      <c r="G3097" t="s">
        <v>1107</v>
      </c>
    </row>
    <row r="3098" spans="1:7" hidden="1" x14ac:dyDescent="0.25">
      <c r="A3098" t="s">
        <v>4</v>
      </c>
      <c r="B3098" t="s">
        <v>9913</v>
      </c>
      <c r="E3098" t="s">
        <v>2936</v>
      </c>
      <c r="F3098" t="s">
        <v>9907</v>
      </c>
      <c r="G3098" t="s">
        <v>1107</v>
      </c>
    </row>
    <row r="3099" spans="1:7" hidden="1" x14ac:dyDescent="0.25">
      <c r="A3099" t="s">
        <v>4</v>
      </c>
      <c r="B3099" t="s">
        <v>9913</v>
      </c>
      <c r="E3099" t="s">
        <v>2936</v>
      </c>
      <c r="F3099" t="s">
        <v>9910</v>
      </c>
      <c r="G3099" t="s">
        <v>1107</v>
      </c>
    </row>
    <row r="3100" spans="1:7" hidden="1" x14ac:dyDescent="0.25">
      <c r="A3100" t="s">
        <v>9409</v>
      </c>
      <c r="B3100" t="s">
        <v>1607</v>
      </c>
      <c r="F3100" t="s">
        <v>9741</v>
      </c>
      <c r="G3100" t="s">
        <v>796</v>
      </c>
    </row>
    <row r="3101" spans="1:7" hidden="1" x14ac:dyDescent="0.25">
      <c r="A3101" t="s">
        <v>9409</v>
      </c>
      <c r="B3101" t="s">
        <v>1607</v>
      </c>
      <c r="F3101" t="s">
        <v>9744</v>
      </c>
      <c r="G3101" t="s">
        <v>796</v>
      </c>
    </row>
    <row r="3102" spans="1:7" hidden="1" x14ac:dyDescent="0.25">
      <c r="A3102" t="s">
        <v>9409</v>
      </c>
      <c r="B3102" t="s">
        <v>1607</v>
      </c>
      <c r="F3102" t="s">
        <v>9747</v>
      </c>
      <c r="G3102" t="s">
        <v>796</v>
      </c>
    </row>
    <row r="3103" spans="1:7" hidden="1" x14ac:dyDescent="0.25">
      <c r="A3103" t="s">
        <v>2024</v>
      </c>
      <c r="B3103" t="s">
        <v>796</v>
      </c>
      <c r="F3103" t="s">
        <v>9750</v>
      </c>
      <c r="G3103" t="s">
        <v>796</v>
      </c>
    </row>
    <row r="3104" spans="1:7" hidden="1" x14ac:dyDescent="0.25">
      <c r="A3104" t="s">
        <v>2024</v>
      </c>
      <c r="B3104" t="s">
        <v>796</v>
      </c>
      <c r="F3104" t="s">
        <v>9753</v>
      </c>
      <c r="G3104" t="s">
        <v>796</v>
      </c>
    </row>
    <row r="3105" spans="1:7" hidden="1" x14ac:dyDescent="0.25">
      <c r="A3105" t="s">
        <v>2024</v>
      </c>
      <c r="B3105" t="s">
        <v>796</v>
      </c>
      <c r="F3105" t="s">
        <v>9756</v>
      </c>
      <c r="G3105" t="s">
        <v>796</v>
      </c>
    </row>
    <row r="3106" spans="1:7" hidden="1" x14ac:dyDescent="0.25">
      <c r="A3106" t="s">
        <v>9409</v>
      </c>
      <c r="B3106" t="s">
        <v>1607</v>
      </c>
      <c r="F3106" t="s">
        <v>9759</v>
      </c>
      <c r="G3106" t="s">
        <v>796</v>
      </c>
    </row>
    <row r="3107" spans="1:7" hidden="1" x14ac:dyDescent="0.25">
      <c r="A3107" t="s">
        <v>4</v>
      </c>
      <c r="B3107" t="s">
        <v>9</v>
      </c>
      <c r="F3107" t="s">
        <v>9762</v>
      </c>
      <c r="G3107" t="s">
        <v>796</v>
      </c>
    </row>
    <row r="3108" spans="1:7" hidden="1" x14ac:dyDescent="0.25">
      <c r="A3108" t="s">
        <v>9409</v>
      </c>
      <c r="B3108" t="s">
        <v>1607</v>
      </c>
      <c r="F3108" t="s">
        <v>9765</v>
      </c>
      <c r="G3108" t="s">
        <v>796</v>
      </c>
    </row>
    <row r="3109" spans="1:7" hidden="1" x14ac:dyDescent="0.25">
      <c r="A3109" t="s">
        <v>2024</v>
      </c>
      <c r="B3109" t="s">
        <v>796</v>
      </c>
      <c r="F3109" t="s">
        <v>9768</v>
      </c>
      <c r="G3109" t="s">
        <v>796</v>
      </c>
    </row>
    <row r="3110" spans="1:7" hidden="1" x14ac:dyDescent="0.25">
      <c r="A3110" t="s">
        <v>9409</v>
      </c>
      <c r="B3110" t="s">
        <v>1607</v>
      </c>
      <c r="F3110" t="s">
        <v>9771</v>
      </c>
      <c r="G3110" t="s">
        <v>796</v>
      </c>
    </row>
    <row r="3111" spans="1:7" hidden="1" x14ac:dyDescent="0.25">
      <c r="A3111" t="s">
        <v>9409</v>
      </c>
      <c r="B3111" t="s">
        <v>1607</v>
      </c>
      <c r="F3111" t="s">
        <v>9774</v>
      </c>
      <c r="G3111" t="s">
        <v>796</v>
      </c>
    </row>
    <row r="3112" spans="1:7" hidden="1" x14ac:dyDescent="0.25">
      <c r="A3112" t="s">
        <v>9409</v>
      </c>
      <c r="B3112" t="s">
        <v>1607</v>
      </c>
      <c r="F3112" t="s">
        <v>9777</v>
      </c>
      <c r="G3112" t="s">
        <v>796</v>
      </c>
    </row>
    <row r="3113" spans="1:7" hidden="1" x14ac:dyDescent="0.25">
      <c r="A3113" t="s">
        <v>9455</v>
      </c>
      <c r="B3113" t="s">
        <v>531</v>
      </c>
      <c r="F3113" t="s">
        <v>9780</v>
      </c>
      <c r="G3113" t="s">
        <v>796</v>
      </c>
    </row>
    <row r="3114" spans="1:7" hidden="1" x14ac:dyDescent="0.25">
      <c r="A3114" t="s">
        <v>9409</v>
      </c>
      <c r="B3114" t="s">
        <v>1607</v>
      </c>
      <c r="F3114" t="s">
        <v>9783</v>
      </c>
      <c r="G3114" t="s">
        <v>796</v>
      </c>
    </row>
    <row r="3115" spans="1:7" hidden="1" x14ac:dyDescent="0.25">
      <c r="A3115" t="s">
        <v>9409</v>
      </c>
      <c r="B3115" t="s">
        <v>1607</v>
      </c>
      <c r="F3115" t="s">
        <v>9786</v>
      </c>
      <c r="G3115" t="s">
        <v>796</v>
      </c>
    </row>
    <row r="3116" spans="1:7" hidden="1" x14ac:dyDescent="0.25">
      <c r="A3116" t="s">
        <v>2024</v>
      </c>
      <c r="B3116" t="s">
        <v>796</v>
      </c>
      <c r="F3116" t="s">
        <v>9789</v>
      </c>
      <c r="G3116" t="s">
        <v>796</v>
      </c>
    </row>
    <row r="3117" spans="1:7" hidden="1" x14ac:dyDescent="0.25">
      <c r="A3117" t="s">
        <v>2024</v>
      </c>
      <c r="B3117" t="s">
        <v>796</v>
      </c>
      <c r="F3117" t="s">
        <v>9792</v>
      </c>
      <c r="G3117" t="s">
        <v>796</v>
      </c>
    </row>
    <row r="3118" spans="1:7" hidden="1" x14ac:dyDescent="0.25">
      <c r="A3118" t="s">
        <v>9456</v>
      </c>
      <c r="B3118" t="s">
        <v>1304</v>
      </c>
      <c r="F3118" t="s">
        <v>9795</v>
      </c>
      <c r="G3118" t="s">
        <v>1100</v>
      </c>
    </row>
    <row r="3119" spans="1:7" hidden="1" x14ac:dyDescent="0.25">
      <c r="A3119" t="s">
        <v>9456</v>
      </c>
      <c r="B3119" t="s">
        <v>1304</v>
      </c>
      <c r="F3119" t="s">
        <v>9798</v>
      </c>
      <c r="G3119" t="s">
        <v>1100</v>
      </c>
    </row>
    <row r="3120" spans="1:7" hidden="1" x14ac:dyDescent="0.25">
      <c r="A3120" t="s">
        <v>4</v>
      </c>
      <c r="B3120" t="s">
        <v>9</v>
      </c>
      <c r="F3120" t="s">
        <v>9801</v>
      </c>
      <c r="G3120" t="s">
        <v>1100</v>
      </c>
    </row>
    <row r="3121" spans="1:7" hidden="1" x14ac:dyDescent="0.25">
      <c r="A3121" t="s">
        <v>4</v>
      </c>
      <c r="B3121" t="s">
        <v>5477</v>
      </c>
      <c r="F3121" t="s">
        <v>9804</v>
      </c>
      <c r="G3121" t="s">
        <v>1100</v>
      </c>
    </row>
    <row r="3122" spans="1:7" hidden="1" x14ac:dyDescent="0.25">
      <c r="A3122" t="s">
        <v>5476</v>
      </c>
      <c r="B3122" t="s">
        <v>5480</v>
      </c>
      <c r="C3122" t="s">
        <v>9202</v>
      </c>
      <c r="D3122">
        <v>1</v>
      </c>
      <c r="F3122" t="s">
        <v>9807</v>
      </c>
      <c r="G3122" t="s">
        <v>1100</v>
      </c>
    </row>
    <row r="3123" spans="1:7" hidden="1" x14ac:dyDescent="0.25">
      <c r="A3123" t="s">
        <v>5476</v>
      </c>
      <c r="B3123" t="s">
        <v>5480</v>
      </c>
      <c r="C3123" t="s">
        <v>9202</v>
      </c>
      <c r="D3123">
        <v>2</v>
      </c>
      <c r="F3123" t="s">
        <v>9810</v>
      </c>
      <c r="G3123" t="s">
        <v>1100</v>
      </c>
    </row>
    <row r="3124" spans="1:7" hidden="1" x14ac:dyDescent="0.25">
      <c r="A3124" t="s">
        <v>5476</v>
      </c>
      <c r="B3124" t="s">
        <v>5480</v>
      </c>
      <c r="C3124" t="s">
        <v>9202</v>
      </c>
      <c r="D3124">
        <v>1</v>
      </c>
      <c r="F3124" t="s">
        <v>9813</v>
      </c>
      <c r="G3124" t="s">
        <v>1100</v>
      </c>
    </row>
    <row r="3125" spans="1:7" hidden="1" x14ac:dyDescent="0.25">
      <c r="A3125" t="s">
        <v>4</v>
      </c>
      <c r="B3125" t="s">
        <v>5477</v>
      </c>
      <c r="F3125" t="s">
        <v>9816</v>
      </c>
      <c r="G3125" t="s">
        <v>1100</v>
      </c>
    </row>
    <row r="3126" spans="1:7" hidden="1" x14ac:dyDescent="0.25">
      <c r="A3126" t="s">
        <v>4</v>
      </c>
      <c r="B3126" t="s">
        <v>5477</v>
      </c>
      <c r="F3126" t="s">
        <v>9819</v>
      </c>
      <c r="G3126" t="s">
        <v>1100</v>
      </c>
    </row>
    <row r="3127" spans="1:7" hidden="1" x14ac:dyDescent="0.25">
      <c r="A3127" t="s">
        <v>4</v>
      </c>
      <c r="B3127" t="s">
        <v>86</v>
      </c>
      <c r="E3127" t="s">
        <v>5479</v>
      </c>
      <c r="F3127" t="s">
        <v>9822</v>
      </c>
      <c r="G3127" t="s">
        <v>1100</v>
      </c>
    </row>
    <row r="3128" spans="1:7" hidden="1" x14ac:dyDescent="0.25">
      <c r="A3128" t="s">
        <v>2004</v>
      </c>
      <c r="B3128" t="s">
        <v>8</v>
      </c>
      <c r="F3128" t="s">
        <v>9825</v>
      </c>
      <c r="G3128" s="1" t="s">
        <v>1603</v>
      </c>
    </row>
    <row r="3129" spans="1:7" hidden="1" x14ac:dyDescent="0.25">
      <c r="A3129" t="s">
        <v>533</v>
      </c>
      <c r="B3129" t="s">
        <v>1607</v>
      </c>
      <c r="C3129" t="s">
        <v>58</v>
      </c>
      <c r="F3129" t="s">
        <v>9828</v>
      </c>
      <c r="G3129" s="1" t="s">
        <v>1603</v>
      </c>
    </row>
    <row r="3130" spans="1:7" hidden="1" x14ac:dyDescent="0.25">
      <c r="A3130" t="s">
        <v>4223</v>
      </c>
      <c r="B3130" t="s">
        <v>86</v>
      </c>
      <c r="C3130" t="s">
        <v>9202</v>
      </c>
      <c r="F3130" t="s">
        <v>9831</v>
      </c>
      <c r="G3130" s="1" t="s">
        <v>1603</v>
      </c>
    </row>
    <row r="3131" spans="1:7" hidden="1" x14ac:dyDescent="0.25">
      <c r="A3131" t="s">
        <v>4223</v>
      </c>
      <c r="B3131" t="s">
        <v>86</v>
      </c>
      <c r="C3131" t="s">
        <v>9202</v>
      </c>
      <c r="F3131" t="s">
        <v>9834</v>
      </c>
      <c r="G3131" s="1" t="s">
        <v>1603</v>
      </c>
    </row>
    <row r="3132" spans="1:7" hidden="1" x14ac:dyDescent="0.25">
      <c r="A3132" t="s">
        <v>4223</v>
      </c>
      <c r="B3132" t="s">
        <v>86</v>
      </c>
      <c r="C3132" t="s">
        <v>9202</v>
      </c>
      <c r="F3132" t="s">
        <v>9837</v>
      </c>
      <c r="G3132" s="1" t="s">
        <v>1603</v>
      </c>
    </row>
    <row r="3133" spans="1:7" hidden="1" x14ac:dyDescent="0.25">
      <c r="A3133" t="s">
        <v>2004</v>
      </c>
      <c r="B3133" t="s">
        <v>8</v>
      </c>
      <c r="F3133" t="s">
        <v>9840</v>
      </c>
      <c r="G3133" t="s">
        <v>1817</v>
      </c>
    </row>
    <row r="3134" spans="1:7" hidden="1" x14ac:dyDescent="0.25">
      <c r="A3134" t="s">
        <v>7171</v>
      </c>
      <c r="B3134" t="s">
        <v>5480</v>
      </c>
      <c r="F3134" t="s">
        <v>9843</v>
      </c>
      <c r="G3134" t="s">
        <v>1817</v>
      </c>
    </row>
    <row r="3135" spans="1:7" hidden="1" x14ac:dyDescent="0.25">
      <c r="A3135" t="s">
        <v>7171</v>
      </c>
      <c r="B3135" t="s">
        <v>5480</v>
      </c>
      <c r="E3135" t="s">
        <v>2936</v>
      </c>
      <c r="F3135" t="s">
        <v>9846</v>
      </c>
      <c r="G3135" t="s">
        <v>1817</v>
      </c>
    </row>
    <row r="3136" spans="1:7" hidden="1" x14ac:dyDescent="0.25">
      <c r="A3136" t="s">
        <v>7171</v>
      </c>
      <c r="B3136" t="s">
        <v>5480</v>
      </c>
      <c r="C3136" t="s">
        <v>9202</v>
      </c>
      <c r="F3136" t="s">
        <v>9849</v>
      </c>
      <c r="G3136" t="s">
        <v>1817</v>
      </c>
    </row>
    <row r="3137" spans="1:7" hidden="1" x14ac:dyDescent="0.25">
      <c r="A3137" t="s">
        <v>9876</v>
      </c>
      <c r="B3137" t="s">
        <v>9201</v>
      </c>
      <c r="F3137" t="s">
        <v>9852</v>
      </c>
      <c r="G3137" t="s">
        <v>1934</v>
      </c>
    </row>
    <row r="3138" spans="1:7" hidden="1" x14ac:dyDescent="0.25">
      <c r="A3138" t="s">
        <v>9876</v>
      </c>
      <c r="B3138" t="s">
        <v>9201</v>
      </c>
      <c r="E3138" t="s">
        <v>2936</v>
      </c>
      <c r="F3138" t="s">
        <v>9855</v>
      </c>
      <c r="G3138" t="s">
        <v>1934</v>
      </c>
    </row>
    <row r="3139" spans="1:7" hidden="1" x14ac:dyDescent="0.25">
      <c r="A3139" t="s">
        <v>9876</v>
      </c>
      <c r="B3139" t="s">
        <v>9201</v>
      </c>
      <c r="E3139" t="s">
        <v>2936</v>
      </c>
      <c r="F3139" t="s">
        <v>9858</v>
      </c>
      <c r="G3139" t="s">
        <v>1934</v>
      </c>
    </row>
    <row r="3140" spans="1:7" hidden="1" x14ac:dyDescent="0.25">
      <c r="A3140" t="s">
        <v>9914</v>
      </c>
      <c r="B3140" t="s">
        <v>4247</v>
      </c>
      <c r="E3140" t="s">
        <v>2936</v>
      </c>
      <c r="F3140" t="s">
        <v>9861</v>
      </c>
      <c r="G3140" t="s">
        <v>1934</v>
      </c>
    </row>
    <row r="3141" spans="1:7" hidden="1" x14ac:dyDescent="0.25">
      <c r="A3141" t="s">
        <v>9876</v>
      </c>
      <c r="B3141" t="s">
        <v>9201</v>
      </c>
      <c r="E3141" t="s">
        <v>2936</v>
      </c>
      <c r="F3141" t="s">
        <v>9864</v>
      </c>
      <c r="G3141" t="s">
        <v>1934</v>
      </c>
    </row>
    <row r="3142" spans="1:7" hidden="1" x14ac:dyDescent="0.25">
      <c r="A3142" t="s">
        <v>4</v>
      </c>
      <c r="B3142" t="s">
        <v>8</v>
      </c>
      <c r="F3142" t="s">
        <v>9867</v>
      </c>
      <c r="G3142" t="s">
        <v>1934</v>
      </c>
    </row>
    <row r="3143" spans="1:7" x14ac:dyDescent="0.25">
      <c r="A3143" t="s">
        <v>2004</v>
      </c>
      <c r="B3143" t="s">
        <v>8</v>
      </c>
      <c r="F3143" t="s">
        <v>9870</v>
      </c>
      <c r="G3143" t="s">
        <v>1997</v>
      </c>
    </row>
    <row r="3144" spans="1:7" x14ac:dyDescent="0.25">
      <c r="A3144" t="s">
        <v>2004</v>
      </c>
      <c r="B3144" t="s">
        <v>8</v>
      </c>
      <c r="F3144" t="s">
        <v>9873</v>
      </c>
      <c r="G3144" t="s">
        <v>1997</v>
      </c>
    </row>
    <row r="3145" spans="1:7" hidden="1" x14ac:dyDescent="0.25">
      <c r="A3145" t="s">
        <v>2004</v>
      </c>
      <c r="F3145" t="s">
        <v>9927</v>
      </c>
      <c r="G3145" t="s">
        <v>1102</v>
      </c>
    </row>
    <row r="3146" spans="1:7" hidden="1" x14ac:dyDescent="0.25">
      <c r="A3146" t="s">
        <v>91</v>
      </c>
      <c r="B3146" t="s">
        <v>4193</v>
      </c>
      <c r="C3146" t="s">
        <v>5076</v>
      </c>
      <c r="F3146" t="s">
        <v>9930</v>
      </c>
      <c r="G3146" t="s">
        <v>1102</v>
      </c>
    </row>
    <row r="3147" spans="1:7" hidden="1" x14ac:dyDescent="0.25">
      <c r="A3147" t="s">
        <v>62</v>
      </c>
      <c r="B3147" t="s">
        <v>4193</v>
      </c>
      <c r="C3147" t="s">
        <v>5076</v>
      </c>
      <c r="F3147" t="s">
        <v>9933</v>
      </c>
      <c r="G3147" t="s">
        <v>1102</v>
      </c>
    </row>
    <row r="3148" spans="1:7" hidden="1" x14ac:dyDescent="0.25">
      <c r="A3148" t="s">
        <v>1606</v>
      </c>
      <c r="B3148" t="s">
        <v>10140</v>
      </c>
      <c r="E3148" t="s">
        <v>5474</v>
      </c>
      <c r="F3148" t="s">
        <v>9915</v>
      </c>
      <c r="G3148" t="s">
        <v>1103</v>
      </c>
    </row>
    <row r="3149" spans="1:7" hidden="1" x14ac:dyDescent="0.25">
      <c r="A3149" t="s">
        <v>650</v>
      </c>
      <c r="B3149" t="s">
        <v>10140</v>
      </c>
      <c r="F3149" t="s">
        <v>9918</v>
      </c>
      <c r="G3149" t="s">
        <v>1103</v>
      </c>
    </row>
    <row r="3150" spans="1:7" hidden="1" x14ac:dyDescent="0.25">
      <c r="A3150" t="s">
        <v>1606</v>
      </c>
      <c r="B3150" t="s">
        <v>4193</v>
      </c>
      <c r="E3150" t="s">
        <v>5474</v>
      </c>
      <c r="F3150" t="s">
        <v>9921</v>
      </c>
      <c r="G3150" t="s">
        <v>1103</v>
      </c>
    </row>
    <row r="3151" spans="1:7" hidden="1" x14ac:dyDescent="0.25">
      <c r="A3151" t="s">
        <v>650</v>
      </c>
      <c r="B3151" t="s">
        <v>4193</v>
      </c>
      <c r="F3151" t="s">
        <v>9924</v>
      </c>
      <c r="G3151" t="s">
        <v>1103</v>
      </c>
    </row>
    <row r="3152" spans="1:7" hidden="1" x14ac:dyDescent="0.25">
      <c r="A3152" t="s">
        <v>4</v>
      </c>
      <c r="B3152" t="s">
        <v>8803</v>
      </c>
      <c r="F3152" t="s">
        <v>9951</v>
      </c>
      <c r="G3152" t="s">
        <v>91</v>
      </c>
    </row>
    <row r="3153" spans="1:7" hidden="1" x14ac:dyDescent="0.25">
      <c r="A3153" t="s">
        <v>4</v>
      </c>
      <c r="B3153" t="s">
        <v>8803</v>
      </c>
      <c r="F3153" t="s">
        <v>9954</v>
      </c>
      <c r="G3153" t="s">
        <v>91</v>
      </c>
    </row>
    <row r="3154" spans="1:7" hidden="1" x14ac:dyDescent="0.25">
      <c r="A3154" t="s">
        <v>4</v>
      </c>
      <c r="B3154" t="s">
        <v>8803</v>
      </c>
      <c r="F3154" t="s">
        <v>9957</v>
      </c>
      <c r="G3154" t="s">
        <v>91</v>
      </c>
    </row>
    <row r="3155" spans="1:7" hidden="1" x14ac:dyDescent="0.25">
      <c r="A3155" t="s">
        <v>4</v>
      </c>
      <c r="B3155" t="s">
        <v>8803</v>
      </c>
      <c r="F3155" t="s">
        <v>10122</v>
      </c>
      <c r="G3155" t="s">
        <v>1104</v>
      </c>
    </row>
    <row r="3156" spans="1:7" hidden="1" x14ac:dyDescent="0.25">
      <c r="A3156" t="s">
        <v>4</v>
      </c>
      <c r="B3156" t="s">
        <v>8803</v>
      </c>
      <c r="F3156" t="s">
        <v>9960</v>
      </c>
      <c r="G3156" t="s">
        <v>1104</v>
      </c>
    </row>
    <row r="3157" spans="1:7" hidden="1" x14ac:dyDescent="0.25">
      <c r="A3157" t="s">
        <v>4</v>
      </c>
      <c r="B3157" t="s">
        <v>8803</v>
      </c>
      <c r="F3157" t="s">
        <v>9963</v>
      </c>
      <c r="G3157" t="s">
        <v>1104</v>
      </c>
    </row>
    <row r="3158" spans="1:7" hidden="1" x14ac:dyDescent="0.25">
      <c r="A3158" t="s">
        <v>4</v>
      </c>
      <c r="B3158" t="s">
        <v>8803</v>
      </c>
      <c r="F3158" t="s">
        <v>9966</v>
      </c>
      <c r="G3158" t="s">
        <v>1104</v>
      </c>
    </row>
    <row r="3159" spans="1:7" hidden="1" x14ac:dyDescent="0.25">
      <c r="A3159" t="s">
        <v>4</v>
      </c>
      <c r="B3159" t="s">
        <v>9876</v>
      </c>
      <c r="F3159" t="s">
        <v>9936</v>
      </c>
      <c r="G3159" t="s">
        <v>1105</v>
      </c>
    </row>
    <row r="3160" spans="1:7" hidden="1" x14ac:dyDescent="0.25">
      <c r="A3160" t="s">
        <v>4</v>
      </c>
      <c r="B3160" t="s">
        <v>9876</v>
      </c>
      <c r="F3160" t="s">
        <v>9939</v>
      </c>
      <c r="G3160" t="s">
        <v>1105</v>
      </c>
    </row>
    <row r="3161" spans="1:7" hidden="1" x14ac:dyDescent="0.25">
      <c r="A3161" t="s">
        <v>4</v>
      </c>
      <c r="B3161" t="s">
        <v>9876</v>
      </c>
      <c r="F3161" t="s">
        <v>9942</v>
      </c>
      <c r="G3161" t="s">
        <v>1105</v>
      </c>
    </row>
    <row r="3162" spans="1:7" hidden="1" x14ac:dyDescent="0.25">
      <c r="A3162" t="s">
        <v>4</v>
      </c>
      <c r="B3162" t="s">
        <v>9876</v>
      </c>
      <c r="F3162" t="s">
        <v>9945</v>
      </c>
      <c r="G3162" t="s">
        <v>1105</v>
      </c>
    </row>
    <row r="3163" spans="1:7" hidden="1" x14ac:dyDescent="0.25">
      <c r="A3163" t="s">
        <v>4</v>
      </c>
      <c r="B3163" t="s">
        <v>8</v>
      </c>
      <c r="F3163" t="s">
        <v>9948</v>
      </c>
      <c r="G3163" t="s">
        <v>1105</v>
      </c>
    </row>
    <row r="3164" spans="1:7" hidden="1" x14ac:dyDescent="0.25">
      <c r="A3164" t="s">
        <v>2004</v>
      </c>
      <c r="B3164" t="s">
        <v>8</v>
      </c>
      <c r="F3164" t="s">
        <v>9969</v>
      </c>
      <c r="G3164" t="s">
        <v>1106</v>
      </c>
    </row>
    <row r="3165" spans="1:7" hidden="1" x14ac:dyDescent="0.25">
      <c r="A3165" t="s">
        <v>4</v>
      </c>
      <c r="B3165" t="s">
        <v>8</v>
      </c>
      <c r="F3165" t="s">
        <v>9972</v>
      </c>
      <c r="G3165" t="s">
        <v>1106</v>
      </c>
    </row>
    <row r="3166" spans="1:7" hidden="1" x14ac:dyDescent="0.25">
      <c r="A3166" t="s">
        <v>4</v>
      </c>
      <c r="B3166" t="s">
        <v>8</v>
      </c>
      <c r="E3166" t="s">
        <v>2936</v>
      </c>
      <c r="F3166" t="s">
        <v>9975</v>
      </c>
      <c r="G3166" t="s">
        <v>1106</v>
      </c>
    </row>
    <row r="3167" spans="1:7" hidden="1" x14ac:dyDescent="0.25">
      <c r="A3167" t="s">
        <v>4</v>
      </c>
      <c r="B3167" t="s">
        <v>9913</v>
      </c>
      <c r="E3167" t="s">
        <v>2936</v>
      </c>
      <c r="F3167" t="s">
        <v>10125</v>
      </c>
      <c r="G3167" t="s">
        <v>1107</v>
      </c>
    </row>
    <row r="3168" spans="1:7" hidden="1" x14ac:dyDescent="0.25">
      <c r="A3168" t="s">
        <v>4</v>
      </c>
      <c r="B3168" t="s">
        <v>9913</v>
      </c>
      <c r="E3168" t="s">
        <v>2936</v>
      </c>
      <c r="F3168" t="s">
        <v>10128</v>
      </c>
      <c r="G3168" t="s">
        <v>1107</v>
      </c>
    </row>
    <row r="3169" spans="1:7" hidden="1" x14ac:dyDescent="0.25">
      <c r="A3169" t="s">
        <v>4</v>
      </c>
      <c r="B3169" t="s">
        <v>9913</v>
      </c>
      <c r="E3169" t="s">
        <v>2936</v>
      </c>
      <c r="F3169" t="s">
        <v>10131</v>
      </c>
      <c r="G3169" t="s">
        <v>1107</v>
      </c>
    </row>
    <row r="3170" spans="1:7" hidden="1" x14ac:dyDescent="0.25">
      <c r="A3170" t="s">
        <v>4</v>
      </c>
      <c r="B3170" t="s">
        <v>9913</v>
      </c>
      <c r="E3170" t="s">
        <v>2936</v>
      </c>
      <c r="F3170" t="s">
        <v>10134</v>
      </c>
      <c r="G3170" t="s">
        <v>1107</v>
      </c>
    </row>
    <row r="3171" spans="1:7" hidden="1" x14ac:dyDescent="0.25">
      <c r="A3171" t="s">
        <v>2004</v>
      </c>
      <c r="B3171" t="s">
        <v>8</v>
      </c>
      <c r="F3171" t="s">
        <v>10137</v>
      </c>
      <c r="G3171" t="s">
        <v>1107</v>
      </c>
    </row>
    <row r="3172" spans="1:7" hidden="1" x14ac:dyDescent="0.25">
      <c r="A3172" t="s">
        <v>2024</v>
      </c>
      <c r="B3172" t="s">
        <v>796</v>
      </c>
      <c r="F3172" t="s">
        <v>9978</v>
      </c>
      <c r="G3172" t="s">
        <v>796</v>
      </c>
    </row>
    <row r="3173" spans="1:7" hidden="1" x14ac:dyDescent="0.25">
      <c r="A3173" t="s">
        <v>2024</v>
      </c>
      <c r="B3173" t="s">
        <v>796</v>
      </c>
      <c r="F3173" t="s">
        <v>9981</v>
      </c>
      <c r="G3173" t="s">
        <v>796</v>
      </c>
    </row>
    <row r="3174" spans="1:7" hidden="1" x14ac:dyDescent="0.25">
      <c r="A3174" t="s">
        <v>2024</v>
      </c>
      <c r="B3174" t="s">
        <v>796</v>
      </c>
      <c r="F3174" t="s">
        <v>9984</v>
      </c>
      <c r="G3174" t="s">
        <v>796</v>
      </c>
    </row>
    <row r="3175" spans="1:7" hidden="1" x14ac:dyDescent="0.25">
      <c r="A3175" t="s">
        <v>9409</v>
      </c>
      <c r="B3175" t="s">
        <v>1607</v>
      </c>
      <c r="F3175" t="s">
        <v>9987</v>
      </c>
      <c r="G3175" t="s">
        <v>796</v>
      </c>
    </row>
    <row r="3176" spans="1:7" hidden="1" x14ac:dyDescent="0.25">
      <c r="A3176" t="s">
        <v>9409</v>
      </c>
      <c r="B3176" t="s">
        <v>1607</v>
      </c>
      <c r="F3176" t="s">
        <v>9990</v>
      </c>
      <c r="G3176" t="s">
        <v>796</v>
      </c>
    </row>
    <row r="3177" spans="1:7" hidden="1" x14ac:dyDescent="0.25">
      <c r="A3177" t="s">
        <v>9409</v>
      </c>
      <c r="B3177" t="s">
        <v>1607</v>
      </c>
      <c r="F3177" t="s">
        <v>9993</v>
      </c>
      <c r="G3177" t="s">
        <v>796</v>
      </c>
    </row>
    <row r="3178" spans="1:7" hidden="1" x14ac:dyDescent="0.25">
      <c r="A3178" t="s">
        <v>9409</v>
      </c>
      <c r="B3178" t="s">
        <v>1607</v>
      </c>
      <c r="F3178" t="s">
        <v>9996</v>
      </c>
      <c r="G3178" t="s">
        <v>796</v>
      </c>
    </row>
    <row r="3179" spans="1:7" hidden="1" x14ac:dyDescent="0.25">
      <c r="A3179" t="s">
        <v>9409</v>
      </c>
      <c r="B3179" t="s">
        <v>1607</v>
      </c>
      <c r="F3179" t="s">
        <v>9999</v>
      </c>
      <c r="G3179" t="s">
        <v>796</v>
      </c>
    </row>
    <row r="3180" spans="1:7" hidden="1" x14ac:dyDescent="0.25">
      <c r="A3180" t="s">
        <v>9409</v>
      </c>
      <c r="B3180" t="s">
        <v>1607</v>
      </c>
      <c r="F3180" t="s">
        <v>10002</v>
      </c>
      <c r="G3180" t="s">
        <v>796</v>
      </c>
    </row>
    <row r="3181" spans="1:7" hidden="1" x14ac:dyDescent="0.25">
      <c r="A3181" t="s">
        <v>2024</v>
      </c>
      <c r="B3181" t="s">
        <v>796</v>
      </c>
      <c r="F3181" t="s">
        <v>10005</v>
      </c>
      <c r="G3181" t="s">
        <v>796</v>
      </c>
    </row>
    <row r="3182" spans="1:7" hidden="1" x14ac:dyDescent="0.25">
      <c r="A3182" t="s">
        <v>9455</v>
      </c>
      <c r="B3182" t="s">
        <v>531</v>
      </c>
      <c r="F3182" t="s">
        <v>10008</v>
      </c>
      <c r="G3182" t="s">
        <v>796</v>
      </c>
    </row>
    <row r="3183" spans="1:7" hidden="1" x14ac:dyDescent="0.25">
      <c r="A3183" t="s">
        <v>4</v>
      </c>
      <c r="B3183" t="s">
        <v>9</v>
      </c>
      <c r="F3183" t="s">
        <v>10011</v>
      </c>
      <c r="G3183" t="s">
        <v>796</v>
      </c>
    </row>
    <row r="3184" spans="1:7" hidden="1" x14ac:dyDescent="0.25">
      <c r="A3184" t="s">
        <v>2024</v>
      </c>
      <c r="B3184" t="s">
        <v>796</v>
      </c>
      <c r="F3184" t="s">
        <v>10014</v>
      </c>
      <c r="G3184" t="s">
        <v>796</v>
      </c>
    </row>
    <row r="3185" spans="1:7" hidden="1" x14ac:dyDescent="0.25">
      <c r="A3185" t="s">
        <v>9200</v>
      </c>
      <c r="B3185" t="s">
        <v>5137</v>
      </c>
      <c r="F3185" t="s">
        <v>10017</v>
      </c>
      <c r="G3185" t="s">
        <v>1100</v>
      </c>
    </row>
    <row r="3186" spans="1:7" hidden="1" x14ac:dyDescent="0.25">
      <c r="A3186" t="s">
        <v>4</v>
      </c>
      <c r="B3186" t="s">
        <v>7709</v>
      </c>
      <c r="F3186" t="s">
        <v>10020</v>
      </c>
      <c r="G3186" t="s">
        <v>1100</v>
      </c>
    </row>
    <row r="3187" spans="1:7" hidden="1" x14ac:dyDescent="0.25">
      <c r="A3187" t="s">
        <v>5476</v>
      </c>
      <c r="B3187" t="s">
        <v>5480</v>
      </c>
      <c r="C3187" t="s">
        <v>9202</v>
      </c>
      <c r="D3187">
        <v>1</v>
      </c>
      <c r="F3187" t="s">
        <v>10023</v>
      </c>
      <c r="G3187" t="s">
        <v>1100</v>
      </c>
    </row>
    <row r="3188" spans="1:7" hidden="1" x14ac:dyDescent="0.25">
      <c r="A3188" t="s">
        <v>5476</v>
      </c>
      <c r="B3188" t="s">
        <v>5480</v>
      </c>
      <c r="C3188" t="s">
        <v>9202</v>
      </c>
      <c r="D3188">
        <v>1</v>
      </c>
      <c r="F3188" t="s">
        <v>10026</v>
      </c>
      <c r="G3188" t="s">
        <v>1100</v>
      </c>
    </row>
    <row r="3189" spans="1:7" hidden="1" x14ac:dyDescent="0.25">
      <c r="A3189" t="s">
        <v>9692</v>
      </c>
      <c r="B3189" t="s">
        <v>5137</v>
      </c>
      <c r="F3189" t="s">
        <v>10029</v>
      </c>
      <c r="G3189" t="s">
        <v>1100</v>
      </c>
    </row>
    <row r="3190" spans="1:7" hidden="1" x14ac:dyDescent="0.25">
      <c r="A3190" t="s">
        <v>5476</v>
      </c>
      <c r="B3190" t="s">
        <v>5480</v>
      </c>
      <c r="C3190" t="s">
        <v>9202</v>
      </c>
      <c r="D3190">
        <v>2</v>
      </c>
      <c r="F3190" t="s">
        <v>10032</v>
      </c>
      <c r="G3190" t="s">
        <v>1100</v>
      </c>
    </row>
    <row r="3191" spans="1:7" hidden="1" x14ac:dyDescent="0.25">
      <c r="A3191" t="s">
        <v>158</v>
      </c>
      <c r="B3191" t="s">
        <v>5480</v>
      </c>
      <c r="C3191" t="s">
        <v>528</v>
      </c>
      <c r="D3191">
        <v>1</v>
      </c>
      <c r="F3191" t="s">
        <v>10035</v>
      </c>
      <c r="G3191" t="s">
        <v>1100</v>
      </c>
    </row>
    <row r="3192" spans="1:7" hidden="1" x14ac:dyDescent="0.25">
      <c r="A3192" t="s">
        <v>650</v>
      </c>
      <c r="B3192" t="s">
        <v>5480</v>
      </c>
      <c r="F3192" t="s">
        <v>10038</v>
      </c>
      <c r="G3192" t="s">
        <v>1100</v>
      </c>
    </row>
    <row r="3193" spans="1:7" hidden="1" x14ac:dyDescent="0.25">
      <c r="A3193" t="s">
        <v>4</v>
      </c>
      <c r="B3193" t="s">
        <v>8824</v>
      </c>
      <c r="F3193" t="s">
        <v>10041</v>
      </c>
      <c r="G3193" t="s">
        <v>1100</v>
      </c>
    </row>
    <row r="3194" spans="1:7" hidden="1" x14ac:dyDescent="0.25">
      <c r="A3194" t="s">
        <v>1606</v>
      </c>
      <c r="B3194" t="s">
        <v>10140</v>
      </c>
      <c r="F3194" t="s">
        <v>10044</v>
      </c>
      <c r="G3194" s="1" t="s">
        <v>1603</v>
      </c>
    </row>
    <row r="3195" spans="1:7" hidden="1" x14ac:dyDescent="0.25">
      <c r="A3195" t="s">
        <v>650</v>
      </c>
      <c r="B3195" t="s">
        <v>10140</v>
      </c>
      <c r="F3195" t="s">
        <v>10047</v>
      </c>
      <c r="G3195" s="1" t="s">
        <v>1603</v>
      </c>
    </row>
    <row r="3196" spans="1:7" hidden="1" x14ac:dyDescent="0.25">
      <c r="A3196" t="s">
        <v>159</v>
      </c>
      <c r="B3196" t="s">
        <v>10140</v>
      </c>
      <c r="F3196" t="s">
        <v>10050</v>
      </c>
      <c r="G3196" s="1" t="s">
        <v>1603</v>
      </c>
    </row>
    <row r="3197" spans="1:7" hidden="1" x14ac:dyDescent="0.25">
      <c r="A3197" t="s">
        <v>533</v>
      </c>
      <c r="B3197" t="s">
        <v>1607</v>
      </c>
      <c r="C3197" t="s">
        <v>58</v>
      </c>
      <c r="F3197" t="s">
        <v>10053</v>
      </c>
      <c r="G3197" s="1" t="s">
        <v>1603</v>
      </c>
    </row>
    <row r="3198" spans="1:7" hidden="1" x14ac:dyDescent="0.25">
      <c r="A3198" t="s">
        <v>10141</v>
      </c>
      <c r="B3198" t="s">
        <v>10140</v>
      </c>
      <c r="F3198" t="s">
        <v>10056</v>
      </c>
      <c r="G3198" s="1" t="s">
        <v>1603</v>
      </c>
    </row>
    <row r="3199" spans="1:7" hidden="1" x14ac:dyDescent="0.25">
      <c r="A3199" t="s">
        <v>533</v>
      </c>
      <c r="B3199" t="s">
        <v>1607</v>
      </c>
      <c r="C3199" t="s">
        <v>58</v>
      </c>
      <c r="F3199" t="s">
        <v>10059</v>
      </c>
      <c r="G3199" s="1" t="s">
        <v>1603</v>
      </c>
    </row>
    <row r="3200" spans="1:7" hidden="1" x14ac:dyDescent="0.25">
      <c r="A3200" t="s">
        <v>4223</v>
      </c>
      <c r="B3200" t="s">
        <v>86</v>
      </c>
      <c r="C3200" t="s">
        <v>9202</v>
      </c>
      <c r="F3200" t="s">
        <v>10062</v>
      </c>
      <c r="G3200" s="1" t="s">
        <v>1603</v>
      </c>
    </row>
    <row r="3201" spans="1:7" hidden="1" x14ac:dyDescent="0.25">
      <c r="A3201" t="s">
        <v>159</v>
      </c>
      <c r="B3201" t="s">
        <v>4193</v>
      </c>
      <c r="F3201" t="s">
        <v>10065</v>
      </c>
      <c r="G3201" s="1" t="s">
        <v>1603</v>
      </c>
    </row>
    <row r="3202" spans="1:7" hidden="1" x14ac:dyDescent="0.25">
      <c r="A3202" t="s">
        <v>533</v>
      </c>
      <c r="B3202" t="s">
        <v>1607</v>
      </c>
      <c r="C3202" t="s">
        <v>58</v>
      </c>
      <c r="F3202" t="s">
        <v>10068</v>
      </c>
      <c r="G3202" s="1" t="s">
        <v>1603</v>
      </c>
    </row>
    <row r="3203" spans="1:7" hidden="1" x14ac:dyDescent="0.25">
      <c r="A3203" t="s">
        <v>10142</v>
      </c>
      <c r="B3203" t="s">
        <v>4193</v>
      </c>
      <c r="F3203" t="s">
        <v>10071</v>
      </c>
      <c r="G3203" s="1" t="s">
        <v>1603</v>
      </c>
    </row>
    <row r="3204" spans="1:7" hidden="1" x14ac:dyDescent="0.25">
      <c r="A3204" t="s">
        <v>533</v>
      </c>
      <c r="B3204" t="s">
        <v>1607</v>
      </c>
      <c r="C3204" t="s">
        <v>58</v>
      </c>
      <c r="F3204" t="s">
        <v>10074</v>
      </c>
      <c r="G3204" s="1" t="s">
        <v>1603</v>
      </c>
    </row>
    <row r="3205" spans="1:7" hidden="1" x14ac:dyDescent="0.25">
      <c r="A3205" t="s">
        <v>4223</v>
      </c>
      <c r="B3205" t="s">
        <v>86</v>
      </c>
      <c r="C3205" t="s">
        <v>9202</v>
      </c>
      <c r="E3205" t="s">
        <v>4236</v>
      </c>
      <c r="F3205" t="s">
        <v>10077</v>
      </c>
      <c r="G3205" s="1" t="s">
        <v>1603</v>
      </c>
    </row>
    <row r="3206" spans="1:7" hidden="1" x14ac:dyDescent="0.25">
      <c r="A3206" t="s">
        <v>4223</v>
      </c>
      <c r="B3206" t="s">
        <v>86</v>
      </c>
      <c r="C3206" t="s">
        <v>9202</v>
      </c>
      <c r="E3206" t="s">
        <v>4236</v>
      </c>
      <c r="F3206" t="s">
        <v>10080</v>
      </c>
      <c r="G3206" s="1" t="s">
        <v>1603</v>
      </c>
    </row>
    <row r="3207" spans="1:7" hidden="1" x14ac:dyDescent="0.25">
      <c r="A3207" t="s">
        <v>533</v>
      </c>
      <c r="B3207" t="s">
        <v>1607</v>
      </c>
      <c r="C3207" t="s">
        <v>53</v>
      </c>
      <c r="F3207" t="s">
        <v>10083</v>
      </c>
      <c r="G3207" s="1" t="s">
        <v>1603</v>
      </c>
    </row>
    <row r="3208" spans="1:7" hidden="1" x14ac:dyDescent="0.25">
      <c r="A3208" t="s">
        <v>4</v>
      </c>
      <c r="B3208" t="s">
        <v>8</v>
      </c>
      <c r="F3208" t="s">
        <v>10086</v>
      </c>
      <c r="G3208" t="s">
        <v>1817</v>
      </c>
    </row>
    <row r="3209" spans="1:7" hidden="1" x14ac:dyDescent="0.25">
      <c r="A3209" t="s">
        <v>7171</v>
      </c>
      <c r="B3209" t="s">
        <v>5480</v>
      </c>
      <c r="C3209" t="s">
        <v>9202</v>
      </c>
      <c r="F3209" t="s">
        <v>10089</v>
      </c>
      <c r="G3209" t="s">
        <v>1817</v>
      </c>
    </row>
    <row r="3210" spans="1:7" hidden="1" x14ac:dyDescent="0.25">
      <c r="A3210" t="s">
        <v>651</v>
      </c>
      <c r="B3210" t="s">
        <v>5480</v>
      </c>
      <c r="F3210" t="s">
        <v>10092</v>
      </c>
      <c r="G3210" t="s">
        <v>1817</v>
      </c>
    </row>
    <row r="3211" spans="1:7" hidden="1" x14ac:dyDescent="0.25">
      <c r="A3211" t="s">
        <v>651</v>
      </c>
      <c r="B3211" t="s">
        <v>5480</v>
      </c>
      <c r="F3211" t="s">
        <v>10095</v>
      </c>
      <c r="G3211" t="s">
        <v>1817</v>
      </c>
    </row>
    <row r="3212" spans="1:7" hidden="1" x14ac:dyDescent="0.25">
      <c r="A3212" t="s">
        <v>651</v>
      </c>
      <c r="B3212" t="s">
        <v>5480</v>
      </c>
      <c r="F3212" t="s">
        <v>10098</v>
      </c>
      <c r="G3212" t="s">
        <v>1817</v>
      </c>
    </row>
    <row r="3213" spans="1:7" hidden="1" x14ac:dyDescent="0.25">
      <c r="A3213" t="s">
        <v>651</v>
      </c>
      <c r="B3213" t="s">
        <v>5480</v>
      </c>
      <c r="F3213" t="s">
        <v>10101</v>
      </c>
      <c r="G3213" t="s">
        <v>1817</v>
      </c>
    </row>
    <row r="3214" spans="1:7" hidden="1" x14ac:dyDescent="0.25">
      <c r="A3214" t="s">
        <v>4</v>
      </c>
      <c r="B3214" t="s">
        <v>8</v>
      </c>
      <c r="F3214" t="s">
        <v>10104</v>
      </c>
      <c r="G3214" t="s">
        <v>1934</v>
      </c>
    </row>
    <row r="3215" spans="1:7" hidden="1" x14ac:dyDescent="0.25">
      <c r="A3215" t="s">
        <v>9876</v>
      </c>
      <c r="B3215" t="s">
        <v>9201</v>
      </c>
      <c r="F3215" t="s">
        <v>10107</v>
      </c>
      <c r="G3215" t="s">
        <v>1934</v>
      </c>
    </row>
    <row r="3216" spans="1:7" hidden="1" x14ac:dyDescent="0.25">
      <c r="A3216" t="s">
        <v>9876</v>
      </c>
      <c r="B3216" t="s">
        <v>9201</v>
      </c>
      <c r="F3216" t="s">
        <v>10110</v>
      </c>
      <c r="G3216" t="s">
        <v>1934</v>
      </c>
    </row>
    <row r="3217" spans="1:7" x14ac:dyDescent="0.25">
      <c r="A3217" t="s">
        <v>2004</v>
      </c>
      <c r="B3217" t="s">
        <v>8</v>
      </c>
      <c r="F3217" t="s">
        <v>10113</v>
      </c>
      <c r="G3217" t="s">
        <v>1997</v>
      </c>
    </row>
    <row r="3218" spans="1:7" x14ac:dyDescent="0.25">
      <c r="A3218" t="s">
        <v>7171</v>
      </c>
      <c r="B3218" t="s">
        <v>5480</v>
      </c>
      <c r="C3218" t="s">
        <v>9202</v>
      </c>
      <c r="F3218" t="s">
        <v>10116</v>
      </c>
      <c r="G3218" t="s">
        <v>1997</v>
      </c>
    </row>
    <row r="3219" spans="1:7" x14ac:dyDescent="0.25">
      <c r="A3219" t="s">
        <v>4</v>
      </c>
      <c r="B3219" t="s">
        <v>8</v>
      </c>
      <c r="F3219" t="s">
        <v>10119</v>
      </c>
      <c r="G3219" t="s">
        <v>1997</v>
      </c>
    </row>
    <row r="3220" spans="1:7" hidden="1" x14ac:dyDescent="0.25">
      <c r="A3220" t="s">
        <v>91</v>
      </c>
      <c r="B3220" t="s">
        <v>10164</v>
      </c>
      <c r="C3220" t="s">
        <v>60</v>
      </c>
      <c r="F3220" t="s">
        <v>10158</v>
      </c>
      <c r="G3220" t="s">
        <v>1102</v>
      </c>
    </row>
    <row r="3221" spans="1:7" hidden="1" x14ac:dyDescent="0.25">
      <c r="A3221" t="s">
        <v>62</v>
      </c>
      <c r="B3221" t="s">
        <v>10164</v>
      </c>
      <c r="C3221" t="s">
        <v>51</v>
      </c>
      <c r="F3221" t="s">
        <v>10161</v>
      </c>
      <c r="G3221" t="s">
        <v>1102</v>
      </c>
    </row>
    <row r="3222" spans="1:7" hidden="1" x14ac:dyDescent="0.25">
      <c r="A3222" t="s">
        <v>91</v>
      </c>
      <c r="B3222" t="s">
        <v>10165</v>
      </c>
      <c r="C3222" t="s">
        <v>60</v>
      </c>
      <c r="F3222" t="s">
        <v>10143</v>
      </c>
      <c r="G3222" t="s">
        <v>1102</v>
      </c>
    </row>
    <row r="3223" spans="1:7" hidden="1" x14ac:dyDescent="0.25">
      <c r="A3223" t="s">
        <v>91</v>
      </c>
      <c r="B3223" t="s">
        <v>10166</v>
      </c>
      <c r="F3223" t="s">
        <v>10146</v>
      </c>
      <c r="G3223" t="s">
        <v>1102</v>
      </c>
    </row>
    <row r="3224" spans="1:7" hidden="1" x14ac:dyDescent="0.25">
      <c r="A3224" t="s">
        <v>62</v>
      </c>
      <c r="B3224" t="s">
        <v>10165</v>
      </c>
      <c r="C3224" t="s">
        <v>10167</v>
      </c>
      <c r="D3224">
        <v>1</v>
      </c>
      <c r="F3224" t="s">
        <v>10149</v>
      </c>
      <c r="G3224" t="s">
        <v>1102</v>
      </c>
    </row>
    <row r="3225" spans="1:7" hidden="1" x14ac:dyDescent="0.25">
      <c r="A3225" t="s">
        <v>62</v>
      </c>
      <c r="B3225" t="s">
        <v>10166</v>
      </c>
      <c r="F3225" t="s">
        <v>10152</v>
      </c>
      <c r="G3225" t="s">
        <v>1102</v>
      </c>
    </row>
    <row r="3226" spans="1:7" hidden="1" x14ac:dyDescent="0.25">
      <c r="A3226" t="s">
        <v>62</v>
      </c>
      <c r="B3226" t="s">
        <v>9520</v>
      </c>
      <c r="C3226" t="s">
        <v>58</v>
      </c>
      <c r="E3226" t="s">
        <v>9336</v>
      </c>
      <c r="F3226" t="s">
        <v>10155</v>
      </c>
      <c r="G3226" t="s">
        <v>1102</v>
      </c>
    </row>
    <row r="3227" spans="1:7" hidden="1" x14ac:dyDescent="0.25">
      <c r="A3227" t="s">
        <v>1606</v>
      </c>
      <c r="B3227" t="s">
        <v>10166</v>
      </c>
      <c r="C3227" t="s">
        <v>5076</v>
      </c>
      <c r="F3227" t="s">
        <v>10168</v>
      </c>
      <c r="G3227" t="s">
        <v>1103</v>
      </c>
    </row>
    <row r="3228" spans="1:7" hidden="1" x14ac:dyDescent="0.25">
      <c r="A3228" t="s">
        <v>6171</v>
      </c>
      <c r="B3228" t="s">
        <v>10166</v>
      </c>
      <c r="C3228" t="s">
        <v>5076</v>
      </c>
      <c r="E3228" t="s">
        <v>5474</v>
      </c>
      <c r="F3228" t="s">
        <v>10171</v>
      </c>
      <c r="G3228" t="s">
        <v>1103</v>
      </c>
    </row>
    <row r="3229" spans="1:7" hidden="1" x14ac:dyDescent="0.25">
      <c r="A3229" t="s">
        <v>650</v>
      </c>
      <c r="B3229" t="s">
        <v>10166</v>
      </c>
      <c r="C3229" t="s">
        <v>5076</v>
      </c>
      <c r="E3229" s="7"/>
      <c r="F3229" t="s">
        <v>10174</v>
      </c>
      <c r="G3229" t="s">
        <v>1103</v>
      </c>
    </row>
    <row r="3230" spans="1:7" hidden="1" x14ac:dyDescent="0.25">
      <c r="A3230" t="s">
        <v>290</v>
      </c>
      <c r="B3230" t="s">
        <v>86</v>
      </c>
      <c r="C3230" t="s">
        <v>60</v>
      </c>
      <c r="D3230">
        <v>2</v>
      </c>
      <c r="E3230" t="s">
        <v>10210</v>
      </c>
      <c r="F3230" t="s">
        <v>10180</v>
      </c>
      <c r="G3230" t="s">
        <v>1105</v>
      </c>
    </row>
    <row r="3231" spans="1:7" hidden="1" x14ac:dyDescent="0.25">
      <c r="A3231" t="s">
        <v>290</v>
      </c>
      <c r="B3231" t="s">
        <v>86</v>
      </c>
      <c r="C3231" t="s">
        <v>60</v>
      </c>
      <c r="D3231">
        <v>4</v>
      </c>
      <c r="F3231" t="s">
        <v>10183</v>
      </c>
      <c r="G3231" t="s">
        <v>1105</v>
      </c>
    </row>
    <row r="3232" spans="1:7" hidden="1" x14ac:dyDescent="0.25">
      <c r="A3232" t="s">
        <v>290</v>
      </c>
      <c r="B3232" t="s">
        <v>86</v>
      </c>
      <c r="C3232" t="s">
        <v>60</v>
      </c>
      <c r="D3232">
        <v>3</v>
      </c>
      <c r="F3232" t="s">
        <v>10189</v>
      </c>
      <c r="G3232" t="s">
        <v>1105</v>
      </c>
    </row>
    <row r="3233" spans="1:7" hidden="1" x14ac:dyDescent="0.25">
      <c r="A3233" t="s">
        <v>290</v>
      </c>
      <c r="B3233" t="s">
        <v>86</v>
      </c>
      <c r="C3233" t="s">
        <v>60</v>
      </c>
      <c r="D3233">
        <v>4</v>
      </c>
      <c r="F3233" t="s">
        <v>10192</v>
      </c>
      <c r="G3233" t="s">
        <v>1105</v>
      </c>
    </row>
    <row r="3234" spans="1:7" hidden="1" x14ac:dyDescent="0.25">
      <c r="A3234" t="s">
        <v>290</v>
      </c>
      <c r="B3234" t="s">
        <v>86</v>
      </c>
      <c r="C3234" t="s">
        <v>60</v>
      </c>
      <c r="D3234">
        <v>3</v>
      </c>
      <c r="F3234" t="s">
        <v>10195</v>
      </c>
      <c r="G3234" t="s">
        <v>1105</v>
      </c>
    </row>
    <row r="3235" spans="1:7" hidden="1" x14ac:dyDescent="0.25">
      <c r="A3235" t="s">
        <v>290</v>
      </c>
      <c r="B3235" t="s">
        <v>86</v>
      </c>
      <c r="C3235" t="s">
        <v>60</v>
      </c>
      <c r="E3235" t="s">
        <v>2936</v>
      </c>
      <c r="F3235" t="s">
        <v>10198</v>
      </c>
      <c r="G3235" t="s">
        <v>1105</v>
      </c>
    </row>
    <row r="3236" spans="1:7" hidden="1" x14ac:dyDescent="0.25">
      <c r="A3236" t="s">
        <v>290</v>
      </c>
      <c r="B3236" t="s">
        <v>86</v>
      </c>
      <c r="C3236" t="s">
        <v>60</v>
      </c>
      <c r="D3236">
        <v>3</v>
      </c>
      <c r="F3236" t="s">
        <v>10204</v>
      </c>
      <c r="G3236" t="s">
        <v>1105</v>
      </c>
    </row>
    <row r="3237" spans="1:7" hidden="1" x14ac:dyDescent="0.25">
      <c r="A3237" t="s">
        <v>290</v>
      </c>
      <c r="B3237" t="s">
        <v>86</v>
      </c>
      <c r="C3237" t="s">
        <v>60</v>
      </c>
      <c r="D3237">
        <v>1</v>
      </c>
      <c r="F3237" t="s">
        <v>10201</v>
      </c>
      <c r="G3237" t="s">
        <v>1105</v>
      </c>
    </row>
    <row r="3238" spans="1:7" hidden="1" x14ac:dyDescent="0.25">
      <c r="A3238" t="s">
        <v>290</v>
      </c>
      <c r="B3238" t="s">
        <v>86</v>
      </c>
      <c r="C3238" t="s">
        <v>60</v>
      </c>
      <c r="D3238">
        <v>3</v>
      </c>
      <c r="F3238" t="s">
        <v>10207</v>
      </c>
      <c r="G3238" t="s">
        <v>1105</v>
      </c>
    </row>
    <row r="3239" spans="1:7" hidden="1" x14ac:dyDescent="0.25">
      <c r="A3239" t="s">
        <v>290</v>
      </c>
      <c r="B3239" t="s">
        <v>86</v>
      </c>
      <c r="C3239" t="s">
        <v>60</v>
      </c>
      <c r="D3239">
        <v>2</v>
      </c>
      <c r="F3239" t="s">
        <v>10211</v>
      </c>
      <c r="G3239" t="s">
        <v>1105</v>
      </c>
    </row>
    <row r="3240" spans="1:7" hidden="1" x14ac:dyDescent="0.25">
      <c r="A3240" t="s">
        <v>290</v>
      </c>
      <c r="B3240" t="s">
        <v>86</v>
      </c>
      <c r="C3240" t="s">
        <v>60</v>
      </c>
      <c r="D3240">
        <v>3</v>
      </c>
      <c r="F3240" t="s">
        <v>10214</v>
      </c>
      <c r="G3240" t="s">
        <v>1105</v>
      </c>
    </row>
    <row r="3241" spans="1:7" hidden="1" x14ac:dyDescent="0.25">
      <c r="A3241" t="s">
        <v>290</v>
      </c>
      <c r="B3241" t="s">
        <v>86</v>
      </c>
      <c r="C3241" t="s">
        <v>60</v>
      </c>
      <c r="E3241" t="s">
        <v>2936</v>
      </c>
      <c r="F3241" t="s">
        <v>10217</v>
      </c>
      <c r="G3241" t="s">
        <v>1105</v>
      </c>
    </row>
    <row r="3242" spans="1:7" hidden="1" x14ac:dyDescent="0.25">
      <c r="A3242" t="s">
        <v>290</v>
      </c>
      <c r="B3242" t="s">
        <v>86</v>
      </c>
      <c r="C3242" t="s">
        <v>60</v>
      </c>
      <c r="D3242">
        <v>2</v>
      </c>
      <c r="F3242" t="s">
        <v>10220</v>
      </c>
      <c r="G3242" t="s">
        <v>1105</v>
      </c>
    </row>
    <row r="3243" spans="1:7" hidden="1" x14ac:dyDescent="0.25">
      <c r="A3243" t="s">
        <v>290</v>
      </c>
      <c r="B3243" t="s">
        <v>86</v>
      </c>
      <c r="C3243" t="s">
        <v>60</v>
      </c>
      <c r="D3243">
        <v>4</v>
      </c>
      <c r="F3243" t="s">
        <v>10223</v>
      </c>
      <c r="G3243" t="s">
        <v>1105</v>
      </c>
    </row>
    <row r="3244" spans="1:7" hidden="1" x14ac:dyDescent="0.25">
      <c r="A3244" t="s">
        <v>290</v>
      </c>
      <c r="B3244" t="s">
        <v>86</v>
      </c>
      <c r="C3244" t="s">
        <v>60</v>
      </c>
      <c r="D3244">
        <v>1</v>
      </c>
      <c r="F3244" t="s">
        <v>10226</v>
      </c>
      <c r="G3244" t="s">
        <v>1105</v>
      </c>
    </row>
    <row r="3245" spans="1:7" hidden="1" x14ac:dyDescent="0.25">
      <c r="A3245" t="s">
        <v>290</v>
      </c>
      <c r="B3245" t="s">
        <v>86</v>
      </c>
      <c r="C3245" t="s">
        <v>60</v>
      </c>
      <c r="D3245">
        <v>3</v>
      </c>
      <c r="F3245" t="s">
        <v>10229</v>
      </c>
      <c r="G3245" t="s">
        <v>1105</v>
      </c>
    </row>
    <row r="3246" spans="1:7" hidden="1" x14ac:dyDescent="0.25">
      <c r="A3246" t="s">
        <v>290</v>
      </c>
      <c r="B3246" t="s">
        <v>86</v>
      </c>
      <c r="C3246" t="s">
        <v>60</v>
      </c>
      <c r="D3246">
        <v>3</v>
      </c>
      <c r="F3246" t="s">
        <v>10232</v>
      </c>
      <c r="G3246" t="s">
        <v>1105</v>
      </c>
    </row>
    <row r="3247" spans="1:7" hidden="1" x14ac:dyDescent="0.25">
      <c r="A3247" t="s">
        <v>290</v>
      </c>
      <c r="B3247" t="s">
        <v>86</v>
      </c>
      <c r="C3247" t="s">
        <v>60</v>
      </c>
      <c r="D3247">
        <v>2</v>
      </c>
      <c r="F3247" t="s">
        <v>10235</v>
      </c>
      <c r="G3247" t="s">
        <v>1105</v>
      </c>
    </row>
    <row r="3248" spans="1:7" hidden="1" x14ac:dyDescent="0.25">
      <c r="A3248" t="s">
        <v>290</v>
      </c>
      <c r="B3248" t="s">
        <v>86</v>
      </c>
      <c r="C3248" t="s">
        <v>60</v>
      </c>
      <c r="D3248">
        <v>2</v>
      </c>
      <c r="F3248" t="s">
        <v>10238</v>
      </c>
      <c r="G3248" t="s">
        <v>1105</v>
      </c>
    </row>
    <row r="3249" spans="1:7" hidden="1" x14ac:dyDescent="0.25">
      <c r="A3249" t="s">
        <v>290</v>
      </c>
      <c r="B3249" t="s">
        <v>86</v>
      </c>
      <c r="C3249" t="s">
        <v>60</v>
      </c>
      <c r="D3249">
        <v>3</v>
      </c>
      <c r="F3249" t="s">
        <v>10241</v>
      </c>
      <c r="G3249" t="s">
        <v>1105</v>
      </c>
    </row>
    <row r="3250" spans="1:7" hidden="1" x14ac:dyDescent="0.25">
      <c r="A3250" t="s">
        <v>290</v>
      </c>
      <c r="B3250" t="s">
        <v>86</v>
      </c>
      <c r="C3250" t="s">
        <v>60</v>
      </c>
      <c r="D3250">
        <v>2</v>
      </c>
      <c r="F3250" t="s">
        <v>10244</v>
      </c>
      <c r="G3250" t="s">
        <v>1105</v>
      </c>
    </row>
    <row r="3251" spans="1:7" hidden="1" x14ac:dyDescent="0.25">
      <c r="A3251" t="s">
        <v>290</v>
      </c>
      <c r="B3251" t="s">
        <v>86</v>
      </c>
      <c r="C3251" t="s">
        <v>60</v>
      </c>
      <c r="D3251">
        <v>2</v>
      </c>
      <c r="F3251" t="s">
        <v>10247</v>
      </c>
      <c r="G3251" t="s">
        <v>1105</v>
      </c>
    </row>
    <row r="3252" spans="1:7" hidden="1" x14ac:dyDescent="0.25">
      <c r="A3252" t="s">
        <v>290</v>
      </c>
      <c r="B3252" t="s">
        <v>86</v>
      </c>
      <c r="C3252" t="s">
        <v>60</v>
      </c>
      <c r="D3252">
        <v>3</v>
      </c>
      <c r="F3252" t="s">
        <v>10250</v>
      </c>
      <c r="G3252" t="s">
        <v>1105</v>
      </c>
    </row>
    <row r="3253" spans="1:7" hidden="1" x14ac:dyDescent="0.25">
      <c r="A3253" t="s">
        <v>290</v>
      </c>
      <c r="B3253" t="s">
        <v>86</v>
      </c>
      <c r="C3253" t="s">
        <v>60</v>
      </c>
      <c r="E3253" t="s">
        <v>2936</v>
      </c>
      <c r="F3253" t="s">
        <v>10253</v>
      </c>
      <c r="G3253" t="s">
        <v>1105</v>
      </c>
    </row>
    <row r="3254" spans="1:7" hidden="1" x14ac:dyDescent="0.25">
      <c r="A3254" t="s">
        <v>290</v>
      </c>
      <c r="B3254" t="s">
        <v>86</v>
      </c>
      <c r="C3254" t="s">
        <v>60</v>
      </c>
      <c r="D3254">
        <v>4</v>
      </c>
      <c r="F3254" t="s">
        <v>10256</v>
      </c>
      <c r="G3254" t="s">
        <v>1105</v>
      </c>
    </row>
    <row r="3255" spans="1:7" hidden="1" x14ac:dyDescent="0.25">
      <c r="A3255" t="s">
        <v>290</v>
      </c>
      <c r="B3255" t="s">
        <v>86</v>
      </c>
      <c r="C3255" t="s">
        <v>60</v>
      </c>
      <c r="D3255">
        <v>3</v>
      </c>
      <c r="F3255" t="s">
        <v>10259</v>
      </c>
      <c r="G3255" t="s">
        <v>1105</v>
      </c>
    </row>
    <row r="3256" spans="1:7" hidden="1" x14ac:dyDescent="0.25">
      <c r="A3256" t="s">
        <v>290</v>
      </c>
      <c r="B3256" t="s">
        <v>86</v>
      </c>
      <c r="C3256" t="s">
        <v>60</v>
      </c>
      <c r="D3256">
        <v>3</v>
      </c>
      <c r="F3256" t="s">
        <v>10262</v>
      </c>
      <c r="G3256" t="s">
        <v>1105</v>
      </c>
    </row>
    <row r="3257" spans="1:7" hidden="1" x14ac:dyDescent="0.25">
      <c r="A3257" t="s">
        <v>290</v>
      </c>
      <c r="B3257" t="s">
        <v>86</v>
      </c>
      <c r="C3257" t="s">
        <v>60</v>
      </c>
      <c r="D3257">
        <v>2</v>
      </c>
      <c r="F3257" t="s">
        <v>10265</v>
      </c>
      <c r="G3257" t="s">
        <v>1105</v>
      </c>
    </row>
    <row r="3258" spans="1:7" hidden="1" x14ac:dyDescent="0.25">
      <c r="A3258" t="s">
        <v>4</v>
      </c>
      <c r="B3258" t="s">
        <v>8803</v>
      </c>
      <c r="F3258" t="s">
        <v>10177</v>
      </c>
      <c r="G3258" t="s">
        <v>91</v>
      </c>
    </row>
    <row r="3259" spans="1:7" hidden="1" x14ac:dyDescent="0.25">
      <c r="A3259" t="s">
        <v>4</v>
      </c>
      <c r="B3259" t="s">
        <v>10164</v>
      </c>
      <c r="F3259" t="s">
        <v>10186</v>
      </c>
      <c r="G3259" t="s">
        <v>1104</v>
      </c>
    </row>
    <row r="3260" spans="1:7" hidden="1" x14ac:dyDescent="0.25">
      <c r="A3260" t="s">
        <v>4</v>
      </c>
      <c r="B3260" t="s">
        <v>10164</v>
      </c>
      <c r="E3260" t="s">
        <v>10280</v>
      </c>
      <c r="F3260" t="s">
        <v>10268</v>
      </c>
      <c r="G3260" t="s">
        <v>1104</v>
      </c>
    </row>
    <row r="3261" spans="1:7" hidden="1" x14ac:dyDescent="0.25">
      <c r="A3261" t="s">
        <v>4</v>
      </c>
      <c r="B3261" t="s">
        <v>10164</v>
      </c>
      <c r="E3261" t="s">
        <v>10280</v>
      </c>
      <c r="F3261" t="s">
        <v>10271</v>
      </c>
      <c r="G3261" t="s">
        <v>1104</v>
      </c>
    </row>
    <row r="3262" spans="1:7" hidden="1" x14ac:dyDescent="0.25">
      <c r="A3262" t="s">
        <v>1606</v>
      </c>
      <c r="B3262" t="s">
        <v>10165</v>
      </c>
      <c r="C3262" t="s">
        <v>60</v>
      </c>
      <c r="F3262" t="s">
        <v>10274</v>
      </c>
      <c r="G3262" t="s">
        <v>1104</v>
      </c>
    </row>
    <row r="3263" spans="1:7" hidden="1" x14ac:dyDescent="0.25">
      <c r="A3263" t="s">
        <v>4</v>
      </c>
      <c r="B3263" t="s">
        <v>8803</v>
      </c>
      <c r="F3263" t="s">
        <v>10277</v>
      </c>
      <c r="G3263" t="s">
        <v>1104</v>
      </c>
    </row>
    <row r="3264" spans="1:7" hidden="1" x14ac:dyDescent="0.25">
      <c r="A3264" t="s">
        <v>290</v>
      </c>
      <c r="B3264" t="s">
        <v>86</v>
      </c>
      <c r="C3264" t="s">
        <v>60</v>
      </c>
      <c r="D3264">
        <v>2</v>
      </c>
      <c r="E3264" t="s">
        <v>10347</v>
      </c>
      <c r="F3264" t="s">
        <v>10281</v>
      </c>
      <c r="G3264" t="s">
        <v>1105</v>
      </c>
    </row>
    <row r="3265" spans="1:7" hidden="1" x14ac:dyDescent="0.25">
      <c r="A3265" t="s">
        <v>290</v>
      </c>
      <c r="B3265" t="s">
        <v>86</v>
      </c>
      <c r="C3265" t="s">
        <v>60</v>
      </c>
      <c r="D3265">
        <v>3</v>
      </c>
      <c r="E3265" t="s">
        <v>10347</v>
      </c>
      <c r="F3265" t="s">
        <v>10284</v>
      </c>
      <c r="G3265" t="s">
        <v>1105</v>
      </c>
    </row>
    <row r="3266" spans="1:7" hidden="1" x14ac:dyDescent="0.25">
      <c r="A3266" t="s">
        <v>290</v>
      </c>
      <c r="B3266" t="s">
        <v>86</v>
      </c>
      <c r="C3266" t="s">
        <v>60</v>
      </c>
      <c r="D3266">
        <v>3</v>
      </c>
      <c r="E3266" t="s">
        <v>10347</v>
      </c>
      <c r="F3266" t="s">
        <v>10287</v>
      </c>
      <c r="G3266" t="s">
        <v>1105</v>
      </c>
    </row>
    <row r="3267" spans="1:7" hidden="1" x14ac:dyDescent="0.25">
      <c r="A3267" t="s">
        <v>290</v>
      </c>
      <c r="B3267" t="s">
        <v>86</v>
      </c>
      <c r="C3267" t="s">
        <v>60</v>
      </c>
      <c r="D3267">
        <v>4</v>
      </c>
      <c r="E3267" t="s">
        <v>10347</v>
      </c>
      <c r="F3267" t="s">
        <v>10290</v>
      </c>
      <c r="G3267" t="s">
        <v>1105</v>
      </c>
    </row>
    <row r="3268" spans="1:7" hidden="1" x14ac:dyDescent="0.25">
      <c r="A3268" t="s">
        <v>290</v>
      </c>
      <c r="B3268" t="s">
        <v>86</v>
      </c>
      <c r="C3268" t="s">
        <v>60</v>
      </c>
      <c r="D3268">
        <v>4</v>
      </c>
      <c r="E3268" t="s">
        <v>10347</v>
      </c>
      <c r="F3268" t="s">
        <v>10293</v>
      </c>
      <c r="G3268" t="s">
        <v>1105</v>
      </c>
    </row>
    <row r="3269" spans="1:7" hidden="1" x14ac:dyDescent="0.25">
      <c r="A3269" t="s">
        <v>290</v>
      </c>
      <c r="B3269" t="s">
        <v>86</v>
      </c>
      <c r="C3269" t="s">
        <v>60</v>
      </c>
      <c r="D3269">
        <v>4</v>
      </c>
      <c r="E3269" t="s">
        <v>10347</v>
      </c>
      <c r="F3269" t="s">
        <v>10296</v>
      </c>
      <c r="G3269" t="s">
        <v>1105</v>
      </c>
    </row>
    <row r="3270" spans="1:7" hidden="1" x14ac:dyDescent="0.25">
      <c r="A3270" t="s">
        <v>290</v>
      </c>
      <c r="B3270" t="s">
        <v>86</v>
      </c>
      <c r="C3270" t="s">
        <v>60</v>
      </c>
      <c r="D3270">
        <v>5</v>
      </c>
      <c r="E3270" t="s">
        <v>10347</v>
      </c>
      <c r="F3270" t="s">
        <v>10299</v>
      </c>
      <c r="G3270" t="s">
        <v>1105</v>
      </c>
    </row>
    <row r="3271" spans="1:7" hidden="1" x14ac:dyDescent="0.25">
      <c r="A3271" t="s">
        <v>290</v>
      </c>
      <c r="B3271" t="s">
        <v>86</v>
      </c>
      <c r="C3271" t="s">
        <v>60</v>
      </c>
      <c r="D3271">
        <v>2</v>
      </c>
      <c r="E3271" t="s">
        <v>10347</v>
      </c>
      <c r="F3271" t="s">
        <v>10302</v>
      </c>
      <c r="G3271" t="s">
        <v>1105</v>
      </c>
    </row>
    <row r="3272" spans="1:7" hidden="1" x14ac:dyDescent="0.25">
      <c r="A3272" t="s">
        <v>290</v>
      </c>
      <c r="B3272" t="s">
        <v>86</v>
      </c>
      <c r="C3272" t="s">
        <v>60</v>
      </c>
      <c r="D3272">
        <v>3</v>
      </c>
      <c r="E3272" t="s">
        <v>10347</v>
      </c>
      <c r="F3272" t="s">
        <v>10305</v>
      </c>
      <c r="G3272" t="s">
        <v>1105</v>
      </c>
    </row>
    <row r="3273" spans="1:7" hidden="1" x14ac:dyDescent="0.25">
      <c r="A3273" t="s">
        <v>290</v>
      </c>
      <c r="B3273" t="s">
        <v>86</v>
      </c>
      <c r="C3273" t="s">
        <v>60</v>
      </c>
      <c r="D3273">
        <v>3</v>
      </c>
      <c r="E3273" t="s">
        <v>10347</v>
      </c>
      <c r="F3273" t="s">
        <v>10308</v>
      </c>
      <c r="G3273" t="s">
        <v>1105</v>
      </c>
    </row>
    <row r="3274" spans="1:7" hidden="1" x14ac:dyDescent="0.25">
      <c r="A3274" t="s">
        <v>290</v>
      </c>
      <c r="B3274" t="s">
        <v>86</v>
      </c>
      <c r="C3274" t="s">
        <v>60</v>
      </c>
      <c r="D3274">
        <v>3</v>
      </c>
      <c r="E3274" t="s">
        <v>10347</v>
      </c>
      <c r="F3274" t="s">
        <v>10311</v>
      </c>
      <c r="G3274" t="s">
        <v>1105</v>
      </c>
    </row>
    <row r="3275" spans="1:7" hidden="1" x14ac:dyDescent="0.25">
      <c r="A3275" t="s">
        <v>290</v>
      </c>
      <c r="B3275" t="s">
        <v>86</v>
      </c>
      <c r="C3275" t="s">
        <v>60</v>
      </c>
      <c r="D3275">
        <v>2</v>
      </c>
      <c r="E3275" t="s">
        <v>10347</v>
      </c>
      <c r="F3275" t="s">
        <v>10314</v>
      </c>
      <c r="G3275" t="s">
        <v>1105</v>
      </c>
    </row>
    <row r="3276" spans="1:7" hidden="1" x14ac:dyDescent="0.25">
      <c r="A3276" t="s">
        <v>290</v>
      </c>
      <c r="B3276" t="s">
        <v>86</v>
      </c>
      <c r="C3276" t="s">
        <v>60</v>
      </c>
      <c r="D3276">
        <v>2</v>
      </c>
      <c r="E3276" t="s">
        <v>10347</v>
      </c>
      <c r="F3276" t="s">
        <v>10317</v>
      </c>
      <c r="G3276" t="s">
        <v>1105</v>
      </c>
    </row>
    <row r="3277" spans="1:7" hidden="1" x14ac:dyDescent="0.25">
      <c r="A3277" t="s">
        <v>290</v>
      </c>
      <c r="B3277" t="s">
        <v>86</v>
      </c>
      <c r="C3277" t="s">
        <v>60</v>
      </c>
      <c r="D3277">
        <v>3</v>
      </c>
      <c r="E3277" t="s">
        <v>10347</v>
      </c>
      <c r="F3277" t="s">
        <v>10320</v>
      </c>
      <c r="G3277" t="s">
        <v>1105</v>
      </c>
    </row>
    <row r="3278" spans="1:7" hidden="1" x14ac:dyDescent="0.25">
      <c r="A3278" t="s">
        <v>290</v>
      </c>
      <c r="B3278" t="s">
        <v>86</v>
      </c>
      <c r="C3278" t="s">
        <v>60</v>
      </c>
      <c r="D3278">
        <v>3</v>
      </c>
      <c r="E3278" t="s">
        <v>10347</v>
      </c>
      <c r="F3278" t="s">
        <v>10323</v>
      </c>
      <c r="G3278" t="s">
        <v>1105</v>
      </c>
    </row>
    <row r="3279" spans="1:7" hidden="1" x14ac:dyDescent="0.25">
      <c r="A3279" t="s">
        <v>290</v>
      </c>
      <c r="B3279" t="s">
        <v>86</v>
      </c>
      <c r="C3279" t="s">
        <v>60</v>
      </c>
      <c r="D3279">
        <v>3</v>
      </c>
      <c r="E3279" t="s">
        <v>10347</v>
      </c>
      <c r="F3279" t="s">
        <v>10326</v>
      </c>
      <c r="G3279" t="s">
        <v>1105</v>
      </c>
    </row>
    <row r="3280" spans="1:7" hidden="1" x14ac:dyDescent="0.25">
      <c r="A3280" t="s">
        <v>290</v>
      </c>
      <c r="B3280" t="s">
        <v>86</v>
      </c>
      <c r="C3280" t="s">
        <v>60</v>
      </c>
      <c r="D3280">
        <v>2</v>
      </c>
      <c r="E3280" t="s">
        <v>10347</v>
      </c>
      <c r="F3280" t="s">
        <v>10329</v>
      </c>
      <c r="G3280" t="s">
        <v>1105</v>
      </c>
    </row>
    <row r="3281" spans="1:7" hidden="1" x14ac:dyDescent="0.25">
      <c r="A3281" t="s">
        <v>290</v>
      </c>
      <c r="B3281" t="s">
        <v>86</v>
      </c>
      <c r="C3281" t="s">
        <v>60</v>
      </c>
      <c r="D3281">
        <v>2</v>
      </c>
      <c r="E3281" t="s">
        <v>10347</v>
      </c>
      <c r="F3281" t="s">
        <v>10332</v>
      </c>
      <c r="G3281" t="s">
        <v>1105</v>
      </c>
    </row>
    <row r="3282" spans="1:7" hidden="1" x14ac:dyDescent="0.25">
      <c r="A3282" t="s">
        <v>290</v>
      </c>
      <c r="B3282" t="s">
        <v>86</v>
      </c>
      <c r="C3282" t="s">
        <v>60</v>
      </c>
      <c r="D3282">
        <v>2</v>
      </c>
      <c r="E3282" t="s">
        <v>10347</v>
      </c>
      <c r="F3282" t="s">
        <v>10335</v>
      </c>
      <c r="G3282" t="s">
        <v>1105</v>
      </c>
    </row>
    <row r="3283" spans="1:7" hidden="1" x14ac:dyDescent="0.25">
      <c r="A3283" t="s">
        <v>10348</v>
      </c>
      <c r="B3283" t="s">
        <v>86</v>
      </c>
      <c r="C3283" t="s">
        <v>10167</v>
      </c>
      <c r="D3283">
        <v>1</v>
      </c>
      <c r="E3283" t="s">
        <v>10349</v>
      </c>
      <c r="F3283" t="s">
        <v>10338</v>
      </c>
      <c r="G3283" t="s">
        <v>1105</v>
      </c>
    </row>
    <row r="3284" spans="1:7" hidden="1" x14ac:dyDescent="0.25">
      <c r="A3284" t="s">
        <v>4</v>
      </c>
      <c r="B3284" t="s">
        <v>9876</v>
      </c>
      <c r="F3284" t="s">
        <v>10341</v>
      </c>
      <c r="G3284" t="s">
        <v>1105</v>
      </c>
    </row>
    <row r="3285" spans="1:7" hidden="1" x14ac:dyDescent="0.25">
      <c r="A3285" t="s">
        <v>4</v>
      </c>
      <c r="B3285" t="s">
        <v>2932</v>
      </c>
      <c r="F3285" t="s">
        <v>10344</v>
      </c>
      <c r="G3285" t="s">
        <v>1105</v>
      </c>
    </row>
    <row r="3286" spans="1:7" hidden="1" x14ac:dyDescent="0.25">
      <c r="A3286" t="s">
        <v>2004</v>
      </c>
      <c r="B3286" t="s">
        <v>8</v>
      </c>
      <c r="F3286" t="s">
        <v>10350</v>
      </c>
      <c r="G3286" t="s">
        <v>1106</v>
      </c>
    </row>
    <row r="3287" spans="1:7" hidden="1" x14ac:dyDescent="0.25">
      <c r="A3287" t="s">
        <v>4</v>
      </c>
      <c r="B3287" t="s">
        <v>10392</v>
      </c>
      <c r="F3287" t="s">
        <v>10389</v>
      </c>
      <c r="G3287" t="s">
        <v>1107</v>
      </c>
    </row>
    <row r="3288" spans="1:7" hidden="1" x14ac:dyDescent="0.25">
      <c r="A3288" t="s">
        <v>9409</v>
      </c>
      <c r="B3288" t="s">
        <v>1607</v>
      </c>
      <c r="F3288" t="s">
        <v>10353</v>
      </c>
      <c r="G3288" t="s">
        <v>796</v>
      </c>
    </row>
    <row r="3289" spans="1:7" hidden="1" x14ac:dyDescent="0.25">
      <c r="A3289" t="s">
        <v>9409</v>
      </c>
      <c r="B3289" t="s">
        <v>1607</v>
      </c>
      <c r="F3289" t="s">
        <v>10356</v>
      </c>
      <c r="G3289" t="s">
        <v>796</v>
      </c>
    </row>
    <row r="3290" spans="1:7" hidden="1" x14ac:dyDescent="0.25">
      <c r="A3290" t="s">
        <v>4</v>
      </c>
      <c r="B3290" t="s">
        <v>9</v>
      </c>
      <c r="F3290" t="s">
        <v>10359</v>
      </c>
      <c r="G3290" t="s">
        <v>796</v>
      </c>
    </row>
    <row r="3291" spans="1:7" hidden="1" x14ac:dyDescent="0.25">
      <c r="A3291" t="s">
        <v>9409</v>
      </c>
      <c r="B3291" t="s">
        <v>1607</v>
      </c>
      <c r="F3291" t="s">
        <v>10362</v>
      </c>
      <c r="G3291" t="s">
        <v>796</v>
      </c>
    </row>
    <row r="3292" spans="1:7" hidden="1" x14ac:dyDescent="0.25">
      <c r="A3292" t="s">
        <v>9409</v>
      </c>
      <c r="B3292" t="s">
        <v>1607</v>
      </c>
      <c r="F3292" t="s">
        <v>10365</v>
      </c>
      <c r="G3292" t="s">
        <v>796</v>
      </c>
    </row>
    <row r="3293" spans="1:7" hidden="1" x14ac:dyDescent="0.25">
      <c r="A3293" t="s">
        <v>4</v>
      </c>
      <c r="B3293" t="s">
        <v>9</v>
      </c>
      <c r="F3293" t="s">
        <v>10368</v>
      </c>
      <c r="G3293" t="s">
        <v>796</v>
      </c>
    </row>
    <row r="3294" spans="1:7" hidden="1" x14ac:dyDescent="0.25">
      <c r="A3294" t="s">
        <v>4</v>
      </c>
      <c r="B3294" t="s">
        <v>10393</v>
      </c>
      <c r="E3294" t="s">
        <v>5479</v>
      </c>
      <c r="F3294" t="s">
        <v>10371</v>
      </c>
      <c r="G3294" t="s">
        <v>1100</v>
      </c>
    </row>
    <row r="3295" spans="1:7" hidden="1" x14ac:dyDescent="0.25">
      <c r="A3295" t="s">
        <v>4</v>
      </c>
      <c r="B3295" t="s">
        <v>7709</v>
      </c>
      <c r="F3295" t="s">
        <v>10374</v>
      </c>
      <c r="G3295" t="s">
        <v>1100</v>
      </c>
    </row>
    <row r="3296" spans="1:7" hidden="1" x14ac:dyDescent="0.25">
      <c r="A3296" t="s">
        <v>289</v>
      </c>
      <c r="B3296" t="s">
        <v>9520</v>
      </c>
      <c r="C3296" t="s">
        <v>58</v>
      </c>
      <c r="E3296" t="s">
        <v>10445</v>
      </c>
      <c r="F3296" t="s">
        <v>10377</v>
      </c>
      <c r="G3296" t="s">
        <v>1100</v>
      </c>
    </row>
    <row r="3297" spans="1:7" hidden="1" x14ac:dyDescent="0.25">
      <c r="A3297" t="s">
        <v>289</v>
      </c>
      <c r="B3297" t="s">
        <v>9520</v>
      </c>
      <c r="C3297" t="s">
        <v>58</v>
      </c>
      <c r="E3297" t="s">
        <v>2936</v>
      </c>
      <c r="F3297" t="s">
        <v>10380</v>
      </c>
      <c r="G3297" t="s">
        <v>1100</v>
      </c>
    </row>
    <row r="3298" spans="1:7" hidden="1" x14ac:dyDescent="0.25">
      <c r="A3298" t="s">
        <v>4</v>
      </c>
      <c r="B3298" t="s">
        <v>5480</v>
      </c>
      <c r="E3298" t="s">
        <v>5479</v>
      </c>
      <c r="F3298" t="s">
        <v>10383</v>
      </c>
      <c r="G3298" t="s">
        <v>1100</v>
      </c>
    </row>
    <row r="3299" spans="1:7" hidden="1" x14ac:dyDescent="0.25">
      <c r="A3299" t="s">
        <v>10442</v>
      </c>
      <c r="B3299" t="s">
        <v>1607</v>
      </c>
      <c r="F3299" t="s">
        <v>10386</v>
      </c>
      <c r="G3299" s="1" t="s">
        <v>1603</v>
      </c>
    </row>
    <row r="3300" spans="1:7" hidden="1" x14ac:dyDescent="0.25">
      <c r="A3300" t="s">
        <v>289</v>
      </c>
      <c r="B3300" t="s">
        <v>9521</v>
      </c>
      <c r="C3300" t="s">
        <v>58</v>
      </c>
      <c r="E3300" t="s">
        <v>10443</v>
      </c>
      <c r="F3300" t="s">
        <v>10394</v>
      </c>
      <c r="G3300" s="1" t="s">
        <v>1603</v>
      </c>
    </row>
    <row r="3301" spans="1:7" hidden="1" x14ac:dyDescent="0.25">
      <c r="A3301" t="s">
        <v>650</v>
      </c>
      <c r="B3301" t="s">
        <v>9521</v>
      </c>
      <c r="C3301" t="s">
        <v>58</v>
      </c>
      <c r="E3301" t="s">
        <v>10444</v>
      </c>
      <c r="F3301" t="s">
        <v>10397</v>
      </c>
      <c r="G3301" s="1" t="s">
        <v>1603</v>
      </c>
    </row>
    <row r="3302" spans="1:7" hidden="1" x14ac:dyDescent="0.25">
      <c r="A3302" t="s">
        <v>651</v>
      </c>
      <c r="B3302" t="s">
        <v>5480</v>
      </c>
      <c r="F3302" t="s">
        <v>10400</v>
      </c>
      <c r="G3302" t="s">
        <v>1817</v>
      </c>
    </row>
    <row r="3303" spans="1:7" hidden="1" x14ac:dyDescent="0.25">
      <c r="A3303" t="s">
        <v>651</v>
      </c>
      <c r="B3303" t="s">
        <v>5480</v>
      </c>
      <c r="F3303" t="s">
        <v>10403</v>
      </c>
      <c r="G3303" t="s">
        <v>1817</v>
      </c>
    </row>
    <row r="3304" spans="1:7" hidden="1" x14ac:dyDescent="0.25">
      <c r="A3304" t="s">
        <v>651</v>
      </c>
      <c r="B3304" t="s">
        <v>5480</v>
      </c>
      <c r="F3304" t="s">
        <v>10406</v>
      </c>
      <c r="G3304" t="s">
        <v>1817</v>
      </c>
    </row>
    <row r="3305" spans="1:7" hidden="1" x14ac:dyDescent="0.25">
      <c r="A3305" t="s">
        <v>651</v>
      </c>
      <c r="B3305" t="s">
        <v>5480</v>
      </c>
      <c r="F3305" t="s">
        <v>10409</v>
      </c>
      <c r="G3305" t="s">
        <v>1817</v>
      </c>
    </row>
    <row r="3306" spans="1:7" hidden="1" x14ac:dyDescent="0.25">
      <c r="A3306" t="s">
        <v>651</v>
      </c>
      <c r="B3306" t="s">
        <v>5480</v>
      </c>
      <c r="F3306" t="s">
        <v>10412</v>
      </c>
      <c r="G3306" t="s">
        <v>1817</v>
      </c>
    </row>
    <row r="3307" spans="1:7" hidden="1" x14ac:dyDescent="0.25">
      <c r="A3307" t="s">
        <v>651</v>
      </c>
      <c r="B3307" t="s">
        <v>5480</v>
      </c>
      <c r="F3307" t="s">
        <v>10415</v>
      </c>
      <c r="G3307" t="s">
        <v>1817</v>
      </c>
    </row>
    <row r="3308" spans="1:7" hidden="1" x14ac:dyDescent="0.25">
      <c r="A3308" t="s">
        <v>651</v>
      </c>
      <c r="B3308" t="s">
        <v>5480</v>
      </c>
      <c r="F3308" t="s">
        <v>10418</v>
      </c>
      <c r="G3308" t="s">
        <v>1817</v>
      </c>
    </row>
    <row r="3309" spans="1:7" hidden="1" x14ac:dyDescent="0.25">
      <c r="A3309" t="s">
        <v>651</v>
      </c>
      <c r="B3309" t="s">
        <v>5480</v>
      </c>
      <c r="F3309" t="s">
        <v>10421</v>
      </c>
      <c r="G3309" t="s">
        <v>1817</v>
      </c>
    </row>
    <row r="3310" spans="1:7" hidden="1" x14ac:dyDescent="0.25">
      <c r="A3310" t="s">
        <v>4</v>
      </c>
      <c r="B3310" t="s">
        <v>8</v>
      </c>
      <c r="F3310" t="s">
        <v>10424</v>
      </c>
      <c r="G3310" t="s">
        <v>1934</v>
      </c>
    </row>
    <row r="3311" spans="1:7" hidden="1" x14ac:dyDescent="0.25">
      <c r="A3311" t="s">
        <v>4</v>
      </c>
      <c r="B3311" t="s">
        <v>8</v>
      </c>
      <c r="E3311" t="s">
        <v>2936</v>
      </c>
      <c r="F3311" t="s">
        <v>10427</v>
      </c>
      <c r="G3311" t="s">
        <v>1934</v>
      </c>
    </row>
    <row r="3312" spans="1:7" hidden="1" x14ac:dyDescent="0.25">
      <c r="A3312" t="s">
        <v>4</v>
      </c>
      <c r="B3312" t="s">
        <v>8</v>
      </c>
      <c r="E3312" t="s">
        <v>2936</v>
      </c>
      <c r="F3312" t="s">
        <v>10430</v>
      </c>
      <c r="G3312" t="s">
        <v>1934</v>
      </c>
    </row>
    <row r="3313" spans="1:7" x14ac:dyDescent="0.25">
      <c r="A3313" t="s">
        <v>4</v>
      </c>
      <c r="B3313" t="s">
        <v>8</v>
      </c>
      <c r="F3313" t="s">
        <v>10433</v>
      </c>
      <c r="G3313" t="s">
        <v>1997</v>
      </c>
    </row>
    <row r="3314" spans="1:7" x14ac:dyDescent="0.25">
      <c r="A3314" t="s">
        <v>4</v>
      </c>
      <c r="B3314" t="s">
        <v>8</v>
      </c>
      <c r="E3314" t="s">
        <v>2936</v>
      </c>
      <c r="F3314" t="s">
        <v>10436</v>
      </c>
      <c r="G3314" t="s">
        <v>1997</v>
      </c>
    </row>
    <row r="3315" spans="1:7" x14ac:dyDescent="0.25">
      <c r="A3315" t="s">
        <v>4</v>
      </c>
      <c r="B3315" t="s">
        <v>8</v>
      </c>
      <c r="E3315" t="s">
        <v>2936</v>
      </c>
      <c r="F3315" t="s">
        <v>10439</v>
      </c>
      <c r="G3315" t="s">
        <v>1997</v>
      </c>
    </row>
    <row r="3316" spans="1:7" hidden="1" x14ac:dyDescent="0.25">
      <c r="A3316" t="s">
        <v>2004</v>
      </c>
      <c r="F3316" t="s">
        <v>10452</v>
      </c>
      <c r="G3316" t="s">
        <v>1102</v>
      </c>
    </row>
    <row r="3317" spans="1:7" hidden="1" x14ac:dyDescent="0.25">
      <c r="A3317" t="s">
        <v>2004</v>
      </c>
      <c r="F3317" t="s">
        <v>10455</v>
      </c>
      <c r="G3317" t="s">
        <v>1102</v>
      </c>
    </row>
    <row r="3318" spans="1:7" hidden="1" x14ac:dyDescent="0.25">
      <c r="A3318" t="s">
        <v>2004</v>
      </c>
      <c r="B3318" t="s">
        <v>8</v>
      </c>
      <c r="F3318" t="s">
        <v>10446</v>
      </c>
      <c r="G3318" t="s">
        <v>1103</v>
      </c>
    </row>
    <row r="3319" spans="1:7" hidden="1" x14ac:dyDescent="0.25">
      <c r="A3319" t="s">
        <v>2004</v>
      </c>
      <c r="B3319" t="s">
        <v>8</v>
      </c>
      <c r="F3319" t="s">
        <v>10449</v>
      </c>
      <c r="G3319" t="s">
        <v>1103</v>
      </c>
    </row>
    <row r="3320" spans="1:7" hidden="1" x14ac:dyDescent="0.25">
      <c r="A3320" t="s">
        <v>2004</v>
      </c>
      <c r="B3320" t="s">
        <v>8</v>
      </c>
      <c r="F3320" t="s">
        <v>10494</v>
      </c>
      <c r="G3320" t="s">
        <v>1104</v>
      </c>
    </row>
    <row r="3321" spans="1:7" hidden="1" x14ac:dyDescent="0.25">
      <c r="A3321" t="s">
        <v>2004</v>
      </c>
      <c r="B3321" t="s">
        <v>8</v>
      </c>
      <c r="F3321" t="s">
        <v>10497</v>
      </c>
      <c r="G3321" t="s">
        <v>1104</v>
      </c>
    </row>
    <row r="3322" spans="1:7" hidden="1" x14ac:dyDescent="0.25">
      <c r="A3322" t="s">
        <v>2004</v>
      </c>
      <c r="B3322" t="s">
        <v>8</v>
      </c>
      <c r="F3322" t="s">
        <v>10500</v>
      </c>
      <c r="G3322" t="s">
        <v>1105</v>
      </c>
    </row>
    <row r="3323" spans="1:7" hidden="1" x14ac:dyDescent="0.25">
      <c r="A3323" t="s">
        <v>2004</v>
      </c>
      <c r="B3323" t="s">
        <v>8</v>
      </c>
      <c r="F3323" t="s">
        <v>10503</v>
      </c>
      <c r="G3323" t="s">
        <v>1105</v>
      </c>
    </row>
    <row r="3324" spans="1:7" hidden="1" x14ac:dyDescent="0.25">
      <c r="A3324" t="s">
        <v>2004</v>
      </c>
      <c r="B3324" t="s">
        <v>8</v>
      </c>
      <c r="F3324" t="s">
        <v>10506</v>
      </c>
      <c r="G3324" t="s">
        <v>1106</v>
      </c>
    </row>
    <row r="3325" spans="1:7" hidden="1" x14ac:dyDescent="0.25">
      <c r="A3325" t="s">
        <v>2004</v>
      </c>
      <c r="B3325" t="s">
        <v>8</v>
      </c>
      <c r="F3325" t="s">
        <v>10509</v>
      </c>
      <c r="G3325" t="s">
        <v>1106</v>
      </c>
    </row>
    <row r="3326" spans="1:7" hidden="1" x14ac:dyDescent="0.25">
      <c r="A3326" t="s">
        <v>2004</v>
      </c>
      <c r="B3326" t="s">
        <v>8</v>
      </c>
      <c r="F3326" t="s">
        <v>10512</v>
      </c>
      <c r="G3326" t="s">
        <v>1107</v>
      </c>
    </row>
    <row r="3327" spans="1:7" hidden="1" x14ac:dyDescent="0.25">
      <c r="A3327" t="s">
        <v>2004</v>
      </c>
      <c r="B3327" t="s">
        <v>8</v>
      </c>
      <c r="F3327" t="s">
        <v>10515</v>
      </c>
      <c r="G3327" t="s">
        <v>1107</v>
      </c>
    </row>
    <row r="3328" spans="1:7" hidden="1" x14ac:dyDescent="0.25">
      <c r="A3328" t="s">
        <v>9409</v>
      </c>
      <c r="B3328" t="s">
        <v>1607</v>
      </c>
      <c r="F3328" t="s">
        <v>10458</v>
      </c>
      <c r="G3328" t="s">
        <v>796</v>
      </c>
    </row>
    <row r="3329" spans="1:7" hidden="1" x14ac:dyDescent="0.25">
      <c r="A3329" t="s">
        <v>9409</v>
      </c>
      <c r="B3329" t="s">
        <v>1607</v>
      </c>
      <c r="F3329" t="s">
        <v>10461</v>
      </c>
      <c r="G3329" t="s">
        <v>796</v>
      </c>
    </row>
    <row r="3330" spans="1:7" hidden="1" x14ac:dyDescent="0.25">
      <c r="A3330" t="s">
        <v>4</v>
      </c>
      <c r="B3330" t="s">
        <v>9</v>
      </c>
      <c r="F3330" t="s">
        <v>10464</v>
      </c>
      <c r="G3330" t="s">
        <v>796</v>
      </c>
    </row>
    <row r="3331" spans="1:7" hidden="1" x14ac:dyDescent="0.25">
      <c r="A3331" t="s">
        <v>4</v>
      </c>
      <c r="B3331" t="s">
        <v>5480</v>
      </c>
      <c r="E3331" t="s">
        <v>5479</v>
      </c>
      <c r="F3331" t="s">
        <v>10467</v>
      </c>
      <c r="G3331" t="s">
        <v>1100</v>
      </c>
    </row>
    <row r="3332" spans="1:7" hidden="1" x14ac:dyDescent="0.25">
      <c r="A3332" t="s">
        <v>4</v>
      </c>
      <c r="B3332" t="s">
        <v>5137</v>
      </c>
      <c r="F3332" t="s">
        <v>10518</v>
      </c>
      <c r="G3332" t="s">
        <v>1100</v>
      </c>
    </row>
    <row r="3333" spans="1:7" hidden="1" x14ac:dyDescent="0.25">
      <c r="A3333" t="s">
        <v>4</v>
      </c>
      <c r="B3333" t="s">
        <v>10524</v>
      </c>
      <c r="F3333" t="s">
        <v>10521</v>
      </c>
      <c r="G3333" s="1" t="s">
        <v>1603</v>
      </c>
    </row>
    <row r="3334" spans="1:7" hidden="1" x14ac:dyDescent="0.25">
      <c r="A3334" t="s">
        <v>4</v>
      </c>
      <c r="B3334" t="s">
        <v>462</v>
      </c>
      <c r="F3334" t="s">
        <v>10470</v>
      </c>
      <c r="G3334" s="1" t="s">
        <v>1603</v>
      </c>
    </row>
    <row r="3335" spans="1:7" hidden="1" x14ac:dyDescent="0.25">
      <c r="A3335" t="s">
        <v>2004</v>
      </c>
      <c r="B3335" t="s">
        <v>8</v>
      </c>
      <c r="F3335" t="s">
        <v>10473</v>
      </c>
      <c r="G3335" t="s">
        <v>1817</v>
      </c>
    </row>
    <row r="3336" spans="1:7" hidden="1" x14ac:dyDescent="0.25">
      <c r="A3336" t="s">
        <v>2004</v>
      </c>
      <c r="B3336" t="s">
        <v>8</v>
      </c>
      <c r="F3336" t="s">
        <v>10476</v>
      </c>
      <c r="G3336" t="s">
        <v>1817</v>
      </c>
    </row>
    <row r="3337" spans="1:7" hidden="1" x14ac:dyDescent="0.25">
      <c r="A3337" t="s">
        <v>2004</v>
      </c>
      <c r="B3337" t="s">
        <v>8</v>
      </c>
      <c r="F3337" t="s">
        <v>10479</v>
      </c>
      <c r="G3337" t="s">
        <v>1934</v>
      </c>
    </row>
    <row r="3338" spans="1:7" hidden="1" x14ac:dyDescent="0.25">
      <c r="A3338" t="s">
        <v>2004</v>
      </c>
      <c r="B3338" t="s">
        <v>8</v>
      </c>
      <c r="F3338" t="s">
        <v>10482</v>
      </c>
      <c r="G3338" t="s">
        <v>1934</v>
      </c>
    </row>
    <row r="3339" spans="1:7" x14ac:dyDescent="0.25">
      <c r="A3339" t="s">
        <v>2004</v>
      </c>
      <c r="B3339" t="s">
        <v>8</v>
      </c>
      <c r="F3339" t="s">
        <v>10485</v>
      </c>
      <c r="G3339" t="s">
        <v>1997</v>
      </c>
    </row>
    <row r="3340" spans="1:7" x14ac:dyDescent="0.25">
      <c r="A3340" t="s">
        <v>2004</v>
      </c>
      <c r="B3340" t="s">
        <v>8</v>
      </c>
      <c r="F3340" t="s">
        <v>10488</v>
      </c>
      <c r="G3340" t="s">
        <v>1997</v>
      </c>
    </row>
    <row r="3341" spans="1:7" hidden="1" x14ac:dyDescent="0.25">
      <c r="A3341" t="s">
        <v>2004</v>
      </c>
      <c r="B3341" t="s">
        <v>8</v>
      </c>
      <c r="F3341" t="s">
        <v>10525</v>
      </c>
      <c r="G3341" t="s">
        <v>91</v>
      </c>
    </row>
    <row r="3342" spans="1:7" hidden="1" x14ac:dyDescent="0.25">
      <c r="A3342" t="s">
        <v>2004</v>
      </c>
      <c r="B3342" t="s">
        <v>8</v>
      </c>
      <c r="F3342" t="s">
        <v>10491</v>
      </c>
      <c r="G3342" t="s">
        <v>91</v>
      </c>
    </row>
    <row r="3343" spans="1:7" hidden="1" x14ac:dyDescent="0.25">
      <c r="A3343" t="s">
        <v>2004</v>
      </c>
      <c r="F3343" t="s">
        <v>10534</v>
      </c>
      <c r="G3343" t="s">
        <v>1102</v>
      </c>
    </row>
    <row r="3344" spans="1:7" hidden="1" x14ac:dyDescent="0.25">
      <c r="A3344" t="s">
        <v>2004</v>
      </c>
      <c r="F3344" t="s">
        <v>10537</v>
      </c>
      <c r="G3344" t="s">
        <v>1102</v>
      </c>
    </row>
    <row r="3345" spans="1:7" hidden="1" x14ac:dyDescent="0.25">
      <c r="A3345" t="s">
        <v>2004</v>
      </c>
      <c r="B3345" t="s">
        <v>8</v>
      </c>
      <c r="F3345" t="s">
        <v>10528</v>
      </c>
      <c r="G3345" t="s">
        <v>1103</v>
      </c>
    </row>
    <row r="3346" spans="1:7" hidden="1" x14ac:dyDescent="0.25">
      <c r="A3346" t="s">
        <v>2004</v>
      </c>
      <c r="B3346" t="s">
        <v>8</v>
      </c>
      <c r="F3346" t="s">
        <v>10531</v>
      </c>
      <c r="G3346" t="s">
        <v>1103</v>
      </c>
    </row>
    <row r="3347" spans="1:7" hidden="1" x14ac:dyDescent="0.25">
      <c r="A3347" t="s">
        <v>4</v>
      </c>
      <c r="B3347" t="s">
        <v>8803</v>
      </c>
      <c r="F3347" t="s">
        <v>10558</v>
      </c>
      <c r="G3347" t="s">
        <v>91</v>
      </c>
    </row>
    <row r="3348" spans="1:7" hidden="1" x14ac:dyDescent="0.25">
      <c r="A3348" t="s">
        <v>4</v>
      </c>
      <c r="B3348" t="s">
        <v>8803</v>
      </c>
      <c r="F3348" t="s">
        <v>10561</v>
      </c>
      <c r="G3348" t="s">
        <v>91</v>
      </c>
    </row>
    <row r="3349" spans="1:7" hidden="1" x14ac:dyDescent="0.25">
      <c r="A3349" t="s">
        <v>2004</v>
      </c>
      <c r="B3349" t="s">
        <v>8</v>
      </c>
      <c r="F3349" t="s">
        <v>10540</v>
      </c>
      <c r="G3349" t="s">
        <v>1104</v>
      </c>
    </row>
    <row r="3350" spans="1:7" hidden="1" x14ac:dyDescent="0.25">
      <c r="A3350" t="s">
        <v>2004</v>
      </c>
      <c r="B3350" t="s">
        <v>8</v>
      </c>
      <c r="F3350" t="s">
        <v>10543</v>
      </c>
      <c r="G3350" t="s">
        <v>1104</v>
      </c>
    </row>
    <row r="3351" spans="1:7" hidden="1" x14ac:dyDescent="0.25">
      <c r="A3351" t="s">
        <v>4</v>
      </c>
      <c r="B3351" t="s">
        <v>2932</v>
      </c>
      <c r="F3351" t="s">
        <v>10546</v>
      </c>
      <c r="G3351" t="s">
        <v>1105</v>
      </c>
    </row>
    <row r="3352" spans="1:7" hidden="1" x14ac:dyDescent="0.25">
      <c r="A3352" t="s">
        <v>4</v>
      </c>
      <c r="B3352" t="s">
        <v>10630</v>
      </c>
      <c r="F3352" t="s">
        <v>10549</v>
      </c>
      <c r="G3352" t="s">
        <v>1105</v>
      </c>
    </row>
    <row r="3353" spans="1:7" hidden="1" x14ac:dyDescent="0.25">
      <c r="A3353" t="s">
        <v>2004</v>
      </c>
      <c r="B3353" t="s">
        <v>8</v>
      </c>
      <c r="F3353" t="s">
        <v>10552</v>
      </c>
      <c r="G3353" t="s">
        <v>1106</v>
      </c>
    </row>
    <row r="3354" spans="1:7" hidden="1" x14ac:dyDescent="0.25">
      <c r="A3354" t="s">
        <v>2004</v>
      </c>
      <c r="B3354" t="s">
        <v>8</v>
      </c>
      <c r="F3354" t="s">
        <v>10555</v>
      </c>
      <c r="G3354" t="s">
        <v>1106</v>
      </c>
    </row>
    <row r="3355" spans="1:7" hidden="1" x14ac:dyDescent="0.25">
      <c r="A3355" t="s">
        <v>2004</v>
      </c>
      <c r="B3355" t="s">
        <v>8</v>
      </c>
      <c r="F3355" t="s">
        <v>10631</v>
      </c>
      <c r="G3355" t="s">
        <v>1107</v>
      </c>
    </row>
    <row r="3356" spans="1:7" hidden="1" x14ac:dyDescent="0.25">
      <c r="A3356" t="s">
        <v>2004</v>
      </c>
      <c r="B3356" t="s">
        <v>8</v>
      </c>
      <c r="F3356" t="s">
        <v>10634</v>
      </c>
      <c r="G3356" t="s">
        <v>1107</v>
      </c>
    </row>
    <row r="3357" spans="1:7" hidden="1" x14ac:dyDescent="0.25">
      <c r="A3357" t="s">
        <v>9409</v>
      </c>
      <c r="B3357" t="s">
        <v>1607</v>
      </c>
      <c r="F3357" t="s">
        <v>10564</v>
      </c>
      <c r="G3357" t="s">
        <v>796</v>
      </c>
    </row>
    <row r="3358" spans="1:7" hidden="1" x14ac:dyDescent="0.25">
      <c r="A3358" t="s">
        <v>9409</v>
      </c>
      <c r="B3358" t="s">
        <v>1607</v>
      </c>
      <c r="E3358" t="s">
        <v>2936</v>
      </c>
      <c r="F3358" t="s">
        <v>10567</v>
      </c>
      <c r="G3358" t="s">
        <v>796</v>
      </c>
    </row>
    <row r="3359" spans="1:7" hidden="1" x14ac:dyDescent="0.25">
      <c r="A3359" t="s">
        <v>9409</v>
      </c>
      <c r="B3359" t="s">
        <v>1607</v>
      </c>
      <c r="E3359" t="s">
        <v>2936</v>
      </c>
      <c r="F3359" t="s">
        <v>10570</v>
      </c>
      <c r="G3359" t="s">
        <v>796</v>
      </c>
    </row>
    <row r="3360" spans="1:7" hidden="1" x14ac:dyDescent="0.25">
      <c r="A3360" t="s">
        <v>9409</v>
      </c>
      <c r="B3360" t="s">
        <v>1607</v>
      </c>
      <c r="E3360" t="s">
        <v>2936</v>
      </c>
      <c r="F3360" t="s">
        <v>10573</v>
      </c>
      <c r="G3360" t="s">
        <v>796</v>
      </c>
    </row>
    <row r="3361" spans="1:7" hidden="1" x14ac:dyDescent="0.25">
      <c r="A3361" t="s">
        <v>9409</v>
      </c>
      <c r="B3361" t="s">
        <v>1607</v>
      </c>
      <c r="E3361" t="s">
        <v>2936</v>
      </c>
      <c r="F3361" t="s">
        <v>10576</v>
      </c>
      <c r="G3361" t="s">
        <v>796</v>
      </c>
    </row>
    <row r="3362" spans="1:7" hidden="1" x14ac:dyDescent="0.25">
      <c r="A3362" t="s">
        <v>9409</v>
      </c>
      <c r="B3362" t="s">
        <v>1607</v>
      </c>
      <c r="E3362" t="s">
        <v>2936</v>
      </c>
      <c r="F3362" t="s">
        <v>10579</v>
      </c>
      <c r="G3362" t="s">
        <v>796</v>
      </c>
    </row>
    <row r="3363" spans="1:7" hidden="1" x14ac:dyDescent="0.25">
      <c r="A3363" t="s">
        <v>9409</v>
      </c>
      <c r="B3363" t="s">
        <v>1607</v>
      </c>
      <c r="E3363" t="s">
        <v>2936</v>
      </c>
      <c r="F3363" t="s">
        <v>10582</v>
      </c>
      <c r="G3363" t="s">
        <v>796</v>
      </c>
    </row>
    <row r="3364" spans="1:7" hidden="1" x14ac:dyDescent="0.25">
      <c r="A3364" t="s">
        <v>9455</v>
      </c>
      <c r="B3364" t="s">
        <v>531</v>
      </c>
      <c r="F3364" t="s">
        <v>10585</v>
      </c>
      <c r="G3364" t="s">
        <v>1100</v>
      </c>
    </row>
    <row r="3365" spans="1:7" hidden="1" x14ac:dyDescent="0.25">
      <c r="A3365" t="s">
        <v>10637</v>
      </c>
      <c r="B3365" t="s">
        <v>531</v>
      </c>
      <c r="F3365" t="s">
        <v>10588</v>
      </c>
      <c r="G3365" t="s">
        <v>1100</v>
      </c>
    </row>
    <row r="3366" spans="1:7" hidden="1" x14ac:dyDescent="0.25">
      <c r="A3366" t="s">
        <v>9455</v>
      </c>
      <c r="B3366" t="s">
        <v>531</v>
      </c>
      <c r="F3366" t="s">
        <v>10591</v>
      </c>
      <c r="G3366" t="s">
        <v>1100</v>
      </c>
    </row>
    <row r="3367" spans="1:7" hidden="1" x14ac:dyDescent="0.25">
      <c r="A3367" t="s">
        <v>10637</v>
      </c>
      <c r="B3367" t="s">
        <v>531</v>
      </c>
      <c r="F3367" t="s">
        <v>10594</v>
      </c>
      <c r="G3367" t="s">
        <v>1100</v>
      </c>
    </row>
    <row r="3368" spans="1:7" hidden="1" x14ac:dyDescent="0.25">
      <c r="A3368" t="s">
        <v>4</v>
      </c>
      <c r="B3368" t="s">
        <v>7709</v>
      </c>
      <c r="F3368" t="s">
        <v>10597</v>
      </c>
      <c r="G3368" t="s">
        <v>1100</v>
      </c>
    </row>
    <row r="3369" spans="1:7" hidden="1" x14ac:dyDescent="0.25">
      <c r="A3369" t="s">
        <v>4</v>
      </c>
      <c r="B3369" t="s">
        <v>10638</v>
      </c>
      <c r="F3369" t="s">
        <v>10600</v>
      </c>
      <c r="G3369" s="1" t="s">
        <v>1603</v>
      </c>
    </row>
    <row r="3370" spans="1:7" hidden="1" x14ac:dyDescent="0.25">
      <c r="A3370" t="s">
        <v>4</v>
      </c>
      <c r="B3370" t="s">
        <v>10638</v>
      </c>
      <c r="F3370" t="s">
        <v>10603</v>
      </c>
      <c r="G3370" s="1" t="s">
        <v>1603</v>
      </c>
    </row>
    <row r="3371" spans="1:7" hidden="1" x14ac:dyDescent="0.25">
      <c r="A3371" t="s">
        <v>4</v>
      </c>
      <c r="B3371" t="s">
        <v>10638</v>
      </c>
      <c r="F3371" t="s">
        <v>10606</v>
      </c>
      <c r="G3371" s="1" t="s">
        <v>1603</v>
      </c>
    </row>
    <row r="3372" spans="1:7" hidden="1" x14ac:dyDescent="0.25">
      <c r="A3372" t="s">
        <v>4</v>
      </c>
      <c r="B3372" t="s">
        <v>10524</v>
      </c>
      <c r="F3372" t="s">
        <v>10609</v>
      </c>
      <c r="G3372" s="1" t="s">
        <v>1603</v>
      </c>
    </row>
    <row r="3373" spans="1:7" hidden="1" x14ac:dyDescent="0.25">
      <c r="A3373" t="s">
        <v>10639</v>
      </c>
      <c r="B3373" t="s">
        <v>531</v>
      </c>
      <c r="F3373" t="s">
        <v>10612</v>
      </c>
      <c r="G3373" t="s">
        <v>1817</v>
      </c>
    </row>
    <row r="3374" spans="1:7" hidden="1" x14ac:dyDescent="0.25">
      <c r="A3374" t="s">
        <v>10640</v>
      </c>
      <c r="B3374" t="s">
        <v>531</v>
      </c>
      <c r="F3374" t="s">
        <v>10615</v>
      </c>
      <c r="G3374" t="s">
        <v>1817</v>
      </c>
    </row>
    <row r="3375" spans="1:7" hidden="1" x14ac:dyDescent="0.25">
      <c r="A3375" t="s">
        <v>2004</v>
      </c>
      <c r="B3375" t="s">
        <v>8</v>
      </c>
      <c r="F3375" t="s">
        <v>10618</v>
      </c>
      <c r="G3375" t="s">
        <v>1934</v>
      </c>
    </row>
    <row r="3376" spans="1:7" hidden="1" x14ac:dyDescent="0.25">
      <c r="A3376" t="s">
        <v>9914</v>
      </c>
      <c r="B3376" t="s">
        <v>4247</v>
      </c>
      <c r="F3376" t="s">
        <v>10621</v>
      </c>
      <c r="G3376" t="s">
        <v>1934</v>
      </c>
    </row>
    <row r="3377" spans="1:7" x14ac:dyDescent="0.25">
      <c r="A3377" t="s">
        <v>2004</v>
      </c>
      <c r="B3377" t="s">
        <v>8</v>
      </c>
      <c r="F3377" t="s">
        <v>10624</v>
      </c>
      <c r="G3377" t="s">
        <v>1997</v>
      </c>
    </row>
    <row r="3378" spans="1:7" x14ac:dyDescent="0.25">
      <c r="A3378" t="s">
        <v>2004</v>
      </c>
      <c r="B3378" t="s">
        <v>8</v>
      </c>
      <c r="F3378" t="s">
        <v>10627</v>
      </c>
      <c r="G3378" t="s">
        <v>1997</v>
      </c>
    </row>
    <row r="3379" spans="1:7" hidden="1" x14ac:dyDescent="0.25">
      <c r="A3379" t="s">
        <v>2004</v>
      </c>
      <c r="F3379" t="s">
        <v>10716</v>
      </c>
      <c r="G3379" t="s">
        <v>1102</v>
      </c>
    </row>
    <row r="3380" spans="1:7" hidden="1" x14ac:dyDescent="0.25">
      <c r="A3380" t="s">
        <v>62</v>
      </c>
      <c r="B3380" t="s">
        <v>10884</v>
      </c>
      <c r="C3380" t="s">
        <v>58</v>
      </c>
      <c r="D3380">
        <v>4</v>
      </c>
      <c r="E3380" t="s">
        <v>9336</v>
      </c>
      <c r="F3380" t="s">
        <v>10719</v>
      </c>
      <c r="G3380" t="s">
        <v>1102</v>
      </c>
    </row>
    <row r="3381" spans="1:7" hidden="1" x14ac:dyDescent="0.25">
      <c r="A3381" t="s">
        <v>158</v>
      </c>
      <c r="B3381" t="s">
        <v>1607</v>
      </c>
      <c r="C3381" t="s">
        <v>2929</v>
      </c>
      <c r="D3381">
        <v>1</v>
      </c>
      <c r="E3381" t="s">
        <v>3075</v>
      </c>
      <c r="F3381" t="s">
        <v>10641</v>
      </c>
      <c r="G3381" t="s">
        <v>1103</v>
      </c>
    </row>
    <row r="3382" spans="1:7" hidden="1" x14ac:dyDescent="0.25">
      <c r="A3382" t="s">
        <v>158</v>
      </c>
      <c r="B3382" t="s">
        <v>1607</v>
      </c>
      <c r="C3382" t="s">
        <v>2929</v>
      </c>
      <c r="D3382">
        <v>1</v>
      </c>
      <c r="E3382" t="s">
        <v>3075</v>
      </c>
      <c r="F3382" t="s">
        <v>10644</v>
      </c>
      <c r="G3382" t="s">
        <v>1103</v>
      </c>
    </row>
    <row r="3383" spans="1:7" hidden="1" x14ac:dyDescent="0.25">
      <c r="A3383" t="s">
        <v>158</v>
      </c>
      <c r="B3383" t="s">
        <v>1607</v>
      </c>
      <c r="C3383" t="s">
        <v>2929</v>
      </c>
      <c r="D3383">
        <v>1</v>
      </c>
      <c r="E3383" t="s">
        <v>3075</v>
      </c>
      <c r="F3383" t="s">
        <v>10647</v>
      </c>
      <c r="G3383" t="s">
        <v>1103</v>
      </c>
    </row>
    <row r="3384" spans="1:7" hidden="1" x14ac:dyDescent="0.25">
      <c r="A3384" t="s">
        <v>158</v>
      </c>
      <c r="B3384" t="s">
        <v>1607</v>
      </c>
      <c r="C3384" t="s">
        <v>2929</v>
      </c>
      <c r="D3384">
        <v>1</v>
      </c>
      <c r="E3384" t="s">
        <v>3075</v>
      </c>
      <c r="F3384" t="s">
        <v>10650</v>
      </c>
      <c r="G3384" t="s">
        <v>1103</v>
      </c>
    </row>
    <row r="3385" spans="1:7" hidden="1" x14ac:dyDescent="0.25">
      <c r="A3385" t="s">
        <v>289</v>
      </c>
      <c r="B3385" t="s">
        <v>10884</v>
      </c>
      <c r="C3385" t="s">
        <v>2929</v>
      </c>
      <c r="D3385">
        <v>1</v>
      </c>
      <c r="F3385" t="s">
        <v>10653</v>
      </c>
      <c r="G3385" t="s">
        <v>1103</v>
      </c>
    </row>
    <row r="3386" spans="1:7" hidden="1" x14ac:dyDescent="0.25">
      <c r="A3386" t="s">
        <v>289</v>
      </c>
      <c r="B3386" t="s">
        <v>10884</v>
      </c>
      <c r="C3386" t="s">
        <v>2929</v>
      </c>
      <c r="D3386">
        <v>1</v>
      </c>
      <c r="E3386" t="s">
        <v>2936</v>
      </c>
      <c r="F3386" t="s">
        <v>10656</v>
      </c>
      <c r="G3386" t="s">
        <v>1103</v>
      </c>
    </row>
    <row r="3387" spans="1:7" hidden="1" x14ac:dyDescent="0.25">
      <c r="A3387" t="s">
        <v>289</v>
      </c>
      <c r="B3387" t="s">
        <v>10884</v>
      </c>
      <c r="C3387" t="s">
        <v>2929</v>
      </c>
      <c r="D3387">
        <v>1</v>
      </c>
      <c r="E3387" t="s">
        <v>2936</v>
      </c>
      <c r="F3387" t="s">
        <v>10659</v>
      </c>
      <c r="G3387" t="s">
        <v>1103</v>
      </c>
    </row>
    <row r="3388" spans="1:7" hidden="1" x14ac:dyDescent="0.25">
      <c r="A3388" t="s">
        <v>289</v>
      </c>
      <c r="B3388" t="s">
        <v>10884</v>
      </c>
      <c r="C3388" t="s">
        <v>2929</v>
      </c>
      <c r="D3388">
        <v>1</v>
      </c>
      <c r="E3388" t="s">
        <v>2936</v>
      </c>
      <c r="F3388" t="s">
        <v>10662</v>
      </c>
      <c r="G3388" t="s">
        <v>1103</v>
      </c>
    </row>
    <row r="3389" spans="1:7" hidden="1" x14ac:dyDescent="0.25">
      <c r="A3389" t="s">
        <v>650</v>
      </c>
      <c r="B3389" t="s">
        <v>10884</v>
      </c>
      <c r="C3389" t="s">
        <v>58</v>
      </c>
      <c r="E3389" t="s">
        <v>9336</v>
      </c>
      <c r="F3389" t="s">
        <v>10665</v>
      </c>
      <c r="G3389" t="s">
        <v>1103</v>
      </c>
    </row>
    <row r="3390" spans="1:7" hidden="1" x14ac:dyDescent="0.25">
      <c r="A3390" t="s">
        <v>158</v>
      </c>
      <c r="B3390" t="s">
        <v>1607</v>
      </c>
      <c r="C3390" t="s">
        <v>2929</v>
      </c>
      <c r="D3390">
        <v>1</v>
      </c>
      <c r="E3390" t="s">
        <v>3075</v>
      </c>
      <c r="F3390" t="s">
        <v>10668</v>
      </c>
      <c r="G3390" t="s">
        <v>1103</v>
      </c>
    </row>
    <row r="3391" spans="1:7" hidden="1" x14ac:dyDescent="0.25">
      <c r="A3391" t="s">
        <v>158</v>
      </c>
      <c r="B3391" t="s">
        <v>1607</v>
      </c>
      <c r="C3391" t="s">
        <v>2929</v>
      </c>
      <c r="D3391">
        <v>2</v>
      </c>
      <c r="E3391" t="s">
        <v>3075</v>
      </c>
      <c r="F3391" t="s">
        <v>10671</v>
      </c>
      <c r="G3391" t="s">
        <v>1103</v>
      </c>
    </row>
    <row r="3392" spans="1:7" hidden="1" x14ac:dyDescent="0.25">
      <c r="A3392" t="s">
        <v>158</v>
      </c>
      <c r="B3392" t="s">
        <v>1607</v>
      </c>
      <c r="C3392" t="s">
        <v>2929</v>
      </c>
      <c r="D3392">
        <v>2</v>
      </c>
      <c r="E3392" t="s">
        <v>3075</v>
      </c>
      <c r="F3392" t="s">
        <v>10674</v>
      </c>
      <c r="G3392" t="s">
        <v>1103</v>
      </c>
    </row>
    <row r="3393" spans="1:7" hidden="1" x14ac:dyDescent="0.25">
      <c r="A3393" t="s">
        <v>158</v>
      </c>
      <c r="B3393" t="s">
        <v>1607</v>
      </c>
      <c r="C3393" t="s">
        <v>2929</v>
      </c>
      <c r="D3393">
        <v>2</v>
      </c>
      <c r="E3393" t="s">
        <v>3075</v>
      </c>
      <c r="F3393" t="s">
        <v>10677</v>
      </c>
      <c r="G3393" t="s">
        <v>1103</v>
      </c>
    </row>
    <row r="3394" spans="1:7" hidden="1" x14ac:dyDescent="0.25">
      <c r="A3394" t="s">
        <v>533</v>
      </c>
      <c r="B3394" t="s">
        <v>531</v>
      </c>
      <c r="C3394" t="s">
        <v>2929</v>
      </c>
      <c r="E3394" t="s">
        <v>10885</v>
      </c>
      <c r="F3394" t="s">
        <v>10683</v>
      </c>
      <c r="G3394" t="s">
        <v>1103</v>
      </c>
    </row>
    <row r="3395" spans="1:7" hidden="1" x14ac:dyDescent="0.25">
      <c r="A3395" t="s">
        <v>533</v>
      </c>
      <c r="B3395" t="s">
        <v>531</v>
      </c>
      <c r="C3395" t="s">
        <v>2929</v>
      </c>
      <c r="E3395" t="s">
        <v>10885</v>
      </c>
      <c r="F3395" t="s">
        <v>10689</v>
      </c>
      <c r="G3395" t="s">
        <v>1103</v>
      </c>
    </row>
    <row r="3396" spans="1:7" hidden="1" x14ac:dyDescent="0.25">
      <c r="A3396" t="s">
        <v>533</v>
      </c>
      <c r="B3396" t="s">
        <v>531</v>
      </c>
      <c r="C3396" t="s">
        <v>2929</v>
      </c>
      <c r="E3396" t="s">
        <v>10885</v>
      </c>
      <c r="F3396" t="s">
        <v>10692</v>
      </c>
      <c r="G3396" t="s">
        <v>1103</v>
      </c>
    </row>
    <row r="3397" spans="1:7" hidden="1" x14ac:dyDescent="0.25">
      <c r="A3397" t="s">
        <v>533</v>
      </c>
      <c r="B3397" t="s">
        <v>531</v>
      </c>
      <c r="C3397" t="s">
        <v>2929</v>
      </c>
      <c r="E3397" t="s">
        <v>10885</v>
      </c>
      <c r="F3397" t="s">
        <v>10698</v>
      </c>
      <c r="G3397" t="s">
        <v>1103</v>
      </c>
    </row>
    <row r="3398" spans="1:7" hidden="1" x14ac:dyDescent="0.25">
      <c r="A3398" t="s">
        <v>533</v>
      </c>
      <c r="B3398" t="s">
        <v>531</v>
      </c>
      <c r="C3398" t="s">
        <v>2929</v>
      </c>
      <c r="E3398" t="s">
        <v>10885</v>
      </c>
      <c r="F3398" t="s">
        <v>10701</v>
      </c>
      <c r="G3398" t="s">
        <v>1103</v>
      </c>
    </row>
    <row r="3399" spans="1:7" hidden="1" x14ac:dyDescent="0.25">
      <c r="A3399" t="s">
        <v>533</v>
      </c>
      <c r="B3399" t="s">
        <v>531</v>
      </c>
      <c r="C3399" t="s">
        <v>2929</v>
      </c>
      <c r="E3399" t="s">
        <v>10885</v>
      </c>
      <c r="F3399" t="s">
        <v>10707</v>
      </c>
      <c r="G3399" t="s">
        <v>1103</v>
      </c>
    </row>
    <row r="3400" spans="1:7" hidden="1" x14ac:dyDescent="0.25">
      <c r="A3400" t="s">
        <v>533</v>
      </c>
      <c r="B3400" t="s">
        <v>531</v>
      </c>
      <c r="C3400" t="s">
        <v>2929</v>
      </c>
      <c r="E3400" t="s">
        <v>10885</v>
      </c>
      <c r="F3400" t="s">
        <v>10680</v>
      </c>
      <c r="G3400" t="s">
        <v>1103</v>
      </c>
    </row>
    <row r="3401" spans="1:7" hidden="1" x14ac:dyDescent="0.25">
      <c r="A3401" t="s">
        <v>533</v>
      </c>
      <c r="B3401" t="s">
        <v>531</v>
      </c>
      <c r="C3401" t="s">
        <v>2929</v>
      </c>
      <c r="E3401" t="s">
        <v>10885</v>
      </c>
      <c r="F3401" t="s">
        <v>10686</v>
      </c>
      <c r="G3401" t="s">
        <v>1103</v>
      </c>
    </row>
    <row r="3402" spans="1:7" hidden="1" x14ac:dyDescent="0.25">
      <c r="A3402" t="s">
        <v>533</v>
      </c>
      <c r="B3402" t="s">
        <v>531</v>
      </c>
      <c r="C3402" t="s">
        <v>2929</v>
      </c>
      <c r="E3402" t="s">
        <v>10885</v>
      </c>
      <c r="F3402" t="s">
        <v>10695</v>
      </c>
      <c r="G3402" t="s">
        <v>1103</v>
      </c>
    </row>
    <row r="3403" spans="1:7" hidden="1" x14ac:dyDescent="0.25">
      <c r="A3403" t="s">
        <v>533</v>
      </c>
      <c r="B3403" t="s">
        <v>531</v>
      </c>
      <c r="C3403" t="s">
        <v>2929</v>
      </c>
      <c r="E3403" t="s">
        <v>10885</v>
      </c>
      <c r="F3403" t="s">
        <v>10704</v>
      </c>
      <c r="G3403" t="s">
        <v>1103</v>
      </c>
    </row>
    <row r="3404" spans="1:7" hidden="1" x14ac:dyDescent="0.25">
      <c r="A3404" t="s">
        <v>4</v>
      </c>
      <c r="B3404" t="s">
        <v>8803</v>
      </c>
      <c r="F3404" t="s">
        <v>10737</v>
      </c>
      <c r="G3404" t="s">
        <v>91</v>
      </c>
    </row>
    <row r="3405" spans="1:7" hidden="1" x14ac:dyDescent="0.25">
      <c r="A3405" t="s">
        <v>4</v>
      </c>
      <c r="B3405" t="s">
        <v>8803</v>
      </c>
      <c r="F3405" t="s">
        <v>10740</v>
      </c>
      <c r="G3405" t="s">
        <v>91</v>
      </c>
    </row>
    <row r="3406" spans="1:7" hidden="1" x14ac:dyDescent="0.25">
      <c r="A3406" t="s">
        <v>4</v>
      </c>
      <c r="B3406" t="s">
        <v>10886</v>
      </c>
      <c r="F3406" t="s">
        <v>10710</v>
      </c>
      <c r="G3406" t="s">
        <v>1104</v>
      </c>
    </row>
    <row r="3407" spans="1:7" hidden="1" x14ac:dyDescent="0.25">
      <c r="A3407" t="s">
        <v>4</v>
      </c>
      <c r="B3407" t="s">
        <v>8803</v>
      </c>
      <c r="F3407" t="s">
        <v>10713</v>
      </c>
      <c r="G3407" t="s">
        <v>1104</v>
      </c>
    </row>
    <row r="3408" spans="1:7" hidden="1" x14ac:dyDescent="0.25">
      <c r="A3408" t="s">
        <v>4</v>
      </c>
      <c r="B3408" t="s">
        <v>9876</v>
      </c>
      <c r="F3408" t="s">
        <v>10722</v>
      </c>
      <c r="G3408" t="s">
        <v>1105</v>
      </c>
    </row>
    <row r="3409" spans="1:7" hidden="1" x14ac:dyDescent="0.25">
      <c r="A3409" t="s">
        <v>158</v>
      </c>
      <c r="B3409" t="s">
        <v>86</v>
      </c>
      <c r="C3409" t="s">
        <v>60</v>
      </c>
      <c r="E3409" t="s">
        <v>10887</v>
      </c>
      <c r="F3409" t="s">
        <v>10725</v>
      </c>
      <c r="G3409" t="s">
        <v>1105</v>
      </c>
    </row>
    <row r="3410" spans="1:7" hidden="1" x14ac:dyDescent="0.25">
      <c r="A3410" t="s">
        <v>4</v>
      </c>
      <c r="B3410" t="s">
        <v>2932</v>
      </c>
      <c r="F3410" t="s">
        <v>10728</v>
      </c>
      <c r="G3410" t="s">
        <v>1105</v>
      </c>
    </row>
    <row r="3411" spans="1:7" hidden="1" x14ac:dyDescent="0.25">
      <c r="A3411" t="s">
        <v>4</v>
      </c>
      <c r="B3411" t="s">
        <v>9876</v>
      </c>
      <c r="F3411" t="s">
        <v>10731</v>
      </c>
      <c r="G3411" t="s">
        <v>1105</v>
      </c>
    </row>
    <row r="3412" spans="1:7" hidden="1" x14ac:dyDescent="0.25">
      <c r="A3412" t="s">
        <v>4</v>
      </c>
      <c r="B3412" t="s">
        <v>9876</v>
      </c>
      <c r="F3412" t="s">
        <v>10734</v>
      </c>
      <c r="G3412" t="s">
        <v>1105</v>
      </c>
    </row>
    <row r="3413" spans="1:7" hidden="1" x14ac:dyDescent="0.25">
      <c r="A3413" t="s">
        <v>2004</v>
      </c>
      <c r="B3413" t="s">
        <v>8</v>
      </c>
      <c r="F3413" t="s">
        <v>10782</v>
      </c>
      <c r="G3413" t="s">
        <v>1106</v>
      </c>
    </row>
    <row r="3414" spans="1:7" hidden="1" x14ac:dyDescent="0.25">
      <c r="A3414" t="s">
        <v>2004</v>
      </c>
      <c r="B3414" t="s">
        <v>8</v>
      </c>
      <c r="F3414" t="s">
        <v>10785</v>
      </c>
      <c r="G3414" t="s">
        <v>1106</v>
      </c>
    </row>
    <row r="3415" spans="1:7" hidden="1" x14ac:dyDescent="0.25">
      <c r="A3415" t="s">
        <v>2004</v>
      </c>
      <c r="B3415" t="s">
        <v>8</v>
      </c>
      <c r="F3415" t="s">
        <v>10878</v>
      </c>
      <c r="G3415" t="s">
        <v>1107</v>
      </c>
    </row>
    <row r="3416" spans="1:7" hidden="1" x14ac:dyDescent="0.25">
      <c r="A3416" t="s">
        <v>2004</v>
      </c>
      <c r="B3416" t="s">
        <v>8</v>
      </c>
      <c r="F3416" t="s">
        <v>10881</v>
      </c>
      <c r="G3416" t="s">
        <v>1107</v>
      </c>
    </row>
    <row r="3417" spans="1:7" hidden="1" x14ac:dyDescent="0.25">
      <c r="A3417" t="s">
        <v>10888</v>
      </c>
      <c r="B3417" t="s">
        <v>796</v>
      </c>
      <c r="F3417" t="s">
        <v>10743</v>
      </c>
      <c r="G3417" t="s">
        <v>796</v>
      </c>
    </row>
    <row r="3418" spans="1:7" hidden="1" x14ac:dyDescent="0.25">
      <c r="A3418" t="s">
        <v>10888</v>
      </c>
      <c r="B3418" t="s">
        <v>796</v>
      </c>
      <c r="F3418" t="s">
        <v>10746</v>
      </c>
      <c r="G3418" t="s">
        <v>796</v>
      </c>
    </row>
    <row r="3419" spans="1:7" hidden="1" x14ac:dyDescent="0.25">
      <c r="A3419" t="s">
        <v>2024</v>
      </c>
      <c r="B3419" t="s">
        <v>796</v>
      </c>
      <c r="F3419" t="s">
        <v>10749</v>
      </c>
      <c r="G3419" t="s">
        <v>796</v>
      </c>
    </row>
    <row r="3420" spans="1:7" hidden="1" x14ac:dyDescent="0.25">
      <c r="A3420" t="s">
        <v>10888</v>
      </c>
      <c r="B3420" t="s">
        <v>796</v>
      </c>
      <c r="F3420" t="s">
        <v>10752</v>
      </c>
      <c r="G3420" t="s">
        <v>796</v>
      </c>
    </row>
    <row r="3421" spans="1:7" hidden="1" x14ac:dyDescent="0.25">
      <c r="A3421" t="s">
        <v>2024</v>
      </c>
      <c r="B3421" t="s">
        <v>796</v>
      </c>
      <c r="F3421" t="s">
        <v>10755</v>
      </c>
      <c r="G3421" t="s">
        <v>796</v>
      </c>
    </row>
    <row r="3422" spans="1:7" hidden="1" x14ac:dyDescent="0.25">
      <c r="A3422" t="s">
        <v>2024</v>
      </c>
      <c r="B3422" t="s">
        <v>796</v>
      </c>
      <c r="F3422" t="s">
        <v>10758</v>
      </c>
      <c r="G3422" t="s">
        <v>796</v>
      </c>
    </row>
    <row r="3423" spans="1:7" hidden="1" x14ac:dyDescent="0.25">
      <c r="A3423" t="s">
        <v>2024</v>
      </c>
      <c r="B3423" t="s">
        <v>796</v>
      </c>
      <c r="F3423" t="s">
        <v>10761</v>
      </c>
      <c r="G3423" t="s">
        <v>796</v>
      </c>
    </row>
    <row r="3424" spans="1:7" hidden="1" x14ac:dyDescent="0.25">
      <c r="A3424" t="s">
        <v>9409</v>
      </c>
      <c r="B3424" t="s">
        <v>1607</v>
      </c>
      <c r="F3424" t="s">
        <v>10764</v>
      </c>
      <c r="G3424" t="s">
        <v>796</v>
      </c>
    </row>
    <row r="3425" spans="1:7" hidden="1" x14ac:dyDescent="0.25">
      <c r="A3425" t="s">
        <v>2024</v>
      </c>
      <c r="B3425" t="s">
        <v>796</v>
      </c>
      <c r="F3425" t="s">
        <v>10767</v>
      </c>
      <c r="G3425" t="s">
        <v>796</v>
      </c>
    </row>
    <row r="3426" spans="1:7" hidden="1" x14ac:dyDescent="0.25">
      <c r="A3426" t="s">
        <v>9409</v>
      </c>
      <c r="B3426" t="s">
        <v>1607</v>
      </c>
      <c r="F3426" t="s">
        <v>10770</v>
      </c>
      <c r="G3426" t="s">
        <v>796</v>
      </c>
    </row>
    <row r="3427" spans="1:7" hidden="1" x14ac:dyDescent="0.25">
      <c r="A3427" t="s">
        <v>9409</v>
      </c>
      <c r="B3427" t="s">
        <v>1607</v>
      </c>
      <c r="F3427" t="s">
        <v>10773</v>
      </c>
      <c r="G3427" t="s">
        <v>796</v>
      </c>
    </row>
    <row r="3428" spans="1:7" hidden="1" x14ac:dyDescent="0.25">
      <c r="A3428" t="s">
        <v>2024</v>
      </c>
      <c r="B3428" t="s">
        <v>796</v>
      </c>
      <c r="F3428" t="s">
        <v>10776</v>
      </c>
      <c r="G3428" t="s">
        <v>796</v>
      </c>
    </row>
    <row r="3429" spans="1:7" hidden="1" x14ac:dyDescent="0.25">
      <c r="A3429" t="s">
        <v>2024</v>
      </c>
      <c r="B3429" t="s">
        <v>796</v>
      </c>
      <c r="F3429" t="s">
        <v>10779</v>
      </c>
      <c r="G3429" t="s">
        <v>796</v>
      </c>
    </row>
    <row r="3430" spans="1:7" hidden="1" x14ac:dyDescent="0.25">
      <c r="A3430" t="s">
        <v>9455</v>
      </c>
      <c r="B3430" t="s">
        <v>531</v>
      </c>
      <c r="F3430" t="s">
        <v>10788</v>
      </c>
      <c r="G3430" t="s">
        <v>1100</v>
      </c>
    </row>
    <row r="3431" spans="1:7" hidden="1" x14ac:dyDescent="0.25">
      <c r="A3431" t="s">
        <v>4</v>
      </c>
      <c r="B3431" t="s">
        <v>7709</v>
      </c>
      <c r="F3431" t="s">
        <v>10791</v>
      </c>
      <c r="G3431" t="s">
        <v>1100</v>
      </c>
    </row>
    <row r="3432" spans="1:7" hidden="1" x14ac:dyDescent="0.25">
      <c r="A3432" t="s">
        <v>5476</v>
      </c>
      <c r="B3432" t="s">
        <v>5480</v>
      </c>
      <c r="C3432" t="s">
        <v>9202</v>
      </c>
      <c r="F3432" t="s">
        <v>10794</v>
      </c>
      <c r="G3432" t="s">
        <v>1100</v>
      </c>
    </row>
    <row r="3433" spans="1:7" hidden="1" x14ac:dyDescent="0.25">
      <c r="A3433" t="s">
        <v>9692</v>
      </c>
      <c r="B3433" t="s">
        <v>5137</v>
      </c>
      <c r="F3433" t="s">
        <v>10797</v>
      </c>
      <c r="G3433" t="s">
        <v>1100</v>
      </c>
    </row>
    <row r="3434" spans="1:7" hidden="1" x14ac:dyDescent="0.25">
      <c r="A3434" t="s">
        <v>5476</v>
      </c>
      <c r="B3434" t="s">
        <v>5480</v>
      </c>
      <c r="C3434" t="s">
        <v>9202</v>
      </c>
      <c r="F3434" t="s">
        <v>10800</v>
      </c>
      <c r="G3434" t="s">
        <v>1100</v>
      </c>
    </row>
    <row r="3435" spans="1:7" hidden="1" x14ac:dyDescent="0.25">
      <c r="A3435" t="s">
        <v>158</v>
      </c>
      <c r="B3435" t="s">
        <v>9201</v>
      </c>
      <c r="C3435" t="s">
        <v>2929</v>
      </c>
      <c r="F3435" t="s">
        <v>10803</v>
      </c>
      <c r="G3435" t="s">
        <v>1100</v>
      </c>
    </row>
    <row r="3436" spans="1:7" hidden="1" x14ac:dyDescent="0.25">
      <c r="A3436" t="s">
        <v>9200</v>
      </c>
      <c r="B3436" t="s">
        <v>5137</v>
      </c>
      <c r="F3436" t="s">
        <v>10806</v>
      </c>
      <c r="G3436" t="s">
        <v>1100</v>
      </c>
    </row>
    <row r="3437" spans="1:7" hidden="1" x14ac:dyDescent="0.25">
      <c r="A3437" t="s">
        <v>9455</v>
      </c>
      <c r="B3437" t="s">
        <v>531</v>
      </c>
      <c r="F3437" t="s">
        <v>10809</v>
      </c>
      <c r="G3437" t="s">
        <v>1100</v>
      </c>
    </row>
    <row r="3438" spans="1:7" hidden="1" x14ac:dyDescent="0.25">
      <c r="A3438" t="s">
        <v>9200</v>
      </c>
      <c r="B3438" t="s">
        <v>5137</v>
      </c>
      <c r="F3438" t="s">
        <v>10812</v>
      </c>
      <c r="G3438" t="s">
        <v>1100</v>
      </c>
    </row>
    <row r="3439" spans="1:7" hidden="1" x14ac:dyDescent="0.25">
      <c r="A3439" t="s">
        <v>9200</v>
      </c>
      <c r="B3439" t="s">
        <v>5137</v>
      </c>
      <c r="F3439" t="s">
        <v>10815</v>
      </c>
      <c r="G3439" t="s">
        <v>1100</v>
      </c>
    </row>
    <row r="3440" spans="1:7" hidden="1" x14ac:dyDescent="0.25">
      <c r="A3440" t="s">
        <v>2024</v>
      </c>
      <c r="B3440" t="s">
        <v>1304</v>
      </c>
      <c r="E3440" t="s">
        <v>10889</v>
      </c>
      <c r="F3440" t="s">
        <v>10818</v>
      </c>
      <c r="G3440" t="s">
        <v>1100</v>
      </c>
    </row>
    <row r="3441" spans="1:7" hidden="1" x14ac:dyDescent="0.25">
      <c r="A3441" t="s">
        <v>9200</v>
      </c>
      <c r="B3441" t="s">
        <v>5137</v>
      </c>
      <c r="F3441" t="s">
        <v>10821</v>
      </c>
      <c r="G3441" t="s">
        <v>1100</v>
      </c>
    </row>
    <row r="3442" spans="1:7" hidden="1" x14ac:dyDescent="0.25">
      <c r="A3442" t="s">
        <v>4223</v>
      </c>
      <c r="B3442" t="s">
        <v>86</v>
      </c>
      <c r="C3442" t="s">
        <v>9202</v>
      </c>
      <c r="F3442" t="s">
        <v>10824</v>
      </c>
      <c r="G3442" s="1" t="s">
        <v>1603</v>
      </c>
    </row>
    <row r="3443" spans="1:7" hidden="1" x14ac:dyDescent="0.25">
      <c r="A3443" t="s">
        <v>533</v>
      </c>
      <c r="B3443" t="s">
        <v>1607</v>
      </c>
      <c r="C3443" t="s">
        <v>2929</v>
      </c>
      <c r="F3443" t="s">
        <v>10827</v>
      </c>
      <c r="G3443" s="1" t="s">
        <v>1603</v>
      </c>
    </row>
    <row r="3444" spans="1:7" hidden="1" x14ac:dyDescent="0.25">
      <c r="A3444" t="s">
        <v>4223</v>
      </c>
      <c r="B3444" t="s">
        <v>86</v>
      </c>
      <c r="C3444" t="s">
        <v>9202</v>
      </c>
      <c r="F3444" t="s">
        <v>10830</v>
      </c>
      <c r="G3444" s="1" t="s">
        <v>1603</v>
      </c>
    </row>
    <row r="3445" spans="1:7" hidden="1" x14ac:dyDescent="0.25">
      <c r="A3445" t="s">
        <v>533</v>
      </c>
      <c r="B3445" t="s">
        <v>1607</v>
      </c>
      <c r="C3445" t="s">
        <v>2929</v>
      </c>
      <c r="E3445" t="s">
        <v>6339</v>
      </c>
      <c r="F3445" t="s">
        <v>10833</v>
      </c>
      <c r="G3445" s="1" t="s">
        <v>1603</v>
      </c>
    </row>
    <row r="3446" spans="1:7" hidden="1" x14ac:dyDescent="0.25">
      <c r="A3446" t="s">
        <v>533</v>
      </c>
      <c r="B3446" t="s">
        <v>1607</v>
      </c>
      <c r="C3446" t="s">
        <v>2929</v>
      </c>
      <c r="F3446" t="s">
        <v>10836</v>
      </c>
      <c r="G3446" s="1" t="s">
        <v>1603</v>
      </c>
    </row>
    <row r="3447" spans="1:7" hidden="1" x14ac:dyDescent="0.25">
      <c r="A3447" t="s">
        <v>533</v>
      </c>
      <c r="B3447" t="s">
        <v>1607</v>
      </c>
      <c r="C3447" t="s">
        <v>2929</v>
      </c>
      <c r="F3447" t="s">
        <v>10839</v>
      </c>
      <c r="G3447" s="1" t="s">
        <v>1603</v>
      </c>
    </row>
    <row r="3448" spans="1:7" hidden="1" x14ac:dyDescent="0.25">
      <c r="A3448" t="s">
        <v>533</v>
      </c>
      <c r="B3448" t="s">
        <v>1607</v>
      </c>
      <c r="C3448" t="s">
        <v>2929</v>
      </c>
      <c r="F3448" t="s">
        <v>10842</v>
      </c>
      <c r="G3448" s="1" t="s">
        <v>1603</v>
      </c>
    </row>
    <row r="3449" spans="1:7" hidden="1" x14ac:dyDescent="0.25">
      <c r="A3449" t="s">
        <v>533</v>
      </c>
      <c r="B3449" t="s">
        <v>1607</v>
      </c>
      <c r="C3449" t="s">
        <v>2929</v>
      </c>
      <c r="F3449" t="s">
        <v>10845</v>
      </c>
      <c r="G3449" s="1" t="s">
        <v>1603</v>
      </c>
    </row>
    <row r="3450" spans="1:7" hidden="1" x14ac:dyDescent="0.25">
      <c r="A3450" t="s">
        <v>533</v>
      </c>
      <c r="B3450" t="s">
        <v>1607</v>
      </c>
      <c r="C3450" t="s">
        <v>2929</v>
      </c>
      <c r="F3450" t="s">
        <v>10848</v>
      </c>
      <c r="G3450" s="1" t="s">
        <v>1603</v>
      </c>
    </row>
    <row r="3451" spans="1:7" hidden="1" x14ac:dyDescent="0.25">
      <c r="A3451" t="s">
        <v>533</v>
      </c>
      <c r="B3451" t="s">
        <v>1607</v>
      </c>
      <c r="C3451" t="s">
        <v>2929</v>
      </c>
      <c r="F3451" t="s">
        <v>10851</v>
      </c>
      <c r="G3451" s="1" t="s">
        <v>1603</v>
      </c>
    </row>
    <row r="3452" spans="1:7" hidden="1" x14ac:dyDescent="0.25">
      <c r="A3452" t="s">
        <v>2004</v>
      </c>
      <c r="B3452" t="s">
        <v>8</v>
      </c>
      <c r="F3452" t="s">
        <v>10854</v>
      </c>
      <c r="G3452" t="s">
        <v>1817</v>
      </c>
    </row>
    <row r="3453" spans="1:7" hidden="1" x14ac:dyDescent="0.25">
      <c r="A3453" t="s">
        <v>2004</v>
      </c>
      <c r="B3453" t="s">
        <v>8</v>
      </c>
      <c r="F3453" t="s">
        <v>10857</v>
      </c>
      <c r="G3453" t="s">
        <v>1817</v>
      </c>
    </row>
    <row r="3454" spans="1:7" hidden="1" x14ac:dyDescent="0.25">
      <c r="A3454" t="s">
        <v>9876</v>
      </c>
      <c r="B3454" t="s">
        <v>9201</v>
      </c>
      <c r="F3454" t="s">
        <v>10860</v>
      </c>
      <c r="G3454" t="s">
        <v>1934</v>
      </c>
    </row>
    <row r="3455" spans="1:7" hidden="1" x14ac:dyDescent="0.25">
      <c r="A3455" t="s">
        <v>9876</v>
      </c>
      <c r="B3455" t="s">
        <v>9201</v>
      </c>
      <c r="E3455" t="s">
        <v>2936</v>
      </c>
      <c r="F3455" t="s">
        <v>10863</v>
      </c>
      <c r="G3455" t="s">
        <v>1934</v>
      </c>
    </row>
    <row r="3456" spans="1:7" hidden="1" x14ac:dyDescent="0.25">
      <c r="A3456" t="s">
        <v>9876</v>
      </c>
      <c r="B3456" t="s">
        <v>9201</v>
      </c>
      <c r="E3456" t="s">
        <v>2936</v>
      </c>
      <c r="F3456" t="s">
        <v>10866</v>
      </c>
      <c r="G3456" t="s">
        <v>1934</v>
      </c>
    </row>
    <row r="3457" spans="1:7" hidden="1" x14ac:dyDescent="0.25">
      <c r="A3457" t="s">
        <v>9876</v>
      </c>
      <c r="B3457" t="s">
        <v>9201</v>
      </c>
      <c r="E3457" t="s">
        <v>2936</v>
      </c>
      <c r="F3457" t="s">
        <v>10869</v>
      </c>
      <c r="G3457" t="s">
        <v>1934</v>
      </c>
    </row>
    <row r="3458" spans="1:7" x14ac:dyDescent="0.25">
      <c r="A3458" t="s">
        <v>2004</v>
      </c>
      <c r="B3458" t="s">
        <v>8</v>
      </c>
      <c r="F3458" t="s">
        <v>10872</v>
      </c>
      <c r="G3458" t="s">
        <v>1997</v>
      </c>
    </row>
    <row r="3459" spans="1:7" x14ac:dyDescent="0.25">
      <c r="A3459" t="s">
        <v>2004</v>
      </c>
      <c r="B3459" t="s">
        <v>8</v>
      </c>
      <c r="F3459" t="s">
        <v>10875</v>
      </c>
      <c r="G3459" t="s">
        <v>1997</v>
      </c>
    </row>
    <row r="3460" spans="1:7" hidden="1" x14ac:dyDescent="0.25">
      <c r="A3460" t="s">
        <v>91</v>
      </c>
      <c r="B3460" t="s">
        <v>70</v>
      </c>
      <c r="C3460" t="s">
        <v>5076</v>
      </c>
      <c r="F3460" t="s">
        <v>10902</v>
      </c>
      <c r="G3460" t="s">
        <v>1102</v>
      </c>
    </row>
    <row r="3461" spans="1:7" hidden="1" x14ac:dyDescent="0.25">
      <c r="A3461" t="s">
        <v>62</v>
      </c>
      <c r="B3461" t="s">
        <v>70</v>
      </c>
      <c r="C3461" t="s">
        <v>5093</v>
      </c>
      <c r="F3461" t="s">
        <v>10905</v>
      </c>
      <c r="G3461" t="s">
        <v>1102</v>
      </c>
    </row>
    <row r="3462" spans="1:7" hidden="1" x14ac:dyDescent="0.25">
      <c r="A3462" t="s">
        <v>1606</v>
      </c>
      <c r="B3462" t="s">
        <v>10140</v>
      </c>
      <c r="F3462" t="s">
        <v>10890</v>
      </c>
      <c r="G3462" t="s">
        <v>1103</v>
      </c>
    </row>
    <row r="3463" spans="1:7" hidden="1" x14ac:dyDescent="0.25">
      <c r="A3463" t="s">
        <v>650</v>
      </c>
      <c r="B3463" t="s">
        <v>10140</v>
      </c>
      <c r="F3463" t="s">
        <v>10893</v>
      </c>
      <c r="G3463" t="s">
        <v>1103</v>
      </c>
    </row>
    <row r="3464" spans="1:7" hidden="1" x14ac:dyDescent="0.25">
      <c r="A3464" t="s">
        <v>4</v>
      </c>
      <c r="B3464" t="s">
        <v>8803</v>
      </c>
      <c r="F3464" t="s">
        <v>10896</v>
      </c>
      <c r="G3464" t="s">
        <v>91</v>
      </c>
    </row>
    <row r="3465" spans="1:7" hidden="1" x14ac:dyDescent="0.25">
      <c r="A3465" t="s">
        <v>4</v>
      </c>
      <c r="B3465" t="s">
        <v>8803</v>
      </c>
      <c r="F3465" t="s">
        <v>10899</v>
      </c>
      <c r="G3465" t="s">
        <v>91</v>
      </c>
    </row>
    <row r="3466" spans="1:7" hidden="1" x14ac:dyDescent="0.25">
      <c r="A3466" t="s">
        <v>4</v>
      </c>
      <c r="B3466" t="s">
        <v>70</v>
      </c>
      <c r="C3466" t="s">
        <v>5093</v>
      </c>
      <c r="F3466" t="s">
        <v>10908</v>
      </c>
      <c r="G3466" t="s">
        <v>1104</v>
      </c>
    </row>
    <row r="3467" spans="1:7" hidden="1" x14ac:dyDescent="0.25">
      <c r="A3467" t="s">
        <v>289</v>
      </c>
      <c r="B3467" t="s">
        <v>70</v>
      </c>
      <c r="C3467" t="s">
        <v>5093</v>
      </c>
      <c r="F3467" t="s">
        <v>10911</v>
      </c>
      <c r="G3467" t="s">
        <v>1104</v>
      </c>
    </row>
    <row r="3468" spans="1:7" hidden="1" x14ac:dyDescent="0.25">
      <c r="A3468" t="s">
        <v>4</v>
      </c>
      <c r="B3468" t="s">
        <v>8045</v>
      </c>
      <c r="F3468" t="s">
        <v>10914</v>
      </c>
      <c r="G3468" t="s">
        <v>1105</v>
      </c>
    </row>
    <row r="3469" spans="1:7" hidden="1" x14ac:dyDescent="0.25">
      <c r="A3469" t="s">
        <v>4</v>
      </c>
      <c r="B3469" t="s">
        <v>8045</v>
      </c>
      <c r="F3469" t="s">
        <v>10917</v>
      </c>
      <c r="G3469" t="s">
        <v>1105</v>
      </c>
    </row>
    <row r="3470" spans="1:7" hidden="1" x14ac:dyDescent="0.25">
      <c r="A3470" t="s">
        <v>2004</v>
      </c>
      <c r="B3470" t="s">
        <v>8</v>
      </c>
      <c r="F3470" t="s">
        <v>10920</v>
      </c>
      <c r="G3470" t="s">
        <v>1106</v>
      </c>
    </row>
    <row r="3471" spans="1:7" hidden="1" x14ac:dyDescent="0.25">
      <c r="A3471" t="s">
        <v>2004</v>
      </c>
      <c r="B3471" t="s">
        <v>8</v>
      </c>
      <c r="F3471" t="s">
        <v>11004</v>
      </c>
      <c r="G3471" t="s">
        <v>1107</v>
      </c>
    </row>
    <row r="3472" spans="1:7" hidden="1" x14ac:dyDescent="0.25">
      <c r="A3472" t="s">
        <v>4</v>
      </c>
      <c r="B3472" t="s">
        <v>9</v>
      </c>
      <c r="F3472" t="s">
        <v>10923</v>
      </c>
      <c r="G3472" t="s">
        <v>796</v>
      </c>
    </row>
    <row r="3473" spans="1:7" hidden="1" x14ac:dyDescent="0.25">
      <c r="A3473" t="s">
        <v>9409</v>
      </c>
      <c r="B3473" t="s">
        <v>1607</v>
      </c>
      <c r="F3473" t="s">
        <v>10926</v>
      </c>
      <c r="G3473" t="s">
        <v>796</v>
      </c>
    </row>
    <row r="3474" spans="1:7" hidden="1" x14ac:dyDescent="0.25">
      <c r="A3474" t="s">
        <v>10888</v>
      </c>
      <c r="B3474" t="s">
        <v>796</v>
      </c>
      <c r="F3474" t="s">
        <v>10929</v>
      </c>
      <c r="G3474" t="s">
        <v>796</v>
      </c>
    </row>
    <row r="3475" spans="1:7" hidden="1" x14ac:dyDescent="0.25">
      <c r="A3475" t="s">
        <v>2024</v>
      </c>
      <c r="B3475" t="s">
        <v>796</v>
      </c>
      <c r="F3475" t="s">
        <v>10932</v>
      </c>
      <c r="G3475" t="s">
        <v>796</v>
      </c>
    </row>
    <row r="3476" spans="1:7" hidden="1" x14ac:dyDescent="0.25">
      <c r="A3476" t="s">
        <v>10888</v>
      </c>
      <c r="B3476" t="s">
        <v>796</v>
      </c>
      <c r="F3476" t="s">
        <v>10935</v>
      </c>
      <c r="G3476" t="s">
        <v>796</v>
      </c>
    </row>
    <row r="3477" spans="1:7" hidden="1" x14ac:dyDescent="0.25">
      <c r="A3477" t="s">
        <v>2024</v>
      </c>
      <c r="B3477" t="s">
        <v>796</v>
      </c>
      <c r="F3477" t="s">
        <v>10938</v>
      </c>
      <c r="G3477" t="s">
        <v>796</v>
      </c>
    </row>
    <row r="3478" spans="1:7" hidden="1" x14ac:dyDescent="0.25">
      <c r="A3478" t="s">
        <v>10888</v>
      </c>
      <c r="B3478" t="s">
        <v>796</v>
      </c>
      <c r="F3478" t="s">
        <v>10941</v>
      </c>
      <c r="G3478" t="s">
        <v>796</v>
      </c>
    </row>
    <row r="3479" spans="1:7" hidden="1" x14ac:dyDescent="0.25">
      <c r="A3479" t="s">
        <v>2024</v>
      </c>
      <c r="B3479" t="s">
        <v>796</v>
      </c>
      <c r="F3479" t="s">
        <v>10944</v>
      </c>
      <c r="G3479" t="s">
        <v>796</v>
      </c>
    </row>
    <row r="3480" spans="1:7" hidden="1" x14ac:dyDescent="0.25">
      <c r="A3480" t="s">
        <v>9455</v>
      </c>
      <c r="B3480" t="s">
        <v>531</v>
      </c>
      <c r="F3480" t="s">
        <v>10947</v>
      </c>
      <c r="G3480" t="s">
        <v>1100</v>
      </c>
    </row>
    <row r="3481" spans="1:7" hidden="1" x14ac:dyDescent="0.25">
      <c r="A3481" t="s">
        <v>4</v>
      </c>
      <c r="B3481" t="s">
        <v>7709</v>
      </c>
      <c r="F3481" t="s">
        <v>10950</v>
      </c>
      <c r="G3481" t="s">
        <v>1100</v>
      </c>
    </row>
    <row r="3482" spans="1:7" hidden="1" x14ac:dyDescent="0.25">
      <c r="A3482" t="s">
        <v>4</v>
      </c>
      <c r="B3482" t="s">
        <v>5480</v>
      </c>
      <c r="E3482" t="s">
        <v>5479</v>
      </c>
      <c r="F3482" t="s">
        <v>10953</v>
      </c>
      <c r="G3482" t="s">
        <v>1100</v>
      </c>
    </row>
    <row r="3483" spans="1:7" hidden="1" x14ac:dyDescent="0.25">
      <c r="A3483" t="s">
        <v>1606</v>
      </c>
      <c r="B3483" t="s">
        <v>70</v>
      </c>
      <c r="F3483" t="s">
        <v>10956</v>
      </c>
      <c r="G3483" s="1" t="s">
        <v>1603</v>
      </c>
    </row>
    <row r="3484" spans="1:7" hidden="1" x14ac:dyDescent="0.25">
      <c r="A3484" t="s">
        <v>289</v>
      </c>
      <c r="B3484" t="s">
        <v>70</v>
      </c>
      <c r="C3484" t="s">
        <v>11007</v>
      </c>
      <c r="F3484" t="s">
        <v>10959</v>
      </c>
      <c r="G3484" s="1" t="s">
        <v>1603</v>
      </c>
    </row>
    <row r="3485" spans="1:7" hidden="1" x14ac:dyDescent="0.25">
      <c r="A3485" t="s">
        <v>289</v>
      </c>
      <c r="B3485" t="s">
        <v>70</v>
      </c>
      <c r="C3485" t="s">
        <v>11007</v>
      </c>
      <c r="E3485" t="s">
        <v>2936</v>
      </c>
      <c r="F3485" t="s">
        <v>10962</v>
      </c>
      <c r="G3485" s="1" t="s">
        <v>1603</v>
      </c>
    </row>
    <row r="3486" spans="1:7" hidden="1" x14ac:dyDescent="0.25">
      <c r="A3486" t="s">
        <v>289</v>
      </c>
      <c r="B3486" t="s">
        <v>70</v>
      </c>
      <c r="C3486" t="s">
        <v>11007</v>
      </c>
      <c r="E3486" t="s">
        <v>2936</v>
      </c>
      <c r="F3486" t="s">
        <v>10965</v>
      </c>
      <c r="G3486" s="1" t="s">
        <v>1603</v>
      </c>
    </row>
    <row r="3487" spans="1:7" hidden="1" x14ac:dyDescent="0.25">
      <c r="A3487" t="s">
        <v>289</v>
      </c>
      <c r="B3487" t="s">
        <v>70</v>
      </c>
      <c r="C3487" t="s">
        <v>11007</v>
      </c>
      <c r="E3487" t="s">
        <v>2936</v>
      </c>
      <c r="F3487" t="s">
        <v>10968</v>
      </c>
      <c r="G3487" s="1" t="s">
        <v>1603</v>
      </c>
    </row>
    <row r="3488" spans="1:7" hidden="1" x14ac:dyDescent="0.25">
      <c r="A3488" t="s">
        <v>650</v>
      </c>
      <c r="B3488" t="s">
        <v>70</v>
      </c>
      <c r="F3488" t="s">
        <v>10971</v>
      </c>
      <c r="G3488" s="1" t="s">
        <v>1603</v>
      </c>
    </row>
    <row r="3489" spans="1:7" hidden="1" x14ac:dyDescent="0.25">
      <c r="A3489" t="s">
        <v>4223</v>
      </c>
      <c r="B3489" t="s">
        <v>86</v>
      </c>
      <c r="C3489" t="s">
        <v>9202</v>
      </c>
      <c r="F3489" t="s">
        <v>10974</v>
      </c>
      <c r="G3489" s="1" t="s">
        <v>1603</v>
      </c>
    </row>
    <row r="3490" spans="1:7" hidden="1" x14ac:dyDescent="0.25">
      <c r="A3490" t="s">
        <v>159</v>
      </c>
      <c r="B3490" t="s">
        <v>10140</v>
      </c>
      <c r="F3490" t="s">
        <v>10977</v>
      </c>
      <c r="G3490" s="1" t="s">
        <v>1603</v>
      </c>
    </row>
    <row r="3491" spans="1:7" hidden="1" x14ac:dyDescent="0.25">
      <c r="A3491" t="s">
        <v>1606</v>
      </c>
      <c r="B3491" t="s">
        <v>10140</v>
      </c>
      <c r="F3491" t="s">
        <v>10980</v>
      </c>
      <c r="G3491" s="1" t="s">
        <v>1603</v>
      </c>
    </row>
    <row r="3492" spans="1:7" hidden="1" x14ac:dyDescent="0.25">
      <c r="A3492" t="s">
        <v>4</v>
      </c>
      <c r="B3492" t="s">
        <v>11008</v>
      </c>
      <c r="F3492" t="s">
        <v>10983</v>
      </c>
      <c r="G3492" s="1" t="s">
        <v>1603</v>
      </c>
    </row>
    <row r="3493" spans="1:7" hidden="1" x14ac:dyDescent="0.25">
      <c r="A3493" t="s">
        <v>650</v>
      </c>
      <c r="B3493" t="s">
        <v>10140</v>
      </c>
      <c r="F3493" t="s">
        <v>10986</v>
      </c>
      <c r="G3493" s="1" t="s">
        <v>1603</v>
      </c>
    </row>
    <row r="3494" spans="1:7" hidden="1" x14ac:dyDescent="0.25">
      <c r="A3494" t="s">
        <v>2004</v>
      </c>
      <c r="B3494" t="s">
        <v>8</v>
      </c>
      <c r="F3494" t="s">
        <v>10989</v>
      </c>
      <c r="G3494" t="s">
        <v>1817</v>
      </c>
    </row>
    <row r="3495" spans="1:7" hidden="1" x14ac:dyDescent="0.25">
      <c r="A3495" t="s">
        <v>2004</v>
      </c>
      <c r="B3495" t="s">
        <v>8</v>
      </c>
      <c r="F3495" t="s">
        <v>10992</v>
      </c>
      <c r="G3495" t="s">
        <v>1817</v>
      </c>
    </row>
    <row r="3496" spans="1:7" hidden="1" x14ac:dyDescent="0.25">
      <c r="A3496" t="s">
        <v>11009</v>
      </c>
      <c r="B3496" t="s">
        <v>9201</v>
      </c>
      <c r="F3496" t="s">
        <v>10995</v>
      </c>
      <c r="G3496" t="s">
        <v>1934</v>
      </c>
    </row>
    <row r="3497" spans="1:7" hidden="1" x14ac:dyDescent="0.25">
      <c r="A3497" t="s">
        <v>4</v>
      </c>
      <c r="B3497" t="s">
        <v>8</v>
      </c>
      <c r="F3497" t="s">
        <v>10998</v>
      </c>
      <c r="G3497" t="s">
        <v>1934</v>
      </c>
    </row>
    <row r="3498" spans="1:7" x14ac:dyDescent="0.25">
      <c r="A3498" t="s">
        <v>2004</v>
      </c>
      <c r="B3498" t="s">
        <v>8</v>
      </c>
      <c r="F3498" t="s">
        <v>11001</v>
      </c>
      <c r="G3498" t="s">
        <v>1997</v>
      </c>
    </row>
    <row r="3499" spans="1:7" hidden="1" x14ac:dyDescent="0.25">
      <c r="A3499" t="s">
        <v>91</v>
      </c>
      <c r="B3499" t="s">
        <v>11124</v>
      </c>
      <c r="F3499" t="s">
        <v>11010</v>
      </c>
      <c r="G3499" t="s">
        <v>1102</v>
      </c>
    </row>
    <row r="3500" spans="1:7" hidden="1" x14ac:dyDescent="0.25">
      <c r="A3500" t="s">
        <v>62</v>
      </c>
      <c r="B3500" t="s">
        <v>11124</v>
      </c>
      <c r="C3500" t="s">
        <v>53</v>
      </c>
      <c r="D3500">
        <v>11</v>
      </c>
      <c r="F3500" t="s">
        <v>11013</v>
      </c>
      <c r="G3500" t="s">
        <v>1102</v>
      </c>
    </row>
    <row r="3501" spans="1:7" hidden="1" x14ac:dyDescent="0.25">
      <c r="A3501" t="s">
        <v>91</v>
      </c>
      <c r="B3501" t="s">
        <v>11125</v>
      </c>
      <c r="F3501" t="s">
        <v>11016</v>
      </c>
      <c r="G3501" t="s">
        <v>1102</v>
      </c>
    </row>
    <row r="3502" spans="1:7" hidden="1" x14ac:dyDescent="0.25">
      <c r="A3502" t="s">
        <v>2004</v>
      </c>
      <c r="F3502" t="s">
        <v>11019</v>
      </c>
      <c r="G3502" t="s">
        <v>1102</v>
      </c>
    </row>
    <row r="3503" spans="1:7" hidden="1" x14ac:dyDescent="0.25">
      <c r="A3503" t="s">
        <v>2004</v>
      </c>
      <c r="B3503" t="s">
        <v>8</v>
      </c>
      <c r="F3503" t="s">
        <v>11022</v>
      </c>
      <c r="G3503" t="s">
        <v>1103</v>
      </c>
    </row>
    <row r="3504" spans="1:7" hidden="1" x14ac:dyDescent="0.25">
      <c r="A3504" t="s">
        <v>2004</v>
      </c>
      <c r="B3504" t="s">
        <v>8</v>
      </c>
      <c r="F3504" t="s">
        <v>11025</v>
      </c>
      <c r="G3504" t="s">
        <v>1103</v>
      </c>
    </row>
    <row r="3505" spans="1:7" hidden="1" x14ac:dyDescent="0.25">
      <c r="A3505" t="s">
        <v>4</v>
      </c>
      <c r="B3505" t="s">
        <v>11124</v>
      </c>
      <c r="F3505" t="s">
        <v>11061</v>
      </c>
      <c r="G3505" t="s">
        <v>91</v>
      </c>
    </row>
    <row r="3506" spans="1:7" hidden="1" x14ac:dyDescent="0.25">
      <c r="A3506" t="s">
        <v>2004</v>
      </c>
      <c r="B3506" t="s">
        <v>8</v>
      </c>
      <c r="F3506" t="s">
        <v>11064</v>
      </c>
      <c r="G3506" t="s">
        <v>91</v>
      </c>
    </row>
    <row r="3507" spans="1:7" hidden="1" x14ac:dyDescent="0.25">
      <c r="A3507" t="s">
        <v>2004</v>
      </c>
      <c r="B3507" t="s">
        <v>8</v>
      </c>
      <c r="F3507" t="s">
        <v>11028</v>
      </c>
      <c r="G3507" t="s">
        <v>1104</v>
      </c>
    </row>
    <row r="3508" spans="1:7" hidden="1" x14ac:dyDescent="0.25">
      <c r="A3508" t="s">
        <v>2004</v>
      </c>
      <c r="B3508" t="s">
        <v>8</v>
      </c>
      <c r="F3508" t="s">
        <v>11031</v>
      </c>
      <c r="G3508" t="s">
        <v>1104</v>
      </c>
    </row>
    <row r="3509" spans="1:7" hidden="1" x14ac:dyDescent="0.25">
      <c r="A3509" t="s">
        <v>4</v>
      </c>
      <c r="B3509" t="s">
        <v>8</v>
      </c>
      <c r="F3509" t="s">
        <v>11067</v>
      </c>
      <c r="G3509" t="s">
        <v>1105</v>
      </c>
    </row>
    <row r="3510" spans="1:7" hidden="1" x14ac:dyDescent="0.25">
      <c r="A3510" t="s">
        <v>650</v>
      </c>
      <c r="B3510" t="s">
        <v>11125</v>
      </c>
      <c r="E3510" t="s">
        <v>11126</v>
      </c>
      <c r="F3510" t="s">
        <v>11070</v>
      </c>
      <c r="G3510" t="s">
        <v>1105</v>
      </c>
    </row>
    <row r="3511" spans="1:7" hidden="1" x14ac:dyDescent="0.25">
      <c r="A3511" t="s">
        <v>4</v>
      </c>
      <c r="B3511" t="s">
        <v>9876</v>
      </c>
      <c r="F3511" t="s">
        <v>11073</v>
      </c>
      <c r="G3511" t="s">
        <v>1105</v>
      </c>
    </row>
    <row r="3512" spans="1:7" hidden="1" x14ac:dyDescent="0.25">
      <c r="A3512" t="s">
        <v>4</v>
      </c>
      <c r="B3512" t="s">
        <v>8045</v>
      </c>
      <c r="F3512" t="s">
        <v>11034</v>
      </c>
      <c r="G3512" t="s">
        <v>1106</v>
      </c>
    </row>
    <row r="3513" spans="1:7" hidden="1" x14ac:dyDescent="0.25">
      <c r="A3513" t="s">
        <v>2004</v>
      </c>
      <c r="B3513" t="s">
        <v>8</v>
      </c>
      <c r="F3513" t="s">
        <v>11037</v>
      </c>
      <c r="G3513" t="s">
        <v>1106</v>
      </c>
    </row>
    <row r="3514" spans="1:7" hidden="1" x14ac:dyDescent="0.25">
      <c r="A3514" t="s">
        <v>2004</v>
      </c>
      <c r="B3514" t="s">
        <v>8</v>
      </c>
      <c r="F3514" t="s">
        <v>11127</v>
      </c>
      <c r="G3514" t="s">
        <v>1107</v>
      </c>
    </row>
    <row r="3515" spans="1:7" hidden="1" x14ac:dyDescent="0.25">
      <c r="A3515" t="s">
        <v>2004</v>
      </c>
      <c r="B3515" t="s">
        <v>8</v>
      </c>
      <c r="F3515" t="s">
        <v>11130</v>
      </c>
      <c r="G3515" t="s">
        <v>1107</v>
      </c>
    </row>
    <row r="3516" spans="1:7" hidden="1" x14ac:dyDescent="0.25">
      <c r="A3516" t="s">
        <v>9455</v>
      </c>
      <c r="B3516" t="s">
        <v>1607</v>
      </c>
      <c r="F3516" t="s">
        <v>11040</v>
      </c>
      <c r="G3516" t="s">
        <v>796</v>
      </c>
    </row>
    <row r="3517" spans="1:7" hidden="1" x14ac:dyDescent="0.25">
      <c r="A3517" t="s">
        <v>2024</v>
      </c>
      <c r="B3517" t="s">
        <v>796</v>
      </c>
      <c r="F3517" t="s">
        <v>11043</v>
      </c>
      <c r="G3517" t="s">
        <v>796</v>
      </c>
    </row>
    <row r="3518" spans="1:7" hidden="1" x14ac:dyDescent="0.25">
      <c r="A3518" t="s">
        <v>11133</v>
      </c>
      <c r="B3518" t="s">
        <v>11134</v>
      </c>
      <c r="F3518" t="s">
        <v>11046</v>
      </c>
      <c r="G3518" t="s">
        <v>1100</v>
      </c>
    </row>
    <row r="3519" spans="1:7" hidden="1" x14ac:dyDescent="0.25">
      <c r="A3519" t="s">
        <v>9692</v>
      </c>
      <c r="B3519" t="s">
        <v>1607</v>
      </c>
      <c r="F3519" t="s">
        <v>11049</v>
      </c>
      <c r="G3519" t="s">
        <v>1100</v>
      </c>
    </row>
    <row r="3520" spans="1:7" hidden="1" x14ac:dyDescent="0.25">
      <c r="A3520" t="s">
        <v>289</v>
      </c>
      <c r="B3520" t="s">
        <v>11124</v>
      </c>
      <c r="C3520" t="s">
        <v>7167</v>
      </c>
      <c r="D3520">
        <v>1</v>
      </c>
      <c r="F3520" t="s">
        <v>11076</v>
      </c>
      <c r="G3520" s="1" t="s">
        <v>1603</v>
      </c>
    </row>
    <row r="3521" spans="1:7" hidden="1" x14ac:dyDescent="0.25">
      <c r="A3521" t="s">
        <v>289</v>
      </c>
      <c r="B3521" t="s">
        <v>11124</v>
      </c>
      <c r="C3521" t="s">
        <v>7167</v>
      </c>
      <c r="D3521">
        <v>1</v>
      </c>
      <c r="F3521" t="s">
        <v>11079</v>
      </c>
      <c r="G3521" s="1" t="s">
        <v>1603</v>
      </c>
    </row>
    <row r="3522" spans="1:7" hidden="1" x14ac:dyDescent="0.25">
      <c r="A3522" t="s">
        <v>289</v>
      </c>
      <c r="B3522" t="s">
        <v>11124</v>
      </c>
      <c r="C3522" t="s">
        <v>7167</v>
      </c>
      <c r="D3522">
        <v>1</v>
      </c>
      <c r="F3522" t="s">
        <v>11082</v>
      </c>
      <c r="G3522" s="1" t="s">
        <v>1603</v>
      </c>
    </row>
    <row r="3523" spans="1:7" hidden="1" x14ac:dyDescent="0.25">
      <c r="A3523" t="s">
        <v>289</v>
      </c>
      <c r="B3523" t="s">
        <v>11124</v>
      </c>
      <c r="C3523" t="s">
        <v>7167</v>
      </c>
      <c r="D3523">
        <v>1</v>
      </c>
      <c r="F3523" t="s">
        <v>11085</v>
      </c>
      <c r="G3523" s="1" t="s">
        <v>1603</v>
      </c>
    </row>
    <row r="3524" spans="1:7" hidden="1" x14ac:dyDescent="0.25">
      <c r="A3524" t="s">
        <v>289</v>
      </c>
      <c r="B3524" t="s">
        <v>11124</v>
      </c>
      <c r="C3524" t="s">
        <v>7167</v>
      </c>
      <c r="D3524">
        <v>1</v>
      </c>
      <c r="F3524" t="s">
        <v>11088</v>
      </c>
      <c r="G3524" s="1" t="s">
        <v>1603</v>
      </c>
    </row>
    <row r="3525" spans="1:7" hidden="1" x14ac:dyDescent="0.25">
      <c r="A3525" t="s">
        <v>289</v>
      </c>
      <c r="B3525" t="s">
        <v>11124</v>
      </c>
      <c r="C3525" t="s">
        <v>7167</v>
      </c>
      <c r="D3525">
        <v>1</v>
      </c>
      <c r="F3525" t="s">
        <v>11091</v>
      </c>
      <c r="G3525" s="1" t="s">
        <v>1603</v>
      </c>
    </row>
    <row r="3526" spans="1:7" hidden="1" x14ac:dyDescent="0.25">
      <c r="A3526" t="s">
        <v>289</v>
      </c>
      <c r="B3526" t="s">
        <v>11124</v>
      </c>
      <c r="C3526" t="s">
        <v>7167</v>
      </c>
      <c r="D3526">
        <v>1</v>
      </c>
      <c r="F3526" t="s">
        <v>11094</v>
      </c>
      <c r="G3526" s="1" t="s">
        <v>1603</v>
      </c>
    </row>
    <row r="3527" spans="1:7" hidden="1" x14ac:dyDescent="0.25">
      <c r="A3527" t="s">
        <v>289</v>
      </c>
      <c r="B3527" t="s">
        <v>11124</v>
      </c>
      <c r="C3527" t="s">
        <v>7167</v>
      </c>
      <c r="D3527">
        <v>1</v>
      </c>
      <c r="F3527" t="s">
        <v>11097</v>
      </c>
      <c r="G3527" s="1" t="s">
        <v>1603</v>
      </c>
    </row>
    <row r="3528" spans="1:7" hidden="1" x14ac:dyDescent="0.25">
      <c r="A3528" t="s">
        <v>289</v>
      </c>
      <c r="B3528" t="s">
        <v>11124</v>
      </c>
      <c r="C3528" t="s">
        <v>7167</v>
      </c>
      <c r="D3528">
        <v>1</v>
      </c>
      <c r="F3528" t="s">
        <v>11100</v>
      </c>
      <c r="G3528" s="1" t="s">
        <v>1603</v>
      </c>
    </row>
    <row r="3529" spans="1:7" hidden="1" x14ac:dyDescent="0.25">
      <c r="A3529" t="s">
        <v>289</v>
      </c>
      <c r="B3529" t="s">
        <v>11124</v>
      </c>
      <c r="C3529" t="s">
        <v>7167</v>
      </c>
      <c r="D3529">
        <v>1</v>
      </c>
      <c r="F3529" t="s">
        <v>11103</v>
      </c>
      <c r="G3529" s="1" t="s">
        <v>1603</v>
      </c>
    </row>
    <row r="3530" spans="1:7" hidden="1" x14ac:dyDescent="0.25">
      <c r="A3530" t="s">
        <v>289</v>
      </c>
      <c r="B3530" t="s">
        <v>11124</v>
      </c>
      <c r="C3530" t="s">
        <v>7167</v>
      </c>
      <c r="D3530">
        <v>1</v>
      </c>
      <c r="F3530" t="s">
        <v>11106</v>
      </c>
      <c r="G3530" s="1" t="s">
        <v>1603</v>
      </c>
    </row>
    <row r="3531" spans="1:7" hidden="1" x14ac:dyDescent="0.25">
      <c r="A3531" t="s">
        <v>650</v>
      </c>
      <c r="B3531" t="s">
        <v>11124</v>
      </c>
      <c r="F3531" t="s">
        <v>11109</v>
      </c>
      <c r="G3531" s="1" t="s">
        <v>1603</v>
      </c>
    </row>
    <row r="3532" spans="1:7" hidden="1" x14ac:dyDescent="0.25">
      <c r="A3532" t="s">
        <v>533</v>
      </c>
      <c r="B3532" t="s">
        <v>1607</v>
      </c>
      <c r="C3532" t="s">
        <v>2929</v>
      </c>
      <c r="F3532" t="s">
        <v>11112</v>
      </c>
      <c r="G3532" s="1" t="s">
        <v>1603</v>
      </c>
    </row>
    <row r="3533" spans="1:7" hidden="1" x14ac:dyDescent="0.25">
      <c r="A3533" t="s">
        <v>533</v>
      </c>
      <c r="B3533" t="s">
        <v>1607</v>
      </c>
      <c r="C3533" t="s">
        <v>2929</v>
      </c>
      <c r="F3533" t="s">
        <v>11115</v>
      </c>
      <c r="G3533" s="1" t="s">
        <v>1603</v>
      </c>
    </row>
    <row r="3534" spans="1:7" hidden="1" x14ac:dyDescent="0.25">
      <c r="A3534" t="s">
        <v>2004</v>
      </c>
      <c r="B3534" t="s">
        <v>8</v>
      </c>
      <c r="F3534" t="s">
        <v>11052</v>
      </c>
      <c r="G3534" t="s">
        <v>1817</v>
      </c>
    </row>
    <row r="3535" spans="1:7" hidden="1" x14ac:dyDescent="0.25">
      <c r="A3535" t="s">
        <v>11138</v>
      </c>
      <c r="F3535" t="s">
        <v>11135</v>
      </c>
      <c r="G3535" t="s">
        <v>1817</v>
      </c>
    </row>
    <row r="3536" spans="1:7" hidden="1" x14ac:dyDescent="0.25">
      <c r="A3536" t="s">
        <v>2004</v>
      </c>
      <c r="B3536" t="s">
        <v>8</v>
      </c>
      <c r="E3536" t="s">
        <v>2014</v>
      </c>
      <c r="F3536" t="s">
        <v>11118</v>
      </c>
      <c r="G3536" t="s">
        <v>1934</v>
      </c>
    </row>
    <row r="3537" spans="1:7" hidden="1" x14ac:dyDescent="0.25">
      <c r="A3537" t="s">
        <v>2004</v>
      </c>
      <c r="B3537" t="s">
        <v>8</v>
      </c>
      <c r="E3537" t="s">
        <v>2014</v>
      </c>
      <c r="F3537" t="s">
        <v>11121</v>
      </c>
      <c r="G3537" t="s">
        <v>1934</v>
      </c>
    </row>
    <row r="3538" spans="1:7" x14ac:dyDescent="0.25">
      <c r="A3538" t="s">
        <v>2014</v>
      </c>
      <c r="F3538" t="s">
        <v>11055</v>
      </c>
      <c r="G3538" t="s">
        <v>1997</v>
      </c>
    </row>
    <row r="3539" spans="1:7" x14ac:dyDescent="0.25">
      <c r="A3539" t="s">
        <v>2004</v>
      </c>
      <c r="B3539" t="s">
        <v>8</v>
      </c>
      <c r="F3539" t="s">
        <v>11058</v>
      </c>
      <c r="G3539" t="s">
        <v>1997</v>
      </c>
    </row>
    <row r="3540" spans="1:7" hidden="1" x14ac:dyDescent="0.25">
      <c r="A3540" t="s">
        <v>2004</v>
      </c>
      <c r="F3540" t="s">
        <v>11145</v>
      </c>
      <c r="G3540" t="s">
        <v>1102</v>
      </c>
    </row>
    <row r="3541" spans="1:7" hidden="1" x14ac:dyDescent="0.25">
      <c r="A3541" t="s">
        <v>91</v>
      </c>
      <c r="B3541" t="s">
        <v>11412</v>
      </c>
      <c r="C3541" t="s">
        <v>60</v>
      </c>
      <c r="F3541" t="s">
        <v>11148</v>
      </c>
      <c r="G3541" t="s">
        <v>1102</v>
      </c>
    </row>
    <row r="3542" spans="1:7" hidden="1" x14ac:dyDescent="0.25">
      <c r="A3542" t="s">
        <v>62</v>
      </c>
      <c r="B3542" t="s">
        <v>11412</v>
      </c>
      <c r="C3542" t="s">
        <v>51</v>
      </c>
      <c r="F3542" t="s">
        <v>11151</v>
      </c>
      <c r="G3542" t="s">
        <v>1102</v>
      </c>
    </row>
    <row r="3543" spans="1:7" hidden="1" x14ac:dyDescent="0.25">
      <c r="A3543" t="s">
        <v>62</v>
      </c>
      <c r="B3543" t="s">
        <v>6190</v>
      </c>
      <c r="C3543" t="s">
        <v>11413</v>
      </c>
      <c r="F3543" t="s">
        <v>11154</v>
      </c>
      <c r="G3543" t="s">
        <v>1102</v>
      </c>
    </row>
    <row r="3544" spans="1:7" hidden="1" x14ac:dyDescent="0.25">
      <c r="A3544" t="s">
        <v>91</v>
      </c>
      <c r="B3544" t="s">
        <v>6190</v>
      </c>
      <c r="F3544" t="s">
        <v>11157</v>
      </c>
      <c r="G3544" t="s">
        <v>1102</v>
      </c>
    </row>
    <row r="3545" spans="1:7" hidden="1" x14ac:dyDescent="0.25">
      <c r="A3545" t="s">
        <v>2004</v>
      </c>
      <c r="B3545" t="s">
        <v>8</v>
      </c>
      <c r="F3545" t="s">
        <v>11139</v>
      </c>
      <c r="G3545" t="s">
        <v>1103</v>
      </c>
    </row>
    <row r="3546" spans="1:7" hidden="1" x14ac:dyDescent="0.25">
      <c r="A3546" t="s">
        <v>4</v>
      </c>
      <c r="B3546" t="s">
        <v>10140</v>
      </c>
      <c r="F3546" t="s">
        <v>11142</v>
      </c>
      <c r="G3546" t="s">
        <v>1103</v>
      </c>
    </row>
    <row r="3547" spans="1:7" hidden="1" x14ac:dyDescent="0.25">
      <c r="A3547" t="s">
        <v>4</v>
      </c>
      <c r="B3547" t="s">
        <v>8803</v>
      </c>
      <c r="F3547" t="s">
        <v>11172</v>
      </c>
      <c r="G3547" t="s">
        <v>91</v>
      </c>
    </row>
    <row r="3548" spans="1:7" hidden="1" x14ac:dyDescent="0.25">
      <c r="A3548" t="s">
        <v>4</v>
      </c>
      <c r="B3548" t="s">
        <v>8803</v>
      </c>
      <c r="F3548" t="s">
        <v>11175</v>
      </c>
      <c r="G3548" t="s">
        <v>91</v>
      </c>
    </row>
    <row r="3549" spans="1:7" hidden="1" x14ac:dyDescent="0.25">
      <c r="A3549" t="s">
        <v>4</v>
      </c>
      <c r="B3549" t="s">
        <v>8803</v>
      </c>
      <c r="F3549" t="s">
        <v>11178</v>
      </c>
      <c r="G3549" t="s">
        <v>91</v>
      </c>
    </row>
    <row r="3550" spans="1:7" hidden="1" x14ac:dyDescent="0.25">
      <c r="A3550" t="s">
        <v>4</v>
      </c>
      <c r="B3550" t="s">
        <v>8803</v>
      </c>
      <c r="F3550" t="s">
        <v>11187</v>
      </c>
      <c r="G3550" t="s">
        <v>1104</v>
      </c>
    </row>
    <row r="3551" spans="1:7" hidden="1" x14ac:dyDescent="0.25">
      <c r="A3551" t="s">
        <v>4</v>
      </c>
      <c r="B3551" t="s">
        <v>9876</v>
      </c>
      <c r="F3551" t="s">
        <v>11160</v>
      </c>
      <c r="G3551" t="s">
        <v>1105</v>
      </c>
    </row>
    <row r="3552" spans="1:7" hidden="1" x14ac:dyDescent="0.25">
      <c r="A3552" t="s">
        <v>4</v>
      </c>
      <c r="B3552" t="s">
        <v>9876</v>
      </c>
      <c r="F3552" t="s">
        <v>11163</v>
      </c>
      <c r="G3552" t="s">
        <v>1105</v>
      </c>
    </row>
    <row r="3553" spans="1:7" hidden="1" x14ac:dyDescent="0.25">
      <c r="A3553" t="s">
        <v>4</v>
      </c>
      <c r="B3553" t="s">
        <v>9876</v>
      </c>
      <c r="F3553" t="s">
        <v>11166</v>
      </c>
      <c r="G3553" t="s">
        <v>1105</v>
      </c>
    </row>
    <row r="3554" spans="1:7" hidden="1" x14ac:dyDescent="0.25">
      <c r="A3554" t="s">
        <v>4</v>
      </c>
      <c r="B3554" t="s">
        <v>9876</v>
      </c>
      <c r="F3554" t="s">
        <v>11169</v>
      </c>
      <c r="G3554" t="s">
        <v>1105</v>
      </c>
    </row>
    <row r="3555" spans="1:7" hidden="1" x14ac:dyDescent="0.25">
      <c r="A3555" t="s">
        <v>2004</v>
      </c>
      <c r="B3555" t="s">
        <v>8</v>
      </c>
      <c r="F3555" t="s">
        <v>11181</v>
      </c>
      <c r="G3555" t="s">
        <v>1106</v>
      </c>
    </row>
    <row r="3556" spans="1:7" hidden="1" x14ac:dyDescent="0.25">
      <c r="A3556" t="s">
        <v>4</v>
      </c>
      <c r="B3556" t="s">
        <v>8045</v>
      </c>
      <c r="F3556" t="s">
        <v>11184</v>
      </c>
      <c r="G3556" t="s">
        <v>1106</v>
      </c>
    </row>
    <row r="3557" spans="1:7" hidden="1" x14ac:dyDescent="0.25">
      <c r="A3557" t="s">
        <v>2004</v>
      </c>
      <c r="B3557" t="s">
        <v>8</v>
      </c>
      <c r="F3557" t="s">
        <v>11414</v>
      </c>
      <c r="G3557" t="s">
        <v>1107</v>
      </c>
    </row>
    <row r="3558" spans="1:7" hidden="1" x14ac:dyDescent="0.25">
      <c r="A3558" t="s">
        <v>2004</v>
      </c>
      <c r="B3558" t="s">
        <v>8</v>
      </c>
      <c r="F3558" t="s">
        <v>11417</v>
      </c>
      <c r="G3558" t="s">
        <v>1107</v>
      </c>
    </row>
    <row r="3559" spans="1:7" hidden="1" x14ac:dyDescent="0.25">
      <c r="A3559" t="s">
        <v>2024</v>
      </c>
      <c r="B3559" t="s">
        <v>796</v>
      </c>
      <c r="F3559" t="s">
        <v>11199</v>
      </c>
      <c r="G3559" t="s">
        <v>796</v>
      </c>
    </row>
    <row r="3560" spans="1:7" hidden="1" x14ac:dyDescent="0.25">
      <c r="A3560" t="s">
        <v>9409</v>
      </c>
      <c r="B3560" t="s">
        <v>1607</v>
      </c>
      <c r="F3560" t="s">
        <v>11202</v>
      </c>
      <c r="G3560" t="s">
        <v>796</v>
      </c>
    </row>
    <row r="3561" spans="1:7" hidden="1" x14ac:dyDescent="0.25">
      <c r="A3561" t="s">
        <v>9409</v>
      </c>
      <c r="B3561" t="s">
        <v>1607</v>
      </c>
      <c r="F3561" t="s">
        <v>11205</v>
      </c>
      <c r="G3561" t="s">
        <v>796</v>
      </c>
    </row>
    <row r="3562" spans="1:7" hidden="1" x14ac:dyDescent="0.25">
      <c r="A3562" t="s">
        <v>9409</v>
      </c>
      <c r="B3562" t="s">
        <v>1607</v>
      </c>
      <c r="F3562" t="s">
        <v>11208</v>
      </c>
      <c r="G3562" t="s">
        <v>796</v>
      </c>
    </row>
    <row r="3563" spans="1:7" hidden="1" x14ac:dyDescent="0.25">
      <c r="A3563" t="s">
        <v>4</v>
      </c>
      <c r="B3563" t="s">
        <v>9</v>
      </c>
      <c r="F3563" t="s">
        <v>11211</v>
      </c>
      <c r="G3563" t="s">
        <v>796</v>
      </c>
    </row>
    <row r="3564" spans="1:7" hidden="1" x14ac:dyDescent="0.25">
      <c r="A3564" t="s">
        <v>9409</v>
      </c>
      <c r="B3564" t="s">
        <v>1607</v>
      </c>
      <c r="F3564" t="s">
        <v>11214</v>
      </c>
      <c r="G3564" t="s">
        <v>796</v>
      </c>
    </row>
    <row r="3565" spans="1:7" hidden="1" x14ac:dyDescent="0.25">
      <c r="A3565" t="s">
        <v>2024</v>
      </c>
      <c r="B3565" t="s">
        <v>796</v>
      </c>
      <c r="F3565" t="s">
        <v>11217</v>
      </c>
      <c r="G3565" t="s">
        <v>796</v>
      </c>
    </row>
    <row r="3566" spans="1:7" hidden="1" x14ac:dyDescent="0.25">
      <c r="A3566" t="s">
        <v>9409</v>
      </c>
      <c r="B3566" t="s">
        <v>1607</v>
      </c>
      <c r="F3566" t="s">
        <v>11220</v>
      </c>
      <c r="G3566" t="s">
        <v>796</v>
      </c>
    </row>
    <row r="3567" spans="1:7" hidden="1" x14ac:dyDescent="0.25">
      <c r="A3567" t="s">
        <v>2024</v>
      </c>
      <c r="B3567" t="s">
        <v>796</v>
      </c>
      <c r="F3567" t="s">
        <v>11223</v>
      </c>
      <c r="G3567" t="s">
        <v>796</v>
      </c>
    </row>
    <row r="3568" spans="1:7" hidden="1" x14ac:dyDescent="0.25">
      <c r="A3568" t="s">
        <v>4</v>
      </c>
      <c r="B3568" t="s">
        <v>9</v>
      </c>
      <c r="F3568" t="s">
        <v>11226</v>
      </c>
      <c r="G3568" t="s">
        <v>1100</v>
      </c>
    </row>
    <row r="3569" spans="1:7" hidden="1" x14ac:dyDescent="0.25">
      <c r="A3569" t="s">
        <v>158</v>
      </c>
      <c r="B3569" t="s">
        <v>5480</v>
      </c>
      <c r="C3569" t="s">
        <v>528</v>
      </c>
      <c r="D3569">
        <v>1</v>
      </c>
      <c r="F3569" t="s">
        <v>11229</v>
      </c>
      <c r="G3569" t="s">
        <v>1100</v>
      </c>
    </row>
    <row r="3570" spans="1:7" hidden="1" x14ac:dyDescent="0.25">
      <c r="A3570" t="s">
        <v>5476</v>
      </c>
      <c r="B3570" t="s">
        <v>5480</v>
      </c>
      <c r="C3570" t="s">
        <v>9203</v>
      </c>
      <c r="D3570">
        <v>1</v>
      </c>
      <c r="F3570" t="s">
        <v>11232</v>
      </c>
      <c r="G3570" t="s">
        <v>1100</v>
      </c>
    </row>
    <row r="3571" spans="1:7" hidden="1" x14ac:dyDescent="0.25">
      <c r="A3571" t="s">
        <v>9200</v>
      </c>
      <c r="B3571" t="s">
        <v>9201</v>
      </c>
      <c r="F3571" t="s">
        <v>11235</v>
      </c>
      <c r="G3571" t="s">
        <v>1100</v>
      </c>
    </row>
    <row r="3572" spans="1:7" hidden="1" x14ac:dyDescent="0.25">
      <c r="A3572" t="s">
        <v>2024</v>
      </c>
      <c r="B3572" t="s">
        <v>1304</v>
      </c>
      <c r="E3572" t="s">
        <v>10889</v>
      </c>
      <c r="F3572" t="s">
        <v>11238</v>
      </c>
      <c r="G3572" t="s">
        <v>1100</v>
      </c>
    </row>
    <row r="3573" spans="1:7" hidden="1" x14ac:dyDescent="0.25">
      <c r="A3573" t="s">
        <v>9200</v>
      </c>
      <c r="B3573" t="s">
        <v>9201</v>
      </c>
      <c r="F3573" t="s">
        <v>11241</v>
      </c>
      <c r="G3573" t="s">
        <v>1100</v>
      </c>
    </row>
    <row r="3574" spans="1:7" hidden="1" x14ac:dyDescent="0.25">
      <c r="A3574" t="s">
        <v>9200</v>
      </c>
      <c r="B3574" t="s">
        <v>9201</v>
      </c>
      <c r="F3574" t="s">
        <v>11244</v>
      </c>
      <c r="G3574" t="s">
        <v>1100</v>
      </c>
    </row>
    <row r="3575" spans="1:7" hidden="1" x14ac:dyDescent="0.25">
      <c r="A3575" t="s">
        <v>9692</v>
      </c>
      <c r="B3575" t="s">
        <v>1607</v>
      </c>
      <c r="F3575" t="s">
        <v>11247</v>
      </c>
      <c r="G3575" t="s">
        <v>1100</v>
      </c>
    </row>
    <row r="3576" spans="1:7" hidden="1" x14ac:dyDescent="0.25">
      <c r="A3576" t="s">
        <v>4</v>
      </c>
      <c r="B3576" t="s">
        <v>7709</v>
      </c>
      <c r="F3576" t="s">
        <v>11250</v>
      </c>
      <c r="G3576" t="s">
        <v>1100</v>
      </c>
    </row>
    <row r="3577" spans="1:7" hidden="1" x14ac:dyDescent="0.25">
      <c r="A3577" t="s">
        <v>533</v>
      </c>
      <c r="B3577" t="s">
        <v>1607</v>
      </c>
      <c r="C3577" t="s">
        <v>2929</v>
      </c>
      <c r="F3577" t="s">
        <v>11253</v>
      </c>
      <c r="G3577" s="1" t="s">
        <v>1603</v>
      </c>
    </row>
    <row r="3578" spans="1:7" hidden="1" x14ac:dyDescent="0.25">
      <c r="A3578" t="s">
        <v>11420</v>
      </c>
      <c r="B3578" t="s">
        <v>86</v>
      </c>
      <c r="F3578" t="s">
        <v>11256</v>
      </c>
      <c r="G3578" s="1" t="s">
        <v>1603</v>
      </c>
    </row>
    <row r="3579" spans="1:7" hidden="1" x14ac:dyDescent="0.25">
      <c r="A3579" t="s">
        <v>11421</v>
      </c>
      <c r="B3579" t="s">
        <v>86</v>
      </c>
      <c r="F3579" t="s">
        <v>11259</v>
      </c>
      <c r="G3579" s="1" t="s">
        <v>1603</v>
      </c>
    </row>
    <row r="3580" spans="1:7" hidden="1" x14ac:dyDescent="0.25">
      <c r="A3580" t="s">
        <v>533</v>
      </c>
      <c r="B3580" t="s">
        <v>1607</v>
      </c>
      <c r="C3580" t="s">
        <v>2929</v>
      </c>
      <c r="F3580" t="s">
        <v>11262</v>
      </c>
      <c r="G3580" s="1" t="s">
        <v>1603</v>
      </c>
    </row>
    <row r="3581" spans="1:7" hidden="1" x14ac:dyDescent="0.25">
      <c r="A3581" t="s">
        <v>533</v>
      </c>
      <c r="B3581" t="s">
        <v>531</v>
      </c>
      <c r="C3581" t="s">
        <v>9202</v>
      </c>
      <c r="F3581" t="s">
        <v>11265</v>
      </c>
      <c r="G3581" s="1" t="s">
        <v>1603</v>
      </c>
    </row>
    <row r="3582" spans="1:7" hidden="1" x14ac:dyDescent="0.25">
      <c r="A3582" t="s">
        <v>1606</v>
      </c>
      <c r="B3582" t="s">
        <v>10140</v>
      </c>
      <c r="F3582" t="s">
        <v>11268</v>
      </c>
      <c r="G3582" s="1" t="s">
        <v>1603</v>
      </c>
    </row>
    <row r="3583" spans="1:7" hidden="1" x14ac:dyDescent="0.25">
      <c r="A3583" t="s">
        <v>11422</v>
      </c>
      <c r="B3583" t="s">
        <v>10140</v>
      </c>
      <c r="F3583" t="s">
        <v>11271</v>
      </c>
      <c r="G3583" s="1" t="s">
        <v>1603</v>
      </c>
    </row>
    <row r="3584" spans="1:7" hidden="1" x14ac:dyDescent="0.25">
      <c r="A3584" t="s">
        <v>11423</v>
      </c>
      <c r="B3584" t="s">
        <v>86</v>
      </c>
      <c r="F3584" t="s">
        <v>11274</v>
      </c>
      <c r="G3584" s="1" t="s">
        <v>1603</v>
      </c>
    </row>
    <row r="3585" spans="1:7" hidden="1" x14ac:dyDescent="0.25">
      <c r="A3585" t="s">
        <v>533</v>
      </c>
      <c r="B3585" t="s">
        <v>1607</v>
      </c>
      <c r="C3585" t="s">
        <v>2929</v>
      </c>
      <c r="F3585" t="s">
        <v>11277</v>
      </c>
      <c r="G3585" s="1" t="s">
        <v>1603</v>
      </c>
    </row>
    <row r="3586" spans="1:7" hidden="1" x14ac:dyDescent="0.25">
      <c r="A3586" t="s">
        <v>650</v>
      </c>
      <c r="B3586" t="s">
        <v>10140</v>
      </c>
      <c r="F3586" t="s">
        <v>11280</v>
      </c>
      <c r="G3586" s="1" t="s">
        <v>1603</v>
      </c>
    </row>
    <row r="3587" spans="1:7" hidden="1" x14ac:dyDescent="0.25">
      <c r="A3587" t="s">
        <v>2004</v>
      </c>
      <c r="B3587" t="s">
        <v>8</v>
      </c>
      <c r="F3587" t="s">
        <v>11283</v>
      </c>
      <c r="G3587" t="s">
        <v>1817</v>
      </c>
    </row>
    <row r="3588" spans="1:7" hidden="1" x14ac:dyDescent="0.25">
      <c r="A3588" t="s">
        <v>290</v>
      </c>
      <c r="B3588" t="s">
        <v>11412</v>
      </c>
      <c r="C3588" t="s">
        <v>60</v>
      </c>
      <c r="F3588" t="s">
        <v>11286</v>
      </c>
      <c r="G3588" t="s">
        <v>1817</v>
      </c>
    </row>
    <row r="3589" spans="1:7" hidden="1" x14ac:dyDescent="0.25">
      <c r="A3589" t="s">
        <v>290</v>
      </c>
      <c r="B3589" t="s">
        <v>11412</v>
      </c>
      <c r="C3589" t="s">
        <v>60</v>
      </c>
      <c r="E3589" t="s">
        <v>2936</v>
      </c>
      <c r="F3589" t="s">
        <v>11289</v>
      </c>
      <c r="G3589" t="s">
        <v>1817</v>
      </c>
    </row>
    <row r="3590" spans="1:7" hidden="1" x14ac:dyDescent="0.25">
      <c r="A3590" t="s">
        <v>290</v>
      </c>
      <c r="B3590" t="s">
        <v>11412</v>
      </c>
      <c r="C3590" t="s">
        <v>60</v>
      </c>
      <c r="E3590" t="s">
        <v>2936</v>
      </c>
      <c r="F3590" t="s">
        <v>11292</v>
      </c>
      <c r="G3590" t="s">
        <v>1817</v>
      </c>
    </row>
    <row r="3591" spans="1:7" hidden="1" x14ac:dyDescent="0.25">
      <c r="A3591" t="s">
        <v>290</v>
      </c>
      <c r="B3591" t="s">
        <v>11412</v>
      </c>
      <c r="C3591" t="s">
        <v>60</v>
      </c>
      <c r="E3591" t="s">
        <v>2936</v>
      </c>
      <c r="F3591" t="s">
        <v>11295</v>
      </c>
      <c r="G3591" t="s">
        <v>1817</v>
      </c>
    </row>
    <row r="3592" spans="1:7" hidden="1" x14ac:dyDescent="0.25">
      <c r="A3592" t="s">
        <v>290</v>
      </c>
      <c r="B3592" t="s">
        <v>11412</v>
      </c>
      <c r="C3592" t="s">
        <v>60</v>
      </c>
      <c r="E3592" t="s">
        <v>2936</v>
      </c>
      <c r="F3592" t="s">
        <v>11298</v>
      </c>
      <c r="G3592" t="s">
        <v>1817</v>
      </c>
    </row>
    <row r="3593" spans="1:7" hidden="1" x14ac:dyDescent="0.25">
      <c r="A3593" t="s">
        <v>290</v>
      </c>
      <c r="B3593" t="s">
        <v>11412</v>
      </c>
      <c r="C3593" t="s">
        <v>60</v>
      </c>
      <c r="E3593" t="s">
        <v>2936</v>
      </c>
      <c r="F3593" t="s">
        <v>11301</v>
      </c>
      <c r="G3593" t="s">
        <v>1817</v>
      </c>
    </row>
    <row r="3594" spans="1:7" hidden="1" x14ac:dyDescent="0.25">
      <c r="A3594" t="s">
        <v>290</v>
      </c>
      <c r="B3594" t="s">
        <v>11412</v>
      </c>
      <c r="C3594" t="s">
        <v>60</v>
      </c>
      <c r="E3594" t="s">
        <v>2936</v>
      </c>
      <c r="F3594" t="s">
        <v>11304</v>
      </c>
      <c r="G3594" t="s">
        <v>1817</v>
      </c>
    </row>
    <row r="3595" spans="1:7" hidden="1" x14ac:dyDescent="0.25">
      <c r="A3595" t="s">
        <v>290</v>
      </c>
      <c r="B3595" t="s">
        <v>11412</v>
      </c>
      <c r="C3595" t="s">
        <v>60</v>
      </c>
      <c r="E3595" t="s">
        <v>2936</v>
      </c>
      <c r="F3595" t="s">
        <v>11307</v>
      </c>
      <c r="G3595" t="s">
        <v>1817</v>
      </c>
    </row>
    <row r="3596" spans="1:7" hidden="1" x14ac:dyDescent="0.25">
      <c r="A3596" t="s">
        <v>290</v>
      </c>
      <c r="B3596" t="s">
        <v>11412</v>
      </c>
      <c r="C3596" t="s">
        <v>60</v>
      </c>
      <c r="E3596" t="s">
        <v>2936</v>
      </c>
      <c r="F3596" t="s">
        <v>11310</v>
      </c>
      <c r="G3596" t="s">
        <v>1817</v>
      </c>
    </row>
    <row r="3597" spans="1:7" hidden="1" x14ac:dyDescent="0.25">
      <c r="A3597" t="s">
        <v>290</v>
      </c>
      <c r="B3597" t="s">
        <v>11412</v>
      </c>
      <c r="C3597" t="s">
        <v>60</v>
      </c>
      <c r="E3597" t="s">
        <v>2936</v>
      </c>
      <c r="F3597" t="s">
        <v>11313</v>
      </c>
      <c r="G3597" t="s">
        <v>1817</v>
      </c>
    </row>
    <row r="3598" spans="1:7" hidden="1" x14ac:dyDescent="0.25">
      <c r="A3598" t="s">
        <v>290</v>
      </c>
      <c r="B3598" t="s">
        <v>11412</v>
      </c>
      <c r="C3598" t="s">
        <v>60</v>
      </c>
      <c r="E3598" t="s">
        <v>2936</v>
      </c>
      <c r="F3598" t="s">
        <v>11316</v>
      </c>
      <c r="G3598" t="s">
        <v>1817</v>
      </c>
    </row>
    <row r="3599" spans="1:7" hidden="1" x14ac:dyDescent="0.25">
      <c r="A3599" t="s">
        <v>290</v>
      </c>
      <c r="B3599" t="s">
        <v>11412</v>
      </c>
      <c r="C3599" t="s">
        <v>60</v>
      </c>
      <c r="E3599" t="s">
        <v>2936</v>
      </c>
      <c r="F3599" t="s">
        <v>11319</v>
      </c>
      <c r="G3599" t="s">
        <v>1817</v>
      </c>
    </row>
    <row r="3600" spans="1:7" hidden="1" x14ac:dyDescent="0.25">
      <c r="A3600" t="s">
        <v>11422</v>
      </c>
      <c r="B3600" t="s">
        <v>11412</v>
      </c>
      <c r="F3600" t="s">
        <v>11322</v>
      </c>
      <c r="G3600" t="s">
        <v>1817</v>
      </c>
    </row>
    <row r="3601" spans="1:7" hidden="1" x14ac:dyDescent="0.25">
      <c r="A3601" t="s">
        <v>290</v>
      </c>
      <c r="B3601" t="s">
        <v>11412</v>
      </c>
      <c r="C3601" t="s">
        <v>60</v>
      </c>
      <c r="F3601" t="s">
        <v>11325</v>
      </c>
      <c r="G3601" t="s">
        <v>1817</v>
      </c>
    </row>
    <row r="3602" spans="1:7" hidden="1" x14ac:dyDescent="0.25">
      <c r="A3602" t="s">
        <v>290</v>
      </c>
      <c r="B3602" t="s">
        <v>11412</v>
      </c>
      <c r="C3602" t="s">
        <v>60</v>
      </c>
      <c r="E3602" t="s">
        <v>2936</v>
      </c>
      <c r="F3602" t="s">
        <v>11328</v>
      </c>
      <c r="G3602" t="s">
        <v>1817</v>
      </c>
    </row>
    <row r="3603" spans="1:7" hidden="1" x14ac:dyDescent="0.25">
      <c r="A3603" t="s">
        <v>290</v>
      </c>
      <c r="B3603" t="s">
        <v>11412</v>
      </c>
      <c r="C3603" t="s">
        <v>60</v>
      </c>
      <c r="E3603" t="s">
        <v>2936</v>
      </c>
      <c r="F3603" t="s">
        <v>11331</v>
      </c>
      <c r="G3603" t="s">
        <v>1817</v>
      </c>
    </row>
    <row r="3604" spans="1:7" hidden="1" x14ac:dyDescent="0.25">
      <c r="A3604" t="s">
        <v>290</v>
      </c>
      <c r="B3604" t="s">
        <v>11412</v>
      </c>
      <c r="C3604" t="s">
        <v>60</v>
      </c>
      <c r="E3604" t="s">
        <v>2936</v>
      </c>
      <c r="F3604" t="s">
        <v>11334</v>
      </c>
      <c r="G3604" t="s">
        <v>1817</v>
      </c>
    </row>
    <row r="3605" spans="1:7" hidden="1" x14ac:dyDescent="0.25">
      <c r="A3605" t="s">
        <v>290</v>
      </c>
      <c r="B3605" t="s">
        <v>11412</v>
      </c>
      <c r="C3605" t="s">
        <v>60</v>
      </c>
      <c r="E3605" t="s">
        <v>2936</v>
      </c>
      <c r="F3605" t="s">
        <v>11337</v>
      </c>
      <c r="G3605" t="s">
        <v>1817</v>
      </c>
    </row>
    <row r="3606" spans="1:7" hidden="1" x14ac:dyDescent="0.25">
      <c r="A3606" t="s">
        <v>290</v>
      </c>
      <c r="B3606" t="s">
        <v>11412</v>
      </c>
      <c r="C3606" t="s">
        <v>60</v>
      </c>
      <c r="E3606" t="s">
        <v>2936</v>
      </c>
      <c r="F3606" t="s">
        <v>11340</v>
      </c>
      <c r="G3606" t="s">
        <v>1817</v>
      </c>
    </row>
    <row r="3607" spans="1:7" hidden="1" x14ac:dyDescent="0.25">
      <c r="A3607" t="s">
        <v>290</v>
      </c>
      <c r="B3607" t="s">
        <v>11412</v>
      </c>
      <c r="C3607" t="s">
        <v>60</v>
      </c>
      <c r="E3607" t="s">
        <v>2936</v>
      </c>
      <c r="F3607" t="s">
        <v>11343</v>
      </c>
      <c r="G3607" t="s">
        <v>1817</v>
      </c>
    </row>
    <row r="3608" spans="1:7" hidden="1" x14ac:dyDescent="0.25">
      <c r="A3608" t="s">
        <v>290</v>
      </c>
      <c r="B3608" t="s">
        <v>11412</v>
      </c>
      <c r="C3608" t="s">
        <v>60</v>
      </c>
      <c r="E3608" t="s">
        <v>2936</v>
      </c>
      <c r="F3608" t="s">
        <v>11346</v>
      </c>
      <c r="G3608" t="s">
        <v>1817</v>
      </c>
    </row>
    <row r="3609" spans="1:7" hidden="1" x14ac:dyDescent="0.25">
      <c r="A3609" t="s">
        <v>290</v>
      </c>
      <c r="B3609" t="s">
        <v>11412</v>
      </c>
      <c r="C3609" t="s">
        <v>60</v>
      </c>
      <c r="E3609" t="s">
        <v>2936</v>
      </c>
      <c r="F3609" t="s">
        <v>11349</v>
      </c>
      <c r="G3609" t="s">
        <v>1817</v>
      </c>
    </row>
    <row r="3610" spans="1:7" hidden="1" x14ac:dyDescent="0.25">
      <c r="A3610" t="s">
        <v>290</v>
      </c>
      <c r="B3610" t="s">
        <v>11412</v>
      </c>
      <c r="C3610" t="s">
        <v>60</v>
      </c>
      <c r="E3610" t="s">
        <v>2936</v>
      </c>
      <c r="F3610" t="s">
        <v>11352</v>
      </c>
      <c r="G3610" t="s">
        <v>1817</v>
      </c>
    </row>
    <row r="3611" spans="1:7" hidden="1" x14ac:dyDescent="0.25">
      <c r="A3611" t="s">
        <v>290</v>
      </c>
      <c r="B3611" t="s">
        <v>11412</v>
      </c>
      <c r="C3611" t="s">
        <v>60</v>
      </c>
      <c r="E3611" t="s">
        <v>2936</v>
      </c>
      <c r="F3611" t="s">
        <v>11355</v>
      </c>
      <c r="G3611" t="s">
        <v>1817</v>
      </c>
    </row>
    <row r="3612" spans="1:7" hidden="1" x14ac:dyDescent="0.25">
      <c r="A3612" t="s">
        <v>5105</v>
      </c>
      <c r="B3612" t="s">
        <v>11412</v>
      </c>
      <c r="F3612" t="s">
        <v>11358</v>
      </c>
      <c r="G3612" t="s">
        <v>1817</v>
      </c>
    </row>
    <row r="3613" spans="1:7" hidden="1" x14ac:dyDescent="0.25">
      <c r="A3613" t="s">
        <v>651</v>
      </c>
      <c r="B3613" t="s">
        <v>5480</v>
      </c>
      <c r="F3613" t="s">
        <v>11361</v>
      </c>
      <c r="G3613" t="s">
        <v>1817</v>
      </c>
    </row>
    <row r="3614" spans="1:7" hidden="1" x14ac:dyDescent="0.25">
      <c r="A3614" t="s">
        <v>651</v>
      </c>
      <c r="B3614" t="s">
        <v>5480</v>
      </c>
      <c r="F3614" t="s">
        <v>11364</v>
      </c>
      <c r="G3614" t="s">
        <v>1817</v>
      </c>
    </row>
    <row r="3615" spans="1:7" hidden="1" x14ac:dyDescent="0.25">
      <c r="A3615" t="s">
        <v>651</v>
      </c>
      <c r="B3615" t="s">
        <v>5480</v>
      </c>
      <c r="F3615" t="s">
        <v>11367</v>
      </c>
      <c r="G3615" t="s">
        <v>1817</v>
      </c>
    </row>
    <row r="3616" spans="1:7" hidden="1" x14ac:dyDescent="0.25">
      <c r="A3616" t="s">
        <v>651</v>
      </c>
      <c r="B3616" t="s">
        <v>5480</v>
      </c>
      <c r="F3616" t="s">
        <v>11370</v>
      </c>
      <c r="G3616" t="s">
        <v>1817</v>
      </c>
    </row>
    <row r="3617" spans="1:7" hidden="1" x14ac:dyDescent="0.25">
      <c r="A3617" t="s">
        <v>651</v>
      </c>
      <c r="B3617" t="s">
        <v>5480</v>
      </c>
      <c r="F3617" t="s">
        <v>11373</v>
      </c>
      <c r="G3617" t="s">
        <v>1817</v>
      </c>
    </row>
    <row r="3618" spans="1:7" hidden="1" x14ac:dyDescent="0.25">
      <c r="A3618" t="s">
        <v>4</v>
      </c>
      <c r="B3618" t="s">
        <v>8</v>
      </c>
      <c r="F3618" t="s">
        <v>11376</v>
      </c>
      <c r="G3618" t="s">
        <v>1817</v>
      </c>
    </row>
    <row r="3619" spans="1:7" hidden="1" x14ac:dyDescent="0.25">
      <c r="A3619" t="s">
        <v>4</v>
      </c>
      <c r="B3619" t="s">
        <v>8</v>
      </c>
      <c r="F3619" t="s">
        <v>11379</v>
      </c>
      <c r="G3619" t="s">
        <v>1934</v>
      </c>
    </row>
    <row r="3620" spans="1:7" hidden="1" x14ac:dyDescent="0.25">
      <c r="A3620" t="s">
        <v>9876</v>
      </c>
      <c r="B3620" t="s">
        <v>5137</v>
      </c>
      <c r="F3620" t="s">
        <v>11382</v>
      </c>
      <c r="G3620" t="s">
        <v>1934</v>
      </c>
    </row>
    <row r="3621" spans="1:7" hidden="1" x14ac:dyDescent="0.25">
      <c r="A3621" t="s">
        <v>9876</v>
      </c>
      <c r="B3621" t="s">
        <v>5137</v>
      </c>
      <c r="F3621" t="s">
        <v>11385</v>
      </c>
      <c r="G3621" t="s">
        <v>1934</v>
      </c>
    </row>
    <row r="3622" spans="1:7" hidden="1" x14ac:dyDescent="0.25">
      <c r="A3622" t="s">
        <v>9876</v>
      </c>
      <c r="B3622" t="s">
        <v>5137</v>
      </c>
      <c r="F3622" t="s">
        <v>11388</v>
      </c>
      <c r="G3622" t="s">
        <v>1934</v>
      </c>
    </row>
    <row r="3623" spans="1:7" x14ac:dyDescent="0.25">
      <c r="A3623" t="s">
        <v>2004</v>
      </c>
      <c r="B3623" t="s">
        <v>8</v>
      </c>
      <c r="F3623" t="s">
        <v>11391</v>
      </c>
      <c r="G3623" t="s">
        <v>1997</v>
      </c>
    </row>
    <row r="3624" spans="1:7" x14ac:dyDescent="0.25">
      <c r="A3624" t="s">
        <v>4</v>
      </c>
      <c r="B3624" t="s">
        <v>8</v>
      </c>
      <c r="F3624" t="s">
        <v>11394</v>
      </c>
      <c r="G3624" t="s">
        <v>1997</v>
      </c>
    </row>
    <row r="3625" spans="1:7" x14ac:dyDescent="0.25">
      <c r="A3625" t="s">
        <v>159</v>
      </c>
      <c r="B3625" t="s">
        <v>11424</v>
      </c>
      <c r="F3625" t="s">
        <v>11397</v>
      </c>
      <c r="G3625" t="s">
        <v>1997</v>
      </c>
    </row>
    <row r="3626" spans="1:7" x14ac:dyDescent="0.25">
      <c r="A3626" t="s">
        <v>4</v>
      </c>
      <c r="B3626" t="s">
        <v>8</v>
      </c>
      <c r="F3626" t="s">
        <v>11400</v>
      </c>
      <c r="G3626" t="s">
        <v>1997</v>
      </c>
    </row>
    <row r="3627" spans="1:7" x14ac:dyDescent="0.25">
      <c r="A3627" t="s">
        <v>4</v>
      </c>
      <c r="B3627" t="s">
        <v>8</v>
      </c>
      <c r="F3627" t="s">
        <v>11403</v>
      </c>
      <c r="G3627" t="s">
        <v>1997</v>
      </c>
    </row>
    <row r="3628" spans="1:7" x14ac:dyDescent="0.25">
      <c r="A3628" t="s">
        <v>11425</v>
      </c>
      <c r="F3628" t="s">
        <v>11406</v>
      </c>
      <c r="G3628" t="s">
        <v>1997</v>
      </c>
    </row>
    <row r="3629" spans="1:7" x14ac:dyDescent="0.25">
      <c r="A3629" t="s">
        <v>4</v>
      </c>
      <c r="B3629" t="s">
        <v>11426</v>
      </c>
      <c r="F3629" t="s">
        <v>11409</v>
      </c>
      <c r="G3629" t="s">
        <v>1997</v>
      </c>
    </row>
    <row r="3630" spans="1:7" hidden="1" x14ac:dyDescent="0.25">
      <c r="A3630" t="s">
        <v>289</v>
      </c>
      <c r="B3630" t="s">
        <v>6190</v>
      </c>
      <c r="C3630" t="s">
        <v>11413</v>
      </c>
      <c r="F3630" t="s">
        <v>11190</v>
      </c>
      <c r="G3630" t="s">
        <v>1104</v>
      </c>
    </row>
    <row r="3631" spans="1:7" hidden="1" x14ac:dyDescent="0.25">
      <c r="A3631" t="s">
        <v>650</v>
      </c>
      <c r="B3631" t="s">
        <v>6190</v>
      </c>
      <c r="C3631" t="s">
        <v>11413</v>
      </c>
      <c r="F3631" t="s">
        <v>11193</v>
      </c>
      <c r="G3631" t="s">
        <v>1104</v>
      </c>
    </row>
    <row r="3632" spans="1:7" hidden="1" x14ac:dyDescent="0.25">
      <c r="A3632" t="s">
        <v>1606</v>
      </c>
      <c r="B3632" t="s">
        <v>6190</v>
      </c>
      <c r="F3632" t="s">
        <v>11196</v>
      </c>
      <c r="G3632" t="s">
        <v>1104</v>
      </c>
    </row>
    <row r="3633" spans="1:7" hidden="1" x14ac:dyDescent="0.25">
      <c r="A3633" t="s">
        <v>2004</v>
      </c>
      <c r="F3633" t="s">
        <v>11448</v>
      </c>
      <c r="G3633" t="s">
        <v>1102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11451</v>
      </c>
      <c r="G3634" t="s">
        <v>1102</v>
      </c>
    </row>
    <row r="3635" spans="1:7" hidden="1" x14ac:dyDescent="0.25">
      <c r="A3635" t="s">
        <v>62</v>
      </c>
      <c r="B3635" t="s">
        <v>70</v>
      </c>
      <c r="C3635" t="s">
        <v>11637</v>
      </c>
      <c r="D3635">
        <v>2</v>
      </c>
      <c r="F3635" t="s">
        <v>11454</v>
      </c>
      <c r="G3635" t="s">
        <v>1102</v>
      </c>
    </row>
    <row r="3636" spans="1:7" hidden="1" x14ac:dyDescent="0.25">
      <c r="A3636" t="s">
        <v>91</v>
      </c>
      <c r="B3636" t="s">
        <v>70</v>
      </c>
      <c r="C3636" t="s">
        <v>11637</v>
      </c>
      <c r="D3636">
        <v>2</v>
      </c>
      <c r="F3636" t="s">
        <v>11457</v>
      </c>
      <c r="G3636" t="s">
        <v>1102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11460</v>
      </c>
      <c r="G3637" t="s">
        <v>1102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11463</v>
      </c>
      <c r="G3638" t="s">
        <v>1102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5140</v>
      </c>
      <c r="F3639" t="s">
        <v>11466</v>
      </c>
      <c r="G3639" t="s">
        <v>1102</v>
      </c>
    </row>
    <row r="3640" spans="1:7" hidden="1" x14ac:dyDescent="0.25">
      <c r="A3640" t="s">
        <v>2004</v>
      </c>
      <c r="F3640" t="s">
        <v>11469</v>
      </c>
      <c r="G3640" t="s">
        <v>1102</v>
      </c>
    </row>
    <row r="3641" spans="1:7" hidden="1" x14ac:dyDescent="0.25">
      <c r="A3641" t="s">
        <v>158</v>
      </c>
      <c r="B3641" t="s">
        <v>86</v>
      </c>
      <c r="C3641" t="s">
        <v>60</v>
      </c>
      <c r="D3641">
        <v>1</v>
      </c>
      <c r="E3641" t="s">
        <v>3075</v>
      </c>
      <c r="F3641" t="s">
        <v>11427</v>
      </c>
      <c r="G3641" t="s">
        <v>1103</v>
      </c>
    </row>
    <row r="3642" spans="1:7" hidden="1" x14ac:dyDescent="0.25">
      <c r="A3642" t="s">
        <v>158</v>
      </c>
      <c r="B3642" t="s">
        <v>86</v>
      </c>
      <c r="C3642" t="s">
        <v>58</v>
      </c>
      <c r="E3642" t="s">
        <v>3075</v>
      </c>
      <c r="F3642" t="s">
        <v>11430</v>
      </c>
      <c r="G3642" t="s">
        <v>1103</v>
      </c>
    </row>
    <row r="3643" spans="1:7" hidden="1" x14ac:dyDescent="0.25">
      <c r="A3643" t="s">
        <v>158</v>
      </c>
      <c r="B3643" t="s">
        <v>86</v>
      </c>
      <c r="C3643" t="s">
        <v>58</v>
      </c>
      <c r="E3643" t="s">
        <v>3075</v>
      </c>
      <c r="F3643" t="s">
        <v>11433</v>
      </c>
      <c r="G3643" t="s">
        <v>1103</v>
      </c>
    </row>
    <row r="3644" spans="1:7" hidden="1" x14ac:dyDescent="0.25">
      <c r="A3644" t="s">
        <v>533</v>
      </c>
      <c r="B3644" t="s">
        <v>531</v>
      </c>
      <c r="C3644" t="s">
        <v>2929</v>
      </c>
      <c r="E3644" t="s">
        <v>10885</v>
      </c>
      <c r="F3644" t="s">
        <v>11436</v>
      </c>
      <c r="G3644" t="s">
        <v>1103</v>
      </c>
    </row>
    <row r="3645" spans="1:7" hidden="1" x14ac:dyDescent="0.25">
      <c r="A3645" t="s">
        <v>533</v>
      </c>
      <c r="B3645" t="s">
        <v>531</v>
      </c>
      <c r="C3645" t="s">
        <v>2929</v>
      </c>
      <c r="E3645" t="s">
        <v>10885</v>
      </c>
      <c r="F3645" t="s">
        <v>11439</v>
      </c>
      <c r="G3645" t="s">
        <v>1103</v>
      </c>
    </row>
    <row r="3646" spans="1:7" hidden="1" x14ac:dyDescent="0.25">
      <c r="A3646" t="s">
        <v>533</v>
      </c>
      <c r="B3646" t="s">
        <v>531</v>
      </c>
      <c r="C3646" t="s">
        <v>2929</v>
      </c>
      <c r="E3646" t="s">
        <v>10885</v>
      </c>
      <c r="F3646" t="s">
        <v>11442</v>
      </c>
      <c r="G3646" t="s">
        <v>1103</v>
      </c>
    </row>
    <row r="3647" spans="1:7" hidden="1" x14ac:dyDescent="0.25">
      <c r="A3647" t="s">
        <v>533</v>
      </c>
      <c r="B3647" t="s">
        <v>531</v>
      </c>
      <c r="C3647" t="s">
        <v>2929</v>
      </c>
      <c r="E3647" t="s">
        <v>10885</v>
      </c>
      <c r="F3647" t="s">
        <v>11445</v>
      </c>
      <c r="G3647" t="s">
        <v>1103</v>
      </c>
    </row>
    <row r="3648" spans="1:7" hidden="1" x14ac:dyDescent="0.25">
      <c r="A3648" t="s">
        <v>4</v>
      </c>
      <c r="B3648" t="s">
        <v>8803</v>
      </c>
      <c r="F3648" t="s">
        <v>11574</v>
      </c>
      <c r="G3648" t="s">
        <v>91</v>
      </c>
    </row>
    <row r="3649" spans="1:7" hidden="1" x14ac:dyDescent="0.25">
      <c r="A3649" t="s">
        <v>289</v>
      </c>
      <c r="B3649" t="s">
        <v>70</v>
      </c>
      <c r="C3649" t="s">
        <v>11637</v>
      </c>
      <c r="D3649">
        <v>2</v>
      </c>
      <c r="F3649" t="s">
        <v>11577</v>
      </c>
      <c r="G3649" t="s">
        <v>91</v>
      </c>
    </row>
    <row r="3650" spans="1:7" hidden="1" x14ac:dyDescent="0.25">
      <c r="A3650" t="s">
        <v>650</v>
      </c>
      <c r="B3650" t="s">
        <v>70</v>
      </c>
      <c r="C3650" t="s">
        <v>11637</v>
      </c>
      <c r="F3650" t="s">
        <v>11580</v>
      </c>
      <c r="G3650" t="s">
        <v>91</v>
      </c>
    </row>
    <row r="3651" spans="1:7" hidden="1" x14ac:dyDescent="0.25">
      <c r="A3651" t="s">
        <v>1606</v>
      </c>
      <c r="B3651" t="s">
        <v>70</v>
      </c>
      <c r="F3651" t="s">
        <v>11583</v>
      </c>
      <c r="G3651" t="s">
        <v>91</v>
      </c>
    </row>
    <row r="3652" spans="1:7" hidden="1" x14ac:dyDescent="0.25">
      <c r="A3652" t="s">
        <v>290</v>
      </c>
      <c r="B3652" t="s">
        <v>70</v>
      </c>
      <c r="C3652" t="s">
        <v>11637</v>
      </c>
      <c r="D3652">
        <v>2</v>
      </c>
      <c r="F3652" t="s">
        <v>11586</v>
      </c>
      <c r="G3652" t="s">
        <v>91</v>
      </c>
    </row>
    <row r="3653" spans="1:7" hidden="1" x14ac:dyDescent="0.25">
      <c r="A3653" t="s">
        <v>650</v>
      </c>
      <c r="B3653" t="s">
        <v>70</v>
      </c>
      <c r="F3653" t="s">
        <v>11589</v>
      </c>
      <c r="G3653" t="s">
        <v>91</v>
      </c>
    </row>
    <row r="3654" spans="1:7" hidden="1" x14ac:dyDescent="0.25">
      <c r="A3654" t="s">
        <v>1606</v>
      </c>
      <c r="B3654" t="s">
        <v>66</v>
      </c>
      <c r="F3654" t="s">
        <v>11592</v>
      </c>
      <c r="G3654" t="s">
        <v>91</v>
      </c>
    </row>
    <row r="3655" spans="1:7" hidden="1" x14ac:dyDescent="0.25">
      <c r="A3655" t="s">
        <v>6171</v>
      </c>
      <c r="B3655" t="s">
        <v>66</v>
      </c>
      <c r="F3655" t="s">
        <v>11595</v>
      </c>
      <c r="G3655" t="s">
        <v>91</v>
      </c>
    </row>
    <row r="3656" spans="1:7" hidden="1" x14ac:dyDescent="0.25">
      <c r="A3656" t="s">
        <v>650</v>
      </c>
      <c r="B3656" t="s">
        <v>66</v>
      </c>
      <c r="F3656" t="s">
        <v>11598</v>
      </c>
      <c r="G3656" t="s">
        <v>91</v>
      </c>
    </row>
    <row r="3657" spans="1:7" hidden="1" x14ac:dyDescent="0.25">
      <c r="A3657" t="s">
        <v>4</v>
      </c>
      <c r="B3657" t="s">
        <v>8803</v>
      </c>
      <c r="F3657" t="s">
        <v>11601</v>
      </c>
      <c r="G3657" t="s">
        <v>91</v>
      </c>
    </row>
    <row r="3658" spans="1:7" hidden="1" x14ac:dyDescent="0.25">
      <c r="A3658" t="s">
        <v>4</v>
      </c>
      <c r="B3658" t="s">
        <v>8803</v>
      </c>
      <c r="F3658" t="s">
        <v>11472</v>
      </c>
      <c r="G3658" t="s">
        <v>1104</v>
      </c>
    </row>
    <row r="3659" spans="1:7" hidden="1" x14ac:dyDescent="0.25">
      <c r="A3659" t="s">
        <v>4</v>
      </c>
      <c r="B3659" t="s">
        <v>8803</v>
      </c>
      <c r="F3659" t="s">
        <v>11475</v>
      </c>
      <c r="G3659" t="s">
        <v>1104</v>
      </c>
    </row>
    <row r="3660" spans="1:7" hidden="1" x14ac:dyDescent="0.25">
      <c r="A3660" t="s">
        <v>4</v>
      </c>
      <c r="B3660" t="s">
        <v>8803</v>
      </c>
      <c r="F3660" t="s">
        <v>11478</v>
      </c>
      <c r="G3660" t="s">
        <v>1104</v>
      </c>
    </row>
    <row r="3661" spans="1:7" hidden="1" x14ac:dyDescent="0.25">
      <c r="A3661" t="s">
        <v>4</v>
      </c>
      <c r="B3661" t="s">
        <v>8</v>
      </c>
      <c r="F3661" t="s">
        <v>11604</v>
      </c>
      <c r="G3661" t="s">
        <v>1105</v>
      </c>
    </row>
    <row r="3662" spans="1:7" hidden="1" x14ac:dyDescent="0.25">
      <c r="A3662" t="s">
        <v>4</v>
      </c>
      <c r="B3662" t="s">
        <v>11638</v>
      </c>
      <c r="F3662" t="s">
        <v>11607</v>
      </c>
      <c r="G3662" t="s">
        <v>1105</v>
      </c>
    </row>
    <row r="3663" spans="1:7" hidden="1" x14ac:dyDescent="0.25">
      <c r="A3663" t="s">
        <v>4</v>
      </c>
      <c r="B3663" t="s">
        <v>8</v>
      </c>
      <c r="F3663" t="s">
        <v>11610</v>
      </c>
      <c r="G3663" t="s">
        <v>1105</v>
      </c>
    </row>
    <row r="3664" spans="1:7" hidden="1" x14ac:dyDescent="0.25">
      <c r="A3664" t="s">
        <v>4</v>
      </c>
      <c r="B3664" t="s">
        <v>8805</v>
      </c>
      <c r="F3664" t="s">
        <v>11639</v>
      </c>
      <c r="G3664" t="s">
        <v>1106</v>
      </c>
    </row>
    <row r="3665" spans="1:7" hidden="1" x14ac:dyDescent="0.25">
      <c r="A3665" t="s">
        <v>2004</v>
      </c>
      <c r="B3665" t="s">
        <v>8</v>
      </c>
      <c r="F3665" t="s">
        <v>11613</v>
      </c>
      <c r="G3665" t="s">
        <v>1106</v>
      </c>
    </row>
    <row r="3666" spans="1:7" hidden="1" x14ac:dyDescent="0.25">
      <c r="A3666" t="s">
        <v>2004</v>
      </c>
      <c r="B3666" t="s">
        <v>8</v>
      </c>
      <c r="F3666" t="s">
        <v>11616</v>
      </c>
      <c r="G3666" t="s">
        <v>1106</v>
      </c>
    </row>
    <row r="3667" spans="1:7" hidden="1" x14ac:dyDescent="0.25">
      <c r="A3667" t="s">
        <v>2004</v>
      </c>
      <c r="B3667" t="s">
        <v>8</v>
      </c>
      <c r="F3667" t="s">
        <v>11642</v>
      </c>
      <c r="G3667" t="s">
        <v>1107</v>
      </c>
    </row>
    <row r="3668" spans="1:7" hidden="1" x14ac:dyDescent="0.25">
      <c r="A3668" t="s">
        <v>2004</v>
      </c>
      <c r="B3668" t="s">
        <v>8</v>
      </c>
      <c r="F3668" t="s">
        <v>11645</v>
      </c>
      <c r="G3668" t="s">
        <v>1107</v>
      </c>
    </row>
    <row r="3669" spans="1:7" hidden="1" x14ac:dyDescent="0.25">
      <c r="A3669" t="s">
        <v>2004</v>
      </c>
      <c r="B3669" t="s">
        <v>8</v>
      </c>
      <c r="F3669" t="s">
        <v>11648</v>
      </c>
      <c r="G3669" t="s">
        <v>1107</v>
      </c>
    </row>
    <row r="3670" spans="1:7" hidden="1" x14ac:dyDescent="0.25">
      <c r="A3670" t="s">
        <v>9409</v>
      </c>
      <c r="B3670" t="s">
        <v>1607</v>
      </c>
      <c r="F3670" t="s">
        <v>11619</v>
      </c>
      <c r="G3670" t="s">
        <v>796</v>
      </c>
    </row>
    <row r="3671" spans="1:7" hidden="1" x14ac:dyDescent="0.25">
      <c r="A3671" t="s">
        <v>2024</v>
      </c>
      <c r="B3671" t="s">
        <v>796</v>
      </c>
      <c r="F3671" t="s">
        <v>11622</v>
      </c>
      <c r="G3671" t="s">
        <v>796</v>
      </c>
    </row>
    <row r="3672" spans="1:7" hidden="1" x14ac:dyDescent="0.25">
      <c r="A3672" t="s">
        <v>9409</v>
      </c>
      <c r="B3672" t="s">
        <v>1607</v>
      </c>
      <c r="F3672" t="s">
        <v>11625</v>
      </c>
      <c r="G3672" t="s">
        <v>796</v>
      </c>
    </row>
    <row r="3673" spans="1:7" hidden="1" x14ac:dyDescent="0.25">
      <c r="A3673" t="s">
        <v>2024</v>
      </c>
      <c r="B3673" t="s">
        <v>796</v>
      </c>
      <c r="F3673" t="s">
        <v>11628</v>
      </c>
      <c r="G3673" t="s">
        <v>796</v>
      </c>
    </row>
    <row r="3674" spans="1:7" hidden="1" x14ac:dyDescent="0.25">
      <c r="A3674" t="s">
        <v>2024</v>
      </c>
      <c r="B3674" t="s">
        <v>796</v>
      </c>
      <c r="F3674" t="s">
        <v>11631</v>
      </c>
      <c r="G3674" t="s">
        <v>796</v>
      </c>
    </row>
    <row r="3675" spans="1:7" hidden="1" x14ac:dyDescent="0.25">
      <c r="A3675" t="s">
        <v>4</v>
      </c>
      <c r="B3675" t="s">
        <v>9</v>
      </c>
      <c r="F3675" t="s">
        <v>11634</v>
      </c>
      <c r="G3675" t="s">
        <v>796</v>
      </c>
    </row>
    <row r="3676" spans="1:7" hidden="1" x14ac:dyDescent="0.25">
      <c r="A3676" t="s">
        <v>9200</v>
      </c>
      <c r="B3676" t="s">
        <v>9201</v>
      </c>
      <c r="F3676" t="s">
        <v>11481</v>
      </c>
      <c r="G3676" t="s">
        <v>1100</v>
      </c>
    </row>
    <row r="3677" spans="1:7" hidden="1" x14ac:dyDescent="0.25">
      <c r="A3677" t="s">
        <v>9200</v>
      </c>
      <c r="B3677" t="s">
        <v>9201</v>
      </c>
      <c r="F3677" t="s">
        <v>11484</v>
      </c>
      <c r="G3677" t="s">
        <v>1100</v>
      </c>
    </row>
    <row r="3678" spans="1:7" hidden="1" x14ac:dyDescent="0.25">
      <c r="A3678" t="s">
        <v>9692</v>
      </c>
      <c r="B3678" t="s">
        <v>1607</v>
      </c>
      <c r="F3678" t="s">
        <v>11487</v>
      </c>
      <c r="G3678" t="s">
        <v>1100</v>
      </c>
    </row>
    <row r="3679" spans="1:7" hidden="1" x14ac:dyDescent="0.25">
      <c r="A3679" t="s">
        <v>11651</v>
      </c>
      <c r="B3679" t="s">
        <v>1607</v>
      </c>
      <c r="F3679" t="s">
        <v>11490</v>
      </c>
      <c r="G3679" t="s">
        <v>1100</v>
      </c>
    </row>
    <row r="3680" spans="1:7" hidden="1" x14ac:dyDescent="0.25">
      <c r="A3680" t="s">
        <v>9200</v>
      </c>
      <c r="B3680" t="s">
        <v>9201</v>
      </c>
      <c r="F3680" t="s">
        <v>11493</v>
      </c>
      <c r="G3680" t="s">
        <v>1100</v>
      </c>
    </row>
    <row r="3681" spans="1:7" hidden="1" x14ac:dyDescent="0.25">
      <c r="A3681" t="s">
        <v>2024</v>
      </c>
      <c r="B3681" t="s">
        <v>1304</v>
      </c>
      <c r="F3681" t="s">
        <v>11496</v>
      </c>
      <c r="G3681" t="s">
        <v>1100</v>
      </c>
    </row>
    <row r="3682" spans="1:7" hidden="1" x14ac:dyDescent="0.25">
      <c r="A3682" t="s">
        <v>4</v>
      </c>
      <c r="B3682" t="s">
        <v>9</v>
      </c>
      <c r="F3682" t="s">
        <v>11499</v>
      </c>
      <c r="G3682" t="s">
        <v>1100</v>
      </c>
    </row>
    <row r="3683" spans="1:7" hidden="1" x14ac:dyDescent="0.25">
      <c r="A3683" t="s">
        <v>4</v>
      </c>
      <c r="B3683" t="s">
        <v>9</v>
      </c>
      <c r="F3683" t="s">
        <v>11502</v>
      </c>
      <c r="G3683" t="s">
        <v>1100</v>
      </c>
    </row>
    <row r="3684" spans="1:7" hidden="1" x14ac:dyDescent="0.25">
      <c r="A3684" t="s">
        <v>9200</v>
      </c>
      <c r="B3684" t="s">
        <v>9201</v>
      </c>
      <c r="F3684" t="s">
        <v>11505</v>
      </c>
      <c r="G3684" t="s">
        <v>1100</v>
      </c>
    </row>
    <row r="3685" spans="1:7" hidden="1" x14ac:dyDescent="0.25">
      <c r="A3685" t="s">
        <v>4</v>
      </c>
      <c r="B3685" t="s">
        <v>11652</v>
      </c>
      <c r="F3685" t="s">
        <v>11508</v>
      </c>
      <c r="G3685" t="s">
        <v>1100</v>
      </c>
    </row>
    <row r="3686" spans="1:7" hidden="1" x14ac:dyDescent="0.25">
      <c r="A3686" t="s">
        <v>9692</v>
      </c>
      <c r="B3686" t="s">
        <v>1607</v>
      </c>
      <c r="E3686" t="s">
        <v>11653</v>
      </c>
      <c r="F3686" t="s">
        <v>11511</v>
      </c>
      <c r="G3686" t="s">
        <v>1100</v>
      </c>
    </row>
    <row r="3687" spans="1:7" hidden="1" x14ac:dyDescent="0.25">
      <c r="A3687" t="s">
        <v>9200</v>
      </c>
      <c r="B3687" t="s">
        <v>9201</v>
      </c>
      <c r="F3687" t="s">
        <v>11514</v>
      </c>
      <c r="G3687" t="s">
        <v>1100</v>
      </c>
    </row>
    <row r="3688" spans="1:7" hidden="1" x14ac:dyDescent="0.25">
      <c r="A3688" t="s">
        <v>4223</v>
      </c>
      <c r="B3688" t="s">
        <v>86</v>
      </c>
      <c r="C3688" t="s">
        <v>11654</v>
      </c>
      <c r="F3688" t="s">
        <v>11517</v>
      </c>
      <c r="G3688" t="s">
        <v>1817</v>
      </c>
    </row>
    <row r="3689" spans="1:7" hidden="1" x14ac:dyDescent="0.25">
      <c r="A3689" t="s">
        <v>158</v>
      </c>
      <c r="B3689" t="s">
        <v>86</v>
      </c>
      <c r="C3689" t="s">
        <v>58</v>
      </c>
      <c r="E3689" t="s">
        <v>11655</v>
      </c>
      <c r="F3689" t="s">
        <v>11520</v>
      </c>
      <c r="G3689" t="s">
        <v>1817</v>
      </c>
    </row>
    <row r="3690" spans="1:7" hidden="1" x14ac:dyDescent="0.25">
      <c r="A3690" t="s">
        <v>11656</v>
      </c>
      <c r="B3690" t="s">
        <v>1607</v>
      </c>
      <c r="F3690" t="s">
        <v>11523</v>
      </c>
      <c r="G3690" t="s">
        <v>1817</v>
      </c>
    </row>
    <row r="3691" spans="1:7" hidden="1" x14ac:dyDescent="0.25">
      <c r="A3691" t="s">
        <v>11657</v>
      </c>
      <c r="B3691" t="s">
        <v>1607</v>
      </c>
      <c r="F3691" t="s">
        <v>11526</v>
      </c>
      <c r="G3691" t="s">
        <v>1817</v>
      </c>
    </row>
    <row r="3692" spans="1:7" hidden="1" x14ac:dyDescent="0.25">
      <c r="A3692" t="s">
        <v>11658</v>
      </c>
      <c r="B3692" t="s">
        <v>1607</v>
      </c>
      <c r="F3692" t="s">
        <v>11529</v>
      </c>
      <c r="G3692" t="s">
        <v>1817</v>
      </c>
    </row>
    <row r="3693" spans="1:7" hidden="1" x14ac:dyDescent="0.25">
      <c r="A3693" t="s">
        <v>11658</v>
      </c>
      <c r="B3693" t="s">
        <v>1607</v>
      </c>
      <c r="F3693" t="s">
        <v>11532</v>
      </c>
      <c r="G3693" t="s">
        <v>1817</v>
      </c>
    </row>
    <row r="3694" spans="1:7" hidden="1" x14ac:dyDescent="0.25">
      <c r="A3694" t="s">
        <v>11658</v>
      </c>
      <c r="B3694" t="s">
        <v>1607</v>
      </c>
      <c r="F3694" t="s">
        <v>11535</v>
      </c>
      <c r="G3694" t="s">
        <v>1817</v>
      </c>
    </row>
    <row r="3695" spans="1:7" hidden="1" x14ac:dyDescent="0.25">
      <c r="A3695" t="s">
        <v>4</v>
      </c>
      <c r="B3695" t="s">
        <v>8045</v>
      </c>
      <c r="F3695" t="s">
        <v>11538</v>
      </c>
      <c r="G3695" t="s">
        <v>1817</v>
      </c>
    </row>
    <row r="3696" spans="1:7" hidden="1" x14ac:dyDescent="0.25">
      <c r="A3696" t="s">
        <v>2004</v>
      </c>
      <c r="B3696" t="s">
        <v>8</v>
      </c>
      <c r="F3696" t="s">
        <v>11541</v>
      </c>
      <c r="G3696" t="s">
        <v>1817</v>
      </c>
    </row>
    <row r="3697" spans="1:7" hidden="1" x14ac:dyDescent="0.25">
      <c r="A3697" t="s">
        <v>4</v>
      </c>
      <c r="B3697" t="s">
        <v>8045</v>
      </c>
      <c r="F3697" t="s">
        <v>11544</v>
      </c>
      <c r="G3697" t="s">
        <v>1817</v>
      </c>
    </row>
    <row r="3698" spans="1:7" hidden="1" x14ac:dyDescent="0.25">
      <c r="A3698" t="s">
        <v>9914</v>
      </c>
      <c r="B3698" t="s">
        <v>4247</v>
      </c>
      <c r="F3698" t="s">
        <v>11547</v>
      </c>
      <c r="G3698" t="s">
        <v>1934</v>
      </c>
    </row>
    <row r="3699" spans="1:7" hidden="1" x14ac:dyDescent="0.25">
      <c r="A3699" t="s">
        <v>2004</v>
      </c>
      <c r="B3699" t="s">
        <v>8</v>
      </c>
      <c r="F3699" t="s">
        <v>11550</v>
      </c>
      <c r="G3699" t="s">
        <v>1934</v>
      </c>
    </row>
    <row r="3700" spans="1:7" hidden="1" x14ac:dyDescent="0.25">
      <c r="A3700" t="s">
        <v>4</v>
      </c>
      <c r="B3700" t="s">
        <v>8</v>
      </c>
      <c r="F3700" t="s">
        <v>11553</v>
      </c>
      <c r="G3700" t="s">
        <v>1934</v>
      </c>
    </row>
    <row r="3701" spans="1:7" hidden="1" x14ac:dyDescent="0.25">
      <c r="A3701" t="s">
        <v>9876</v>
      </c>
      <c r="B3701" t="s">
        <v>5137</v>
      </c>
      <c r="F3701" t="s">
        <v>11556</v>
      </c>
      <c r="G3701" t="s">
        <v>1934</v>
      </c>
    </row>
    <row r="3702" spans="1:7" hidden="1" x14ac:dyDescent="0.25">
      <c r="A3702" t="s">
        <v>4</v>
      </c>
      <c r="B3702" t="s">
        <v>8</v>
      </c>
      <c r="F3702" t="s">
        <v>11559</v>
      </c>
      <c r="G3702" t="s">
        <v>1934</v>
      </c>
    </row>
    <row r="3703" spans="1:7" x14ac:dyDescent="0.25">
      <c r="A3703" t="s">
        <v>4</v>
      </c>
      <c r="B3703" t="s">
        <v>11424</v>
      </c>
      <c r="F3703" t="s">
        <v>11562</v>
      </c>
      <c r="G3703" t="s">
        <v>1997</v>
      </c>
    </row>
    <row r="3704" spans="1:7" x14ac:dyDescent="0.25">
      <c r="A3704" t="s">
        <v>4</v>
      </c>
      <c r="B3704" t="s">
        <v>11659</v>
      </c>
      <c r="F3704" t="s">
        <v>11565</v>
      </c>
      <c r="G3704" t="s">
        <v>1997</v>
      </c>
    </row>
    <row r="3705" spans="1:7" x14ac:dyDescent="0.25">
      <c r="A3705" t="s">
        <v>11660</v>
      </c>
      <c r="F3705" t="s">
        <v>11568</v>
      </c>
      <c r="G3705" t="s">
        <v>1997</v>
      </c>
    </row>
    <row r="3706" spans="1:7" x14ac:dyDescent="0.25">
      <c r="A3706" t="s">
        <v>4</v>
      </c>
      <c r="B3706" t="s">
        <v>8</v>
      </c>
      <c r="F3706" t="s">
        <v>11571</v>
      </c>
      <c r="G3706" t="s">
        <v>1997</v>
      </c>
    </row>
    <row r="3707" spans="1:7" hidden="1" x14ac:dyDescent="0.25">
      <c r="A3707" t="s">
        <v>91</v>
      </c>
      <c r="B3707" t="s">
        <v>11772</v>
      </c>
      <c r="F3707" s="8" t="s">
        <v>11682</v>
      </c>
      <c r="G3707" t="s">
        <v>1102</v>
      </c>
    </row>
    <row r="3708" spans="1:7" hidden="1" x14ac:dyDescent="0.25">
      <c r="A3708" t="s">
        <v>62</v>
      </c>
      <c r="B3708" t="s">
        <v>11772</v>
      </c>
      <c r="F3708" s="8" t="s">
        <v>11685</v>
      </c>
      <c r="G3708" t="s">
        <v>1102</v>
      </c>
    </row>
    <row r="3709" spans="1:7" hidden="1" x14ac:dyDescent="0.25">
      <c r="A3709" t="s">
        <v>2004</v>
      </c>
      <c r="F3709" s="8" t="s">
        <v>11688</v>
      </c>
      <c r="G3709" t="s">
        <v>1102</v>
      </c>
    </row>
    <row r="3710" spans="1:7" hidden="1" x14ac:dyDescent="0.25">
      <c r="A3710" t="s">
        <v>2004</v>
      </c>
      <c r="B3710" t="s">
        <v>8</v>
      </c>
      <c r="F3710" s="8" t="s">
        <v>11661</v>
      </c>
      <c r="G3710" t="s">
        <v>1103</v>
      </c>
    </row>
    <row r="3711" spans="1:7" hidden="1" x14ac:dyDescent="0.25">
      <c r="A3711" t="s">
        <v>2004</v>
      </c>
      <c r="B3711" t="s">
        <v>8</v>
      </c>
      <c r="F3711" s="8" t="s">
        <v>11773</v>
      </c>
      <c r="G3711" t="s">
        <v>1103</v>
      </c>
    </row>
    <row r="3712" spans="1:7" hidden="1" x14ac:dyDescent="0.25">
      <c r="A3712" t="s">
        <v>6171</v>
      </c>
      <c r="B3712" t="s">
        <v>11782</v>
      </c>
      <c r="F3712" s="8" t="s">
        <v>11664</v>
      </c>
      <c r="G3712" t="s">
        <v>91</v>
      </c>
    </row>
    <row r="3713" spans="1:7" hidden="1" x14ac:dyDescent="0.25">
      <c r="A3713" t="s">
        <v>2004</v>
      </c>
      <c r="B3713" t="s">
        <v>8</v>
      </c>
      <c r="F3713" s="8" t="s">
        <v>11667</v>
      </c>
      <c r="G3713" t="s">
        <v>91</v>
      </c>
    </row>
    <row r="3714" spans="1:7" hidden="1" x14ac:dyDescent="0.25">
      <c r="A3714" t="s">
        <v>4</v>
      </c>
      <c r="B3714" t="s">
        <v>8</v>
      </c>
      <c r="F3714" s="8" t="s">
        <v>11670</v>
      </c>
      <c r="G3714" t="s">
        <v>1104</v>
      </c>
    </row>
    <row r="3715" spans="1:7" hidden="1" x14ac:dyDescent="0.25">
      <c r="A3715" t="s">
        <v>2004</v>
      </c>
      <c r="B3715" t="s">
        <v>8</v>
      </c>
      <c r="F3715" s="8" t="s">
        <v>11673</v>
      </c>
      <c r="G3715" t="s">
        <v>1104</v>
      </c>
    </row>
    <row r="3716" spans="1:7" hidden="1" x14ac:dyDescent="0.25">
      <c r="A3716" t="s">
        <v>2004</v>
      </c>
      <c r="B3716" t="s">
        <v>8</v>
      </c>
      <c r="F3716" s="8" t="s">
        <v>11676</v>
      </c>
      <c r="G3716" t="s">
        <v>1105</v>
      </c>
    </row>
    <row r="3717" spans="1:7" hidden="1" x14ac:dyDescent="0.25">
      <c r="A3717" t="s">
        <v>4</v>
      </c>
      <c r="B3717" t="s">
        <v>2932</v>
      </c>
      <c r="F3717" s="8" t="s">
        <v>11679</v>
      </c>
      <c r="G3717" t="s">
        <v>1105</v>
      </c>
    </row>
    <row r="3718" spans="1:7" hidden="1" x14ac:dyDescent="0.25">
      <c r="A3718" t="s">
        <v>2004</v>
      </c>
      <c r="B3718" t="s">
        <v>8</v>
      </c>
      <c r="F3718" s="8" t="s">
        <v>11691</v>
      </c>
      <c r="G3718" t="s">
        <v>1106</v>
      </c>
    </row>
    <row r="3719" spans="1:7" hidden="1" x14ac:dyDescent="0.25">
      <c r="A3719" t="s">
        <v>2004</v>
      </c>
      <c r="B3719" t="s">
        <v>8</v>
      </c>
      <c r="F3719" s="8" t="s">
        <v>11694</v>
      </c>
      <c r="G3719" t="s">
        <v>1106</v>
      </c>
    </row>
    <row r="3720" spans="1:7" hidden="1" x14ac:dyDescent="0.25">
      <c r="A3720" t="s">
        <v>2004</v>
      </c>
      <c r="B3720" t="s">
        <v>8</v>
      </c>
      <c r="F3720" s="8" t="s">
        <v>11776</v>
      </c>
      <c r="G3720" t="s">
        <v>1107</v>
      </c>
    </row>
    <row r="3721" spans="1:7" hidden="1" x14ac:dyDescent="0.25">
      <c r="A3721" t="s">
        <v>2004</v>
      </c>
      <c r="B3721" t="s">
        <v>8</v>
      </c>
      <c r="F3721" s="8" t="s">
        <v>11779</v>
      </c>
      <c r="G3721" t="s">
        <v>1107</v>
      </c>
    </row>
    <row r="3722" spans="1:7" hidden="1" x14ac:dyDescent="0.25">
      <c r="A3722" t="s">
        <v>4</v>
      </c>
      <c r="B3722" t="s">
        <v>9</v>
      </c>
      <c r="F3722" s="8" t="s">
        <v>11697</v>
      </c>
      <c r="G3722" t="s">
        <v>796</v>
      </c>
    </row>
    <row r="3723" spans="1:7" hidden="1" x14ac:dyDescent="0.25">
      <c r="A3723" t="s">
        <v>2024</v>
      </c>
      <c r="B3723" t="s">
        <v>796</v>
      </c>
      <c r="F3723" s="8" t="s">
        <v>11700</v>
      </c>
      <c r="G3723" t="s">
        <v>796</v>
      </c>
    </row>
    <row r="3724" spans="1:7" hidden="1" x14ac:dyDescent="0.25">
      <c r="A3724" t="s">
        <v>2024</v>
      </c>
      <c r="B3724" t="s">
        <v>796</v>
      </c>
      <c r="F3724" s="8" t="s">
        <v>11703</v>
      </c>
      <c r="G3724" t="s">
        <v>796</v>
      </c>
    </row>
    <row r="3725" spans="1:7" hidden="1" x14ac:dyDescent="0.25">
      <c r="A3725" t="s">
        <v>2024</v>
      </c>
      <c r="B3725" t="s">
        <v>796</v>
      </c>
      <c r="F3725" s="8" t="s">
        <v>11706</v>
      </c>
      <c r="G3725" t="s">
        <v>796</v>
      </c>
    </row>
    <row r="3726" spans="1:7" hidden="1" x14ac:dyDescent="0.25">
      <c r="A3726" t="s">
        <v>4</v>
      </c>
      <c r="B3726" t="s">
        <v>7709</v>
      </c>
      <c r="F3726" s="8" t="s">
        <v>11709</v>
      </c>
      <c r="G3726" t="s">
        <v>1100</v>
      </c>
    </row>
    <row r="3727" spans="1:7" hidden="1" x14ac:dyDescent="0.25">
      <c r="A3727" t="s">
        <v>2024</v>
      </c>
      <c r="B3727" t="s">
        <v>1304</v>
      </c>
      <c r="F3727" s="8" t="s">
        <v>11712</v>
      </c>
      <c r="G3727" t="s">
        <v>1100</v>
      </c>
    </row>
    <row r="3728" spans="1:7" hidden="1" x14ac:dyDescent="0.25">
      <c r="A3728" t="s">
        <v>9200</v>
      </c>
      <c r="B3728" t="s">
        <v>9201</v>
      </c>
      <c r="F3728" s="8" t="s">
        <v>11715</v>
      </c>
      <c r="G3728" t="s">
        <v>1100</v>
      </c>
    </row>
    <row r="3729" spans="1:7" hidden="1" x14ac:dyDescent="0.25">
      <c r="A3729" t="s">
        <v>9692</v>
      </c>
      <c r="B3729" t="s">
        <v>1607</v>
      </c>
      <c r="F3729" s="8" t="s">
        <v>11718</v>
      </c>
      <c r="G3729" t="s">
        <v>1100</v>
      </c>
    </row>
    <row r="3730" spans="1:7" hidden="1" x14ac:dyDescent="0.25">
      <c r="A3730" t="s">
        <v>9692</v>
      </c>
      <c r="B3730" t="s">
        <v>1607</v>
      </c>
      <c r="F3730" s="8" t="s">
        <v>11721</v>
      </c>
      <c r="G3730" t="s">
        <v>1100</v>
      </c>
    </row>
    <row r="3731" spans="1:7" hidden="1" x14ac:dyDescent="0.25">
      <c r="A3731" t="s">
        <v>9200</v>
      </c>
      <c r="B3731" t="s">
        <v>9201</v>
      </c>
      <c r="F3731" s="8" t="s">
        <v>11724</v>
      </c>
      <c r="G3731" t="s">
        <v>1100</v>
      </c>
    </row>
    <row r="3732" spans="1:7" hidden="1" x14ac:dyDescent="0.25">
      <c r="A3732" t="s">
        <v>9200</v>
      </c>
      <c r="B3732" t="s">
        <v>9201</v>
      </c>
      <c r="F3732" s="8" t="s">
        <v>11727</v>
      </c>
      <c r="G3732" t="s">
        <v>1100</v>
      </c>
    </row>
    <row r="3733" spans="1:7" hidden="1" x14ac:dyDescent="0.25">
      <c r="A3733" t="s">
        <v>4</v>
      </c>
      <c r="B3733" t="s">
        <v>9</v>
      </c>
      <c r="F3733" s="8" t="s">
        <v>11730</v>
      </c>
      <c r="G3733" t="s">
        <v>1100</v>
      </c>
    </row>
    <row r="3734" spans="1:7" hidden="1" x14ac:dyDescent="0.25">
      <c r="A3734" t="s">
        <v>4</v>
      </c>
      <c r="B3734" t="s">
        <v>9</v>
      </c>
      <c r="E3734" t="s">
        <v>2936</v>
      </c>
      <c r="F3734" s="8" t="s">
        <v>11733</v>
      </c>
      <c r="G3734" t="s">
        <v>1100</v>
      </c>
    </row>
    <row r="3735" spans="1:7" hidden="1" x14ac:dyDescent="0.25">
      <c r="A3735" t="s">
        <v>4</v>
      </c>
      <c r="B3735" t="s">
        <v>11783</v>
      </c>
      <c r="F3735" s="8" t="s">
        <v>11736</v>
      </c>
      <c r="G3735" t="s">
        <v>1100</v>
      </c>
    </row>
    <row r="3736" spans="1:7" hidden="1" x14ac:dyDescent="0.25">
      <c r="A3736" t="s">
        <v>2004</v>
      </c>
      <c r="B3736" t="s">
        <v>8</v>
      </c>
      <c r="F3736" s="8" t="s">
        <v>11739</v>
      </c>
      <c r="G3736" s="1" t="s">
        <v>1603</v>
      </c>
    </row>
    <row r="3737" spans="1:7" hidden="1" x14ac:dyDescent="0.25">
      <c r="A3737" t="s">
        <v>533</v>
      </c>
      <c r="B3737" t="s">
        <v>1607</v>
      </c>
      <c r="C3737" t="s">
        <v>58</v>
      </c>
      <c r="F3737" s="8" t="s">
        <v>11742</v>
      </c>
      <c r="G3737" s="1" t="s">
        <v>1603</v>
      </c>
    </row>
    <row r="3738" spans="1:7" hidden="1" x14ac:dyDescent="0.25">
      <c r="A3738" t="s">
        <v>533</v>
      </c>
      <c r="B3738" t="s">
        <v>1607</v>
      </c>
      <c r="C3738" t="s">
        <v>58</v>
      </c>
      <c r="F3738" s="8" t="s">
        <v>11745</v>
      </c>
      <c r="G3738" s="1" t="s">
        <v>1603</v>
      </c>
    </row>
    <row r="3739" spans="1:7" hidden="1" x14ac:dyDescent="0.25">
      <c r="A3739" t="s">
        <v>2004</v>
      </c>
      <c r="B3739" t="s">
        <v>8</v>
      </c>
      <c r="F3739" s="8" t="s">
        <v>11748</v>
      </c>
      <c r="G3739" t="s">
        <v>1817</v>
      </c>
    </row>
    <row r="3740" spans="1:7" hidden="1" x14ac:dyDescent="0.25">
      <c r="A3740" t="s">
        <v>2004</v>
      </c>
      <c r="B3740" t="s">
        <v>8</v>
      </c>
      <c r="F3740" s="8" t="s">
        <v>11751</v>
      </c>
      <c r="G3740" t="s">
        <v>1817</v>
      </c>
    </row>
    <row r="3741" spans="1:7" hidden="1" x14ac:dyDescent="0.25">
      <c r="A3741" t="s">
        <v>2004</v>
      </c>
      <c r="B3741" t="s">
        <v>8</v>
      </c>
      <c r="F3741" s="8" t="s">
        <v>11754</v>
      </c>
      <c r="G3741" t="s">
        <v>1934</v>
      </c>
    </row>
    <row r="3742" spans="1:7" hidden="1" x14ac:dyDescent="0.25">
      <c r="A3742" t="s">
        <v>9876</v>
      </c>
      <c r="B3742" t="s">
        <v>5137</v>
      </c>
      <c r="F3742" s="8" t="s">
        <v>11757</v>
      </c>
      <c r="G3742" t="s">
        <v>1934</v>
      </c>
    </row>
    <row r="3743" spans="1:7" hidden="1" x14ac:dyDescent="0.25">
      <c r="A3743" t="s">
        <v>9876</v>
      </c>
      <c r="B3743" t="s">
        <v>5137</v>
      </c>
      <c r="F3743" s="8" t="s">
        <v>11760</v>
      </c>
      <c r="G3743" t="s">
        <v>1934</v>
      </c>
    </row>
    <row r="3744" spans="1:7" hidden="1" x14ac:dyDescent="0.25">
      <c r="A3744" t="s">
        <v>4</v>
      </c>
      <c r="B3744" t="s">
        <v>8</v>
      </c>
      <c r="F3744" s="8" t="s">
        <v>11763</v>
      </c>
      <c r="G3744" t="s">
        <v>1934</v>
      </c>
    </row>
    <row r="3745" spans="1:7" x14ac:dyDescent="0.25">
      <c r="A3745" t="s">
        <v>2004</v>
      </c>
      <c r="B3745" t="s">
        <v>8</v>
      </c>
      <c r="F3745" s="8" t="s">
        <v>11766</v>
      </c>
      <c r="G3745" t="s">
        <v>1997</v>
      </c>
    </row>
    <row r="3746" spans="1:7" x14ac:dyDescent="0.25">
      <c r="A3746" t="s">
        <v>2004</v>
      </c>
      <c r="B3746" t="s">
        <v>8</v>
      </c>
      <c r="F3746" s="8" t="s">
        <v>11769</v>
      </c>
      <c r="G3746" t="s">
        <v>1997</v>
      </c>
    </row>
  </sheetData>
  <phoneticPr fontId="2" type="noConversion"/>
  <conditionalFormatting sqref="C2:C11 C14 C16:C18 C23:C24">
    <cfRule type="notContainsText" dxfId="585" priority="530" operator="notContains" text="порожний">
      <formula>ISERROR(SEARCH("порожний",C2))</formula>
    </cfRule>
  </conditionalFormatting>
  <conditionalFormatting sqref="B11 A695 A697:A701 A825 B932 A3437:B3437 B3588:B3600">
    <cfRule type="containsText" dxfId="584" priority="529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583" priority="528" operator="notContains" text="порожний">
      <formula>ISERROR(SEARCH("порожний",C12))</formula>
    </cfRule>
  </conditionalFormatting>
  <conditionalFormatting sqref="B12:B14">
    <cfRule type="containsText" dxfId="582" priority="527" operator="containsText" text="Выезд с территории">
      <formula>NOT(ISERROR(SEARCH("Выезд с территории",B12)))</formula>
    </cfRule>
  </conditionalFormatting>
  <conditionalFormatting sqref="C15">
    <cfRule type="notContainsText" dxfId="581" priority="526" operator="notContains" text="порожний">
      <formula>ISERROR(SEARCH("порожний",C15))</formula>
    </cfRule>
  </conditionalFormatting>
  <conditionalFormatting sqref="C19:C22">
    <cfRule type="notContainsText" dxfId="580" priority="525" operator="notContains" text="порожний">
      <formula>ISERROR(SEARCH("порожний",C19))</formula>
    </cfRule>
  </conditionalFormatting>
  <conditionalFormatting sqref="C25">
    <cfRule type="notContainsText" dxfId="579" priority="524" operator="notContains" text="порожний">
      <formula>ISERROR(SEARCH("порожний",C25))</formula>
    </cfRule>
  </conditionalFormatting>
  <conditionalFormatting sqref="C26:C27">
    <cfRule type="notContainsText" dxfId="578" priority="523" operator="notContains" text="порожний">
      <formula>ISERROR(SEARCH("порожний",C26))</formula>
    </cfRule>
  </conditionalFormatting>
  <conditionalFormatting sqref="C29">
    <cfRule type="notContainsText" dxfId="577" priority="522" operator="notContains" text="порожний">
      <formula>ISERROR(SEARCH("порожний",C29))</formula>
    </cfRule>
  </conditionalFormatting>
  <conditionalFormatting sqref="C39">
    <cfRule type="notContainsText" dxfId="576" priority="517" operator="notContains" text="порожний">
      <formula>ISERROR(SEARCH("порожний",C39))</formula>
    </cfRule>
  </conditionalFormatting>
  <conditionalFormatting sqref="C32">
    <cfRule type="notContainsText" dxfId="575" priority="521" operator="notContains" text="порожний">
      <formula>ISERROR(SEARCH("порожний",C32))</formula>
    </cfRule>
  </conditionalFormatting>
  <conditionalFormatting sqref="C34">
    <cfRule type="notContainsText" dxfId="574" priority="520" operator="notContains" text="порожний">
      <formula>ISERROR(SEARCH("порожний",C34))</formula>
    </cfRule>
  </conditionalFormatting>
  <conditionalFormatting sqref="C36">
    <cfRule type="notContainsText" dxfId="573" priority="519" operator="notContains" text="порожний">
      <formula>ISERROR(SEARCH("порожний",C36))</formula>
    </cfRule>
  </conditionalFormatting>
  <conditionalFormatting sqref="C38">
    <cfRule type="notContainsText" dxfId="572" priority="518" operator="notContains" text="порожний">
      <formula>ISERROR(SEARCH("порожний",C38))</formula>
    </cfRule>
  </conditionalFormatting>
  <conditionalFormatting sqref="E147">
    <cfRule type="containsText" dxfId="571" priority="516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570" priority="515" operator="notContains" text="порожний">
      <formula>ISERROR(SEARCH("порожний",C581))</formula>
    </cfRule>
  </conditionalFormatting>
  <conditionalFormatting sqref="C586">
    <cfRule type="notContainsText" dxfId="569" priority="514" operator="notContains" text="порожний">
      <formula>ISERROR(SEARCH("порожний",C586))</formula>
    </cfRule>
  </conditionalFormatting>
  <conditionalFormatting sqref="B609">
    <cfRule type="containsText" dxfId="568" priority="513" operator="containsText" text="Выезд с территории">
      <formula>NOT(ISERROR(SEARCH("Выезд с территории",B609)))</formula>
    </cfRule>
  </conditionalFormatting>
  <conditionalFormatting sqref="B609 B932 B3437 B3588:B3600">
    <cfRule type="containsText" dxfId="567" priority="511" operator="containsText" text="Газель базы">
      <formula>NOT(ISERROR(SEARCH("Газель базы",B609)))</formula>
    </cfRule>
    <cfRule type="containsText" dxfId="566" priority="512" operator="containsText" text="Погрузчик базы">
      <formula>NOT(ISERROR(SEARCH("Погрузчик базы",B609)))</formula>
    </cfRule>
  </conditionalFormatting>
  <conditionalFormatting sqref="B609 B932 B3437 B3588:B3600">
    <cfRule type="containsText" dxfId="565" priority="510" operator="containsText" text="Трактор базы">
      <formula>NOT(ISERROR(SEARCH("Трактор базы",B609)))</formula>
    </cfRule>
  </conditionalFormatting>
  <conditionalFormatting sqref="B614">
    <cfRule type="containsText" dxfId="564" priority="506" operator="containsText" text="Трактор базы">
      <formula>NOT(ISERROR(SEARCH("Трактор базы",B614)))</formula>
    </cfRule>
  </conditionalFormatting>
  <conditionalFormatting sqref="B614">
    <cfRule type="containsText" dxfId="563" priority="509" operator="containsText" text="Выезд с территории">
      <formula>NOT(ISERROR(SEARCH("Выезд с территории",B614)))</formula>
    </cfRule>
  </conditionalFormatting>
  <conditionalFormatting sqref="B614">
    <cfRule type="containsText" dxfId="562" priority="507" operator="containsText" text="Газель базы">
      <formula>NOT(ISERROR(SEARCH("Газель базы",B614)))</formula>
    </cfRule>
    <cfRule type="containsText" dxfId="561" priority="508" operator="containsText" text="Погрузчик базы">
      <formula>NOT(ISERROR(SEARCH("Погрузчик базы",B614)))</formula>
    </cfRule>
  </conditionalFormatting>
  <conditionalFormatting sqref="C649">
    <cfRule type="notContainsText" dxfId="560" priority="505" operator="notContains" text="порожний">
      <formula>ISERROR(SEARCH("порожний",C649))</formula>
    </cfRule>
  </conditionalFormatting>
  <conditionalFormatting sqref="C655">
    <cfRule type="notContainsText" dxfId="559" priority="502" operator="notContains" text="порожний">
      <formula>ISERROR(SEARCH("порожний",C655))</formula>
    </cfRule>
  </conditionalFormatting>
  <conditionalFormatting sqref="C650">
    <cfRule type="notContainsText" dxfId="558" priority="504" operator="notContains" text="порожний">
      <formula>ISERROR(SEARCH("порожний",C650))</formula>
    </cfRule>
  </conditionalFormatting>
  <conditionalFormatting sqref="C654">
    <cfRule type="notContainsText" dxfId="557" priority="503" operator="notContains" text="порожний">
      <formula>ISERROR(SEARCH("порожний",C654))</formula>
    </cfRule>
  </conditionalFormatting>
  <conditionalFormatting sqref="A663:A666 A668:A670 A695 A697:A701 A825 A3437">
    <cfRule type="containsText" dxfId="556" priority="499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555" priority="501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554" priority="500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553" priority="496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552" priority="498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551" priority="497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550" priority="486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549" priority="495" operator="containsText" text="Выезд с территории">
      <formula>NOT(ISERROR(SEARCH("Выезд с территории",A681)))</formula>
    </cfRule>
  </conditionalFormatting>
  <conditionalFormatting sqref="A681">
    <cfRule type="containsText" dxfId="548" priority="494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547" priority="493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546" priority="489" operator="containsText" text="Трактор базы">
      <formula>NOT(ISERROR(SEARCH("Трактор базы",B682)))</formula>
    </cfRule>
  </conditionalFormatting>
  <conditionalFormatting sqref="B682">
    <cfRule type="containsText" dxfId="545" priority="492" operator="containsText" text="Выезд с территории">
      <formula>NOT(ISERROR(SEARCH("Выезд с территории",B682)))</formula>
    </cfRule>
  </conditionalFormatting>
  <conditionalFormatting sqref="B682">
    <cfRule type="containsText" dxfId="544" priority="490" operator="containsText" text="Газель базы">
      <formula>NOT(ISERROR(SEARCH("Газель базы",B682)))</formula>
    </cfRule>
    <cfRule type="containsText" dxfId="543" priority="491" operator="containsText" text="Погрузчик базы">
      <formula>NOT(ISERROR(SEARCH("Погрузчик базы",B682)))</formula>
    </cfRule>
  </conditionalFormatting>
  <conditionalFormatting sqref="A684:A687">
    <cfRule type="containsText" dxfId="542" priority="488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541" priority="487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540" priority="477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539" priority="479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538" priority="478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537" priority="474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536" priority="476" operator="containsText" text="Выезд с территории">
      <formula>NOT(ISERROR(SEARCH("Выезд с территории",A824)))</formula>
    </cfRule>
  </conditionalFormatting>
  <conditionalFormatting sqref="A824">
    <cfRule type="containsText" dxfId="535" priority="475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534" priority="470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533" priority="468" operator="containsText" text="Газель базы">
      <formula>NOT(ISERROR(SEARCH("Газель базы",B846)))</formula>
    </cfRule>
    <cfRule type="containsText" dxfId="532" priority="469" operator="containsText" text="Погрузчик базы">
      <formula>NOT(ISERROR(SEARCH("Погрузчик базы",B846)))</formula>
    </cfRule>
  </conditionalFormatting>
  <conditionalFormatting sqref="B846:B850">
    <cfRule type="containsText" dxfId="531" priority="467" operator="containsText" text="Трактор базы">
      <formula>NOT(ISERROR(SEARCH("Трактор базы",B846)))</formula>
    </cfRule>
  </conditionalFormatting>
  <conditionalFormatting sqref="A916:A917">
    <cfRule type="containsText" dxfId="530" priority="461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529" priority="466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528" priority="464" operator="containsText" text="Газель базы">
      <formula>NOT(ISERROR(SEARCH("Газель базы",B916)))</formula>
    </cfRule>
    <cfRule type="containsText" dxfId="527" priority="465" operator="containsText" text="Погрузчик базы">
      <formula>NOT(ISERROR(SEARCH("Погрузчик базы",B916)))</formula>
    </cfRule>
  </conditionalFormatting>
  <conditionalFormatting sqref="B916:B917">
    <cfRule type="containsText" dxfId="526" priority="463" operator="containsText" text="Трактор базы">
      <formula>NOT(ISERROR(SEARCH("Трактор базы",B916)))</formula>
    </cfRule>
  </conditionalFormatting>
  <conditionalFormatting sqref="A916:A917">
    <cfRule type="containsText" dxfId="525" priority="462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524" priority="460" operator="containsText" text="Выезд с территории">
      <formula>NOT(ISERROR(SEARCH("Выезд с территории",E916)))</formula>
    </cfRule>
  </conditionalFormatting>
  <conditionalFormatting sqref="A932">
    <cfRule type="containsText" dxfId="523" priority="437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522" priority="459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521" priority="457" operator="containsText" text="Газель базы">
      <formula>NOT(ISERROR(SEARCH("Газель базы",B918)))</formula>
    </cfRule>
    <cfRule type="containsText" dxfId="520" priority="458" operator="containsText" text="Погрузчик базы">
      <formula>NOT(ISERROR(SEARCH("Погрузчик базы",B918)))</formula>
    </cfRule>
  </conditionalFormatting>
  <conditionalFormatting sqref="B918:B924">
    <cfRule type="containsText" dxfId="519" priority="456" operator="containsText" text="Трактор базы">
      <formula>NOT(ISERROR(SEARCH("Трактор базы",B918)))</formula>
    </cfRule>
  </conditionalFormatting>
  <conditionalFormatting sqref="A918">
    <cfRule type="containsText" dxfId="518" priority="455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517" priority="454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516" priority="448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515" priority="453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514" priority="451" operator="containsText" text="Газель базы">
      <formula>NOT(ISERROR(SEARCH("Газель базы",B926)))</formula>
    </cfRule>
    <cfRule type="containsText" dxfId="513" priority="452" operator="containsText" text="Погрузчик базы">
      <formula>NOT(ISERROR(SEARCH("Погрузчик базы",B926)))</formula>
    </cfRule>
  </conditionalFormatting>
  <conditionalFormatting sqref="B926:B928">
    <cfRule type="containsText" dxfId="512" priority="450" operator="containsText" text="Трактор базы">
      <formula>NOT(ISERROR(SEARCH("Трактор базы",B926)))</formula>
    </cfRule>
  </conditionalFormatting>
  <conditionalFormatting sqref="A926:A928">
    <cfRule type="containsText" dxfId="511" priority="449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510" priority="447" operator="containsText" text="Выезд с территории">
      <formula>NOT(ISERROR(SEARCH("Выезд с территории",E926)))</formula>
    </cfRule>
  </conditionalFormatting>
  <conditionalFormatting sqref="A930">
    <cfRule type="containsText" dxfId="509" priority="441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508" priority="446" operator="containsText" text="Выезд с территории">
      <formula>NOT(ISERROR(SEARCH("Выезд с территории",A930)))</formula>
    </cfRule>
  </conditionalFormatting>
  <conditionalFormatting sqref="B930">
    <cfRule type="containsText" dxfId="507" priority="444" operator="containsText" text="Газель базы">
      <formula>NOT(ISERROR(SEARCH("Газель базы",B930)))</formula>
    </cfRule>
    <cfRule type="containsText" dxfId="506" priority="445" operator="containsText" text="Погрузчик базы">
      <formula>NOT(ISERROR(SEARCH("Погрузчик базы",B930)))</formula>
    </cfRule>
  </conditionalFormatting>
  <conditionalFormatting sqref="B930">
    <cfRule type="containsText" dxfId="505" priority="443" operator="containsText" text="Трактор базы">
      <formula>NOT(ISERROR(SEARCH("Трактор базы",B930)))</formula>
    </cfRule>
  </conditionalFormatting>
  <conditionalFormatting sqref="A930">
    <cfRule type="containsText" dxfId="504" priority="442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503" priority="440" operator="containsText" text="Выезд с территории">
      <formula>NOT(ISERROR(SEARCH("Выезд с территории",E930)))</formula>
    </cfRule>
  </conditionalFormatting>
  <conditionalFormatting sqref="A932">
    <cfRule type="containsText" dxfId="502" priority="439" operator="containsText" text="Выезд с территории">
      <formula>NOT(ISERROR(SEARCH("Выезд с территории",A932)))</formula>
    </cfRule>
  </conditionalFormatting>
  <conditionalFormatting sqref="A932">
    <cfRule type="containsText" dxfId="501" priority="438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500" priority="434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499" priority="436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498" priority="435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497" priority="433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496" priority="432" operator="notContains" text="порожний">
      <formula>ISERROR(SEARCH("порожний",C954))</formula>
    </cfRule>
  </conditionalFormatting>
  <conditionalFormatting sqref="B954:B956">
    <cfRule type="containsText" dxfId="495" priority="430" operator="containsText" text="Газель базы">
      <formula>NOT(ISERROR(SEARCH("Газель базы",B954)))</formula>
    </cfRule>
    <cfRule type="containsText" dxfId="494" priority="431" operator="containsText" text="Погрузчик базы">
      <formula>NOT(ISERROR(SEARCH("Погрузчик базы",B954)))</formula>
    </cfRule>
  </conditionalFormatting>
  <conditionalFormatting sqref="B954:B956">
    <cfRule type="containsText" dxfId="493" priority="429" operator="containsText" text="Трактор базы">
      <formula>NOT(ISERROR(SEARCH("Трактор базы",B954)))</formula>
    </cfRule>
  </conditionalFormatting>
  <conditionalFormatting sqref="A954:A956">
    <cfRule type="containsText" dxfId="492" priority="428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491" priority="427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490" priority="425" operator="notContains" text="порожний">
      <formula>ISERROR(SEARCH("порожний",C995))</formula>
    </cfRule>
  </conditionalFormatting>
  <conditionalFormatting sqref="C987">
    <cfRule type="notContainsText" dxfId="489" priority="426" operator="notContains" text="порожний">
      <formula>ISERROR(SEARCH("порожний",C987))</formula>
    </cfRule>
  </conditionalFormatting>
  <conditionalFormatting sqref="B999">
    <cfRule type="containsText" dxfId="488" priority="424" operator="containsText" text="Выезд с территории">
      <formula>NOT(ISERROR(SEARCH("Выезд с территории",B999)))</formula>
    </cfRule>
  </conditionalFormatting>
  <conditionalFormatting sqref="B999">
    <cfRule type="containsText" dxfId="487" priority="422" operator="containsText" text="Газель базы">
      <formula>NOT(ISERROR(SEARCH("Газель базы",B999)))</formula>
    </cfRule>
    <cfRule type="containsText" dxfId="486" priority="423" operator="containsText" text="Погрузчик базы">
      <formula>NOT(ISERROR(SEARCH("Погрузчик базы",B999)))</formula>
    </cfRule>
  </conditionalFormatting>
  <conditionalFormatting sqref="B999">
    <cfRule type="containsText" dxfId="485" priority="421" operator="containsText" text="Трактор базы">
      <formula>NOT(ISERROR(SEARCH("Трактор базы",B999)))</formula>
    </cfRule>
  </conditionalFormatting>
  <conditionalFormatting sqref="B1019:B1022">
    <cfRule type="containsText" dxfId="484" priority="417" operator="containsText" text="Трактор базы">
      <formula>NOT(ISERROR(SEARCH("Трактор базы",B1019)))</formula>
    </cfRule>
  </conditionalFormatting>
  <conditionalFormatting sqref="B1019:B1022">
    <cfRule type="containsText" dxfId="483" priority="420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482" priority="418" operator="containsText" text="Газель базы">
      <formula>NOT(ISERROR(SEARCH("Газель базы",B1019)))</formula>
    </cfRule>
    <cfRule type="containsText" dxfId="481" priority="419" operator="containsText" text="Погрузчик базы">
      <formula>NOT(ISERROR(SEARCH("Погрузчик базы",B1019)))</formula>
    </cfRule>
  </conditionalFormatting>
  <conditionalFormatting sqref="C966">
    <cfRule type="notContainsText" dxfId="480" priority="416" operator="notContains" text="порожний">
      <formula>ISERROR(SEARCH("порожний",C966))</formula>
    </cfRule>
  </conditionalFormatting>
  <conditionalFormatting sqref="A1029">
    <cfRule type="containsText" dxfId="479" priority="413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478" priority="415" operator="containsText" text="Выезд с территории">
      <formula>NOT(ISERROR(SEARCH("Выезд с территории",A1029)))</formula>
    </cfRule>
  </conditionalFormatting>
  <conditionalFormatting sqref="A1029">
    <cfRule type="containsText" dxfId="477" priority="414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476" priority="412" operator="containsText" text="Выезд с территории">
      <formula>NOT(ISERROR(SEARCH("Выезд с территории",B1030)))</formula>
    </cfRule>
  </conditionalFormatting>
  <conditionalFormatting sqref="B1030">
    <cfRule type="containsText" dxfId="475" priority="410" operator="containsText" text="Газель базы">
      <formula>NOT(ISERROR(SEARCH("Газель базы",B1030)))</formula>
    </cfRule>
    <cfRule type="containsText" dxfId="474" priority="411" operator="containsText" text="Погрузчик базы">
      <formula>NOT(ISERROR(SEARCH("Погрузчик базы",B1030)))</formula>
    </cfRule>
  </conditionalFormatting>
  <conditionalFormatting sqref="B1030">
    <cfRule type="containsText" dxfId="473" priority="409" operator="containsText" text="Трактор базы">
      <formula>NOT(ISERROR(SEARCH("Трактор базы",B1030)))</formula>
    </cfRule>
  </conditionalFormatting>
  <conditionalFormatting sqref="A1035">
    <cfRule type="containsText" dxfId="472" priority="403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471" priority="406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470" priority="408" operator="containsText" text="Выезд с территории">
      <formula>NOT(ISERROR(SEARCH("Выезд с территории",A1033)))</formula>
    </cfRule>
  </conditionalFormatting>
  <conditionalFormatting sqref="A1033">
    <cfRule type="containsText" dxfId="469" priority="407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468" priority="405" operator="containsText" text="Выезд с территории">
      <formula>NOT(ISERROR(SEARCH("Выезд с территории",A1035)))</formula>
    </cfRule>
  </conditionalFormatting>
  <conditionalFormatting sqref="A1035">
    <cfRule type="containsText" dxfId="467" priority="404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466" priority="402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465" priority="400" operator="containsText" text="Газель базы">
      <formula>NOT(ISERROR(SEARCH("Газель базы",B1138)))</formula>
    </cfRule>
    <cfRule type="containsText" dxfId="464" priority="401" operator="containsText" text="Погрузчик базы">
      <formula>NOT(ISERROR(SEARCH("Погрузчик базы",B1138)))</formula>
    </cfRule>
  </conditionalFormatting>
  <conditionalFormatting sqref="B1138:B1161">
    <cfRule type="containsText" dxfId="463" priority="399" operator="containsText" text="Трактор базы">
      <formula>NOT(ISERROR(SEARCH("Трактор базы",B1138)))</formula>
    </cfRule>
  </conditionalFormatting>
  <conditionalFormatting sqref="B1258:B1262">
    <cfRule type="containsText" dxfId="462" priority="383" operator="containsText" text="Трактор базы">
      <formula>NOT(ISERROR(SEARCH("Трактор базы",B1258)))</formula>
    </cfRule>
  </conditionalFormatting>
  <conditionalFormatting sqref="B1244:B1252">
    <cfRule type="containsText" dxfId="461" priority="398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460" priority="396" operator="containsText" text="Газель базы">
      <formula>NOT(ISERROR(SEARCH("Газель базы",B1244)))</formula>
    </cfRule>
    <cfRule type="containsText" dxfId="459" priority="397" operator="containsText" text="Погрузчик базы">
      <formula>NOT(ISERROR(SEARCH("Погрузчик базы",B1244)))</formula>
    </cfRule>
  </conditionalFormatting>
  <conditionalFormatting sqref="B1244:B1252">
    <cfRule type="containsText" dxfId="458" priority="395" operator="containsText" text="Трактор базы">
      <formula>NOT(ISERROR(SEARCH("Трактор базы",B1244)))</formula>
    </cfRule>
  </conditionalFormatting>
  <conditionalFormatting sqref="B1253:B1256">
    <cfRule type="containsText" dxfId="457" priority="394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456" priority="392" operator="containsText" text="Газель базы">
      <formula>NOT(ISERROR(SEARCH("Газель базы",B1253)))</formula>
    </cfRule>
    <cfRule type="containsText" dxfId="455" priority="393" operator="containsText" text="Погрузчик базы">
      <formula>NOT(ISERROR(SEARCH("Погрузчик базы",B1253)))</formula>
    </cfRule>
  </conditionalFormatting>
  <conditionalFormatting sqref="B1253:B1256">
    <cfRule type="containsText" dxfId="454" priority="391" operator="containsText" text="Трактор базы">
      <formula>NOT(ISERROR(SEARCH("Трактор базы",B1253)))</formula>
    </cfRule>
  </conditionalFormatting>
  <conditionalFormatting sqref="B1257">
    <cfRule type="containsText" dxfId="453" priority="390" operator="containsText" text="Выезд с территории">
      <formula>NOT(ISERROR(SEARCH("Выезд с территории",B1257)))</formula>
    </cfRule>
  </conditionalFormatting>
  <conditionalFormatting sqref="B1257">
    <cfRule type="containsText" dxfId="452" priority="388" operator="containsText" text="Газель базы">
      <formula>NOT(ISERROR(SEARCH("Газель базы",B1257)))</formula>
    </cfRule>
    <cfRule type="containsText" dxfId="451" priority="389" operator="containsText" text="Погрузчик базы">
      <formula>NOT(ISERROR(SEARCH("Погрузчик базы",B1257)))</formula>
    </cfRule>
  </conditionalFormatting>
  <conditionalFormatting sqref="B1257">
    <cfRule type="containsText" dxfId="450" priority="387" operator="containsText" text="Трактор базы">
      <formula>NOT(ISERROR(SEARCH("Трактор базы",B1257)))</formula>
    </cfRule>
  </conditionalFormatting>
  <conditionalFormatting sqref="B1258:B1262">
    <cfRule type="containsText" dxfId="449" priority="386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448" priority="384" operator="containsText" text="Газель базы">
      <formula>NOT(ISERROR(SEARCH("Газель базы",B1258)))</formula>
    </cfRule>
    <cfRule type="containsText" dxfId="447" priority="385" operator="containsText" text="Погрузчик базы">
      <formula>NOT(ISERROR(SEARCH("Погрузчик базы",B1258)))</formula>
    </cfRule>
  </conditionalFormatting>
  <conditionalFormatting sqref="B1281:B1287">
    <cfRule type="containsText" dxfId="446" priority="382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445" priority="380" operator="containsText" text="Газель базы">
      <formula>NOT(ISERROR(SEARCH("Газель базы",B1281)))</formula>
    </cfRule>
    <cfRule type="containsText" dxfId="444" priority="381" operator="containsText" text="Погрузчик базы">
      <formula>NOT(ISERROR(SEARCH("Погрузчик базы",B1281)))</formula>
    </cfRule>
  </conditionalFormatting>
  <conditionalFormatting sqref="B1281:B1287">
    <cfRule type="containsText" dxfId="443" priority="379" operator="containsText" text="Трактор базы">
      <formula>NOT(ISERROR(SEARCH("Трактор базы",B1281)))</formula>
    </cfRule>
  </conditionalFormatting>
  <conditionalFormatting sqref="B1296">
    <cfRule type="containsText" dxfId="442" priority="375" operator="containsText" text="Трактор базы">
      <formula>NOT(ISERROR(SEARCH("Трактор базы",B1296)))</formula>
    </cfRule>
  </conditionalFormatting>
  <conditionalFormatting sqref="B1296">
    <cfRule type="containsText" dxfId="441" priority="378" operator="containsText" text="Выезд с территории">
      <formula>NOT(ISERROR(SEARCH("Выезд с территории",B1296)))</formula>
    </cfRule>
  </conditionalFormatting>
  <conditionalFormatting sqref="B1296">
    <cfRule type="containsText" dxfId="440" priority="376" operator="containsText" text="Газель базы">
      <formula>NOT(ISERROR(SEARCH("Газель базы",B1296)))</formula>
    </cfRule>
    <cfRule type="containsText" dxfId="439" priority="377" operator="containsText" text="Погрузчик базы">
      <formula>NOT(ISERROR(SEARCH("Погрузчик базы",B1296)))</formula>
    </cfRule>
  </conditionalFormatting>
  <conditionalFormatting sqref="C1320:C1321">
    <cfRule type="notContainsText" dxfId="438" priority="373" operator="notContains" text="порожний">
      <formula>ISERROR(SEARCH("порожний",C1320))</formula>
    </cfRule>
  </conditionalFormatting>
  <conditionalFormatting sqref="A1323">
    <cfRule type="containsText" dxfId="437" priority="367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436" priority="370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435" priority="372" operator="containsText" text="Выезд с территории">
      <formula>NOT(ISERROR(SEARCH("Выезд с территории",A1322)))</formula>
    </cfRule>
  </conditionalFormatting>
  <conditionalFormatting sqref="A1322">
    <cfRule type="containsText" dxfId="434" priority="371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433" priority="369" operator="containsText" text="Выезд с территории">
      <formula>NOT(ISERROR(SEARCH("Выезд с территории",A1323)))</formula>
    </cfRule>
  </conditionalFormatting>
  <conditionalFormatting sqref="A1323">
    <cfRule type="containsText" dxfId="432" priority="368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431" priority="366" operator="notContains" text="порожний">
      <formula>ISERROR(SEARCH("порожний",C1336))</formula>
    </cfRule>
  </conditionalFormatting>
  <conditionalFormatting sqref="C1346">
    <cfRule type="notContainsText" dxfId="430" priority="365" operator="notContains" text="порожний">
      <formula>ISERROR(SEARCH("порожний",C1346))</formula>
    </cfRule>
  </conditionalFormatting>
  <conditionalFormatting sqref="A1391">
    <cfRule type="containsText" dxfId="429" priority="359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428" priority="361" operator="containsText" text="Выезд с территории">
      <formula>NOT(ISERROR(SEARCH("Выезд с территории",A1391)))</formula>
    </cfRule>
  </conditionalFormatting>
  <conditionalFormatting sqref="A1391">
    <cfRule type="containsText" dxfId="427" priority="360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426" priority="356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425" priority="358" operator="containsText" text="Выезд с территории">
      <formula>NOT(ISERROR(SEARCH("Выезд с территории",A1398)))</formula>
    </cfRule>
  </conditionalFormatting>
  <conditionalFormatting sqref="A1398">
    <cfRule type="containsText" dxfId="424" priority="357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423" priority="355" operator="notContains" text="порожний">
      <formula>ISERROR(SEARCH("порожний",C1606))</formula>
    </cfRule>
  </conditionalFormatting>
  <conditionalFormatting sqref="B1633:B1636">
    <cfRule type="containsText" dxfId="422" priority="354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421" priority="352" operator="containsText" text="Газель базы">
      <formula>NOT(ISERROR(SEARCH("Газель базы",B1633)))</formula>
    </cfRule>
    <cfRule type="containsText" dxfId="420" priority="353" operator="containsText" text="Погрузчик базы">
      <formula>NOT(ISERROR(SEARCH("Погрузчик базы",B1633)))</formula>
    </cfRule>
  </conditionalFormatting>
  <conditionalFormatting sqref="B1633:B1636">
    <cfRule type="containsText" dxfId="419" priority="351" operator="containsText" text="Трактор базы">
      <formula>NOT(ISERROR(SEARCH("Трактор базы",B1633)))</formula>
    </cfRule>
  </conditionalFormatting>
  <conditionalFormatting sqref="B1637:B1642">
    <cfRule type="containsText" dxfId="418" priority="350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417" priority="348" operator="containsText" text="Газель базы">
      <formula>NOT(ISERROR(SEARCH("Газель базы",B1637)))</formula>
    </cfRule>
    <cfRule type="containsText" dxfId="416" priority="349" operator="containsText" text="Погрузчик базы">
      <formula>NOT(ISERROR(SEARCH("Погрузчик базы",B1637)))</formula>
    </cfRule>
  </conditionalFormatting>
  <conditionalFormatting sqref="B1637:B1642">
    <cfRule type="containsText" dxfId="415" priority="347" operator="containsText" text="Трактор базы">
      <formula>NOT(ISERROR(SEARCH("Трактор базы",B1637)))</formula>
    </cfRule>
  </conditionalFormatting>
  <conditionalFormatting sqref="B1671:B1672">
    <cfRule type="containsText" dxfId="414" priority="343" operator="containsText" text="Трактор базы">
      <formula>NOT(ISERROR(SEARCH("Трактор базы",B1671)))</formula>
    </cfRule>
  </conditionalFormatting>
  <conditionalFormatting sqref="B1671:B1672">
    <cfRule type="containsText" dxfId="413" priority="346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412" priority="344" operator="containsText" text="Газель базы">
      <formula>NOT(ISERROR(SEARCH("Газель базы",B1671)))</formula>
    </cfRule>
    <cfRule type="containsText" dxfId="411" priority="345" operator="containsText" text="Погрузчик базы">
      <formula>NOT(ISERROR(SEARCH("Погрузчик базы",B1671)))</formula>
    </cfRule>
  </conditionalFormatting>
  <conditionalFormatting sqref="B1675">
    <cfRule type="containsText" dxfId="410" priority="339" operator="containsText" text="Трактор базы">
      <formula>NOT(ISERROR(SEARCH("Трактор базы",B1675)))</formula>
    </cfRule>
  </conditionalFormatting>
  <conditionalFormatting sqref="B1675">
    <cfRule type="containsText" dxfId="409" priority="342" operator="containsText" text="Выезд с территории">
      <formula>NOT(ISERROR(SEARCH("Выезд с территории",B1675)))</formula>
    </cfRule>
  </conditionalFormatting>
  <conditionalFormatting sqref="B1675">
    <cfRule type="containsText" dxfId="408" priority="340" operator="containsText" text="Газель базы">
      <formula>NOT(ISERROR(SEARCH("Газель базы",B1675)))</formula>
    </cfRule>
    <cfRule type="containsText" dxfId="407" priority="341" operator="containsText" text="Погрузчик базы">
      <formula>NOT(ISERROR(SEARCH("Погрузчик базы",B1675)))</formula>
    </cfRule>
  </conditionalFormatting>
  <conditionalFormatting sqref="A1678">
    <cfRule type="containsText" dxfId="406" priority="336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405" priority="338" operator="containsText" text="Выезд с территории">
      <formula>NOT(ISERROR(SEARCH("Выезд с территории",A1678)))</formula>
    </cfRule>
  </conditionalFormatting>
  <conditionalFormatting sqref="A1678">
    <cfRule type="containsText" dxfId="404" priority="337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403" priority="335" operator="notContains" text="порожний">
      <formula>ISERROR(SEARCH("порожний",C1723))</formula>
    </cfRule>
  </conditionalFormatting>
  <conditionalFormatting sqref="C1725:C1726">
    <cfRule type="notContainsText" dxfId="402" priority="334" operator="notContains" text="порожний">
      <formula>ISERROR(SEARCH("порожний",C1725))</formula>
    </cfRule>
  </conditionalFormatting>
  <conditionalFormatting sqref="C1727">
    <cfRule type="notContainsText" dxfId="401" priority="333" operator="notContains" text="порожний">
      <formula>ISERROR(SEARCH("порожний",C1727))</formula>
    </cfRule>
  </conditionalFormatting>
  <conditionalFormatting sqref="C1728">
    <cfRule type="notContainsText" dxfId="400" priority="332" operator="notContains" text="порожний">
      <formula>ISERROR(SEARCH("порожний",C1728))</formula>
    </cfRule>
  </conditionalFormatting>
  <conditionalFormatting sqref="B1732:B1733">
    <cfRule type="containsText" dxfId="399" priority="331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398" priority="329" operator="containsText" text="Газель базы">
      <formula>NOT(ISERROR(SEARCH("Газель базы",B1732)))</formula>
    </cfRule>
    <cfRule type="containsText" dxfId="397" priority="330" operator="containsText" text="Погрузчик базы">
      <formula>NOT(ISERROR(SEARCH("Погрузчик базы",B1732)))</formula>
    </cfRule>
  </conditionalFormatting>
  <conditionalFormatting sqref="B1732:B1733">
    <cfRule type="containsText" dxfId="396" priority="328" operator="containsText" text="Трактор базы">
      <formula>NOT(ISERROR(SEARCH("Трактор базы",B1732)))</formula>
    </cfRule>
  </conditionalFormatting>
  <conditionalFormatting sqref="B1734:B1735">
    <cfRule type="containsText" dxfId="395" priority="327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394" priority="325" operator="containsText" text="Газель базы">
      <formula>NOT(ISERROR(SEARCH("Газель базы",B1734)))</formula>
    </cfRule>
    <cfRule type="containsText" dxfId="393" priority="326" operator="containsText" text="Погрузчик базы">
      <formula>NOT(ISERROR(SEARCH("Погрузчик базы",B1734)))</formula>
    </cfRule>
  </conditionalFormatting>
  <conditionalFormatting sqref="B1734:B1735">
    <cfRule type="containsText" dxfId="392" priority="324" operator="containsText" text="Трактор базы">
      <formula>NOT(ISERROR(SEARCH("Трактор базы",B1734)))</formula>
    </cfRule>
  </conditionalFormatting>
  <conditionalFormatting sqref="B1762:B1764">
    <cfRule type="containsText" dxfId="391" priority="310" operator="containsText" text="Трактор базы">
      <formula>NOT(ISERROR(SEARCH("Трактор базы",B1762)))</formula>
    </cfRule>
  </conditionalFormatting>
  <conditionalFormatting sqref="B1740:B1741">
    <cfRule type="containsText" dxfId="390" priority="323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389" priority="321" operator="containsText" text="Газель базы">
      <formula>NOT(ISERROR(SEARCH("Газель базы",B1740)))</formula>
    </cfRule>
    <cfRule type="containsText" dxfId="388" priority="322" operator="containsText" text="Погрузчик базы">
      <formula>NOT(ISERROR(SEARCH("Погрузчик базы",B1740)))</formula>
    </cfRule>
  </conditionalFormatting>
  <conditionalFormatting sqref="B1740:B1741">
    <cfRule type="containsText" dxfId="387" priority="320" operator="containsText" text="Трактор базы">
      <formula>NOT(ISERROR(SEARCH("Трактор базы",B1740)))</formula>
    </cfRule>
  </conditionalFormatting>
  <conditionalFormatting sqref="A1755">
    <cfRule type="containsText" dxfId="386" priority="317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385" priority="319" operator="containsText" text="Выезд с территории">
      <formula>NOT(ISERROR(SEARCH("Выезд с территории",A1755)))</formula>
    </cfRule>
  </conditionalFormatting>
  <conditionalFormatting sqref="A1755">
    <cfRule type="containsText" dxfId="384" priority="318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383" priority="314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382" priority="316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381" priority="315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380" priority="301" operator="containsText" text="Трактор базы">
      <formula>NOT(ISERROR(SEARCH("Трактор базы",B1773)))</formula>
    </cfRule>
  </conditionalFormatting>
  <conditionalFormatting sqref="B1762:B1764">
    <cfRule type="containsText" dxfId="379" priority="313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378" priority="311" operator="containsText" text="Газель базы">
      <formula>NOT(ISERROR(SEARCH("Газель базы",B1762)))</formula>
    </cfRule>
    <cfRule type="containsText" dxfId="377" priority="312" operator="containsText" text="Погрузчик базы">
      <formula>NOT(ISERROR(SEARCH("Погрузчик базы",B1762)))</formula>
    </cfRule>
  </conditionalFormatting>
  <conditionalFormatting sqref="B1776:B1777">
    <cfRule type="containsText" dxfId="376" priority="292" operator="containsText" text="Трактор базы">
      <formula>NOT(ISERROR(SEARCH("Трактор базы",B1776)))</formula>
    </cfRule>
  </conditionalFormatting>
  <conditionalFormatting sqref="B1770:B1771">
    <cfRule type="containsText" dxfId="375" priority="309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374" priority="307" operator="containsText" text="Газель базы">
      <formula>NOT(ISERROR(SEARCH("Газель базы",B1770)))</formula>
    </cfRule>
    <cfRule type="containsText" dxfId="373" priority="308" operator="containsText" text="Погрузчик базы">
      <formula>NOT(ISERROR(SEARCH("Погрузчик базы",B1770)))</formula>
    </cfRule>
  </conditionalFormatting>
  <conditionalFormatting sqref="B1770:B1771">
    <cfRule type="containsText" dxfId="372" priority="306" operator="containsText" text="Трактор базы">
      <formula>NOT(ISERROR(SEARCH("Трактор базы",B1770)))</formula>
    </cfRule>
  </conditionalFormatting>
  <conditionalFormatting sqref="B1773">
    <cfRule type="containsText" dxfId="371" priority="305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370" priority="304" operator="notContains" text="порожний">
      <formula>ISERROR(SEARCH("порожний",C1773))</formula>
    </cfRule>
  </conditionalFormatting>
  <conditionalFormatting sqref="B1773">
    <cfRule type="containsText" dxfId="369" priority="302" operator="containsText" text="Газель базы">
      <formula>NOT(ISERROR(SEARCH("Газель базы",B1773)))</formula>
    </cfRule>
    <cfRule type="containsText" dxfId="368" priority="303" operator="containsText" text="Погрузчик базы">
      <formula>NOT(ISERROR(SEARCH("Погрузчик базы",B1773)))</formula>
    </cfRule>
  </conditionalFormatting>
  <conditionalFormatting sqref="B1775">
    <cfRule type="containsText" dxfId="367" priority="296" operator="containsText" text="Трактор базы">
      <formula>NOT(ISERROR(SEARCH("Трактор базы",B1775)))</formula>
    </cfRule>
  </conditionalFormatting>
  <conditionalFormatting sqref="B1775">
    <cfRule type="containsText" dxfId="366" priority="300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365" priority="299" operator="notContains" text="порожний">
      <formula>ISERROR(SEARCH("порожний",C1775))</formula>
    </cfRule>
  </conditionalFormatting>
  <conditionalFormatting sqref="B1775">
    <cfRule type="containsText" dxfId="364" priority="297" operator="containsText" text="Газель базы">
      <formula>NOT(ISERROR(SEARCH("Газель базы",B1775)))</formula>
    </cfRule>
    <cfRule type="containsText" dxfId="363" priority="298" operator="containsText" text="Погрузчик базы">
      <formula>NOT(ISERROR(SEARCH("Погрузчик базы",B1775)))</formula>
    </cfRule>
  </conditionalFormatting>
  <conditionalFormatting sqref="B1776:B1777">
    <cfRule type="containsText" dxfId="362" priority="295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361" priority="293" operator="containsText" text="Газель базы">
      <formula>NOT(ISERROR(SEARCH("Газель базы",B1776)))</formula>
    </cfRule>
    <cfRule type="containsText" dxfId="360" priority="294" operator="containsText" text="Погрузчик базы">
      <formula>NOT(ISERROR(SEARCH("Погрузчик базы",B1776)))</formula>
    </cfRule>
  </conditionalFormatting>
  <conditionalFormatting sqref="B1891">
    <cfRule type="containsText" dxfId="359" priority="284" operator="containsText" text="Трактор базы">
      <formula>NOT(ISERROR(SEARCH("Трактор базы",B1891)))</formula>
    </cfRule>
  </conditionalFormatting>
  <conditionalFormatting sqref="B1889">
    <cfRule type="containsText" dxfId="358" priority="291" operator="containsText" text="Выезд с территории">
      <formula>NOT(ISERROR(SEARCH("Выезд с территории",B1889)))</formula>
    </cfRule>
  </conditionalFormatting>
  <conditionalFormatting sqref="B1889">
    <cfRule type="containsText" dxfId="357" priority="289" operator="containsText" text="Газель базы">
      <formula>NOT(ISERROR(SEARCH("Газель базы",B1889)))</formula>
    </cfRule>
    <cfRule type="containsText" dxfId="356" priority="290" operator="containsText" text="Погрузчик базы">
      <formula>NOT(ISERROR(SEARCH("Погрузчик базы",B1889)))</formula>
    </cfRule>
  </conditionalFormatting>
  <conditionalFormatting sqref="B1889">
    <cfRule type="containsText" dxfId="355" priority="288" operator="containsText" text="Трактор базы">
      <formula>NOT(ISERROR(SEARCH("Трактор базы",B1889)))</formula>
    </cfRule>
  </conditionalFormatting>
  <conditionalFormatting sqref="B1891">
    <cfRule type="containsText" dxfId="354" priority="287" operator="containsText" text="Выезд с территории">
      <formula>NOT(ISERROR(SEARCH("Выезд с территории",B1891)))</formula>
    </cfRule>
  </conditionalFormatting>
  <conditionalFormatting sqref="B1891">
    <cfRule type="containsText" dxfId="353" priority="285" operator="containsText" text="Газель базы">
      <formula>NOT(ISERROR(SEARCH("Газель базы",B1891)))</formula>
    </cfRule>
    <cfRule type="containsText" dxfId="352" priority="286" operator="containsText" text="Погрузчик базы">
      <formula>NOT(ISERROR(SEARCH("Погрузчик базы",B1891)))</formula>
    </cfRule>
  </conditionalFormatting>
  <conditionalFormatting sqref="B1920">
    <cfRule type="containsText" dxfId="351" priority="272" operator="containsText" text="Трактор базы">
      <formula>NOT(ISERROR(SEARCH("Трактор базы",B1920)))</formula>
    </cfRule>
  </conditionalFormatting>
  <conditionalFormatting sqref="B1904:B1914">
    <cfRule type="containsText" dxfId="350" priority="283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349" priority="281" operator="containsText" text="Газель базы">
      <formula>NOT(ISERROR(SEARCH("Газель базы",B1904)))</formula>
    </cfRule>
    <cfRule type="containsText" dxfId="348" priority="282" operator="containsText" text="Погрузчик базы">
      <formula>NOT(ISERROR(SEARCH("Погрузчик базы",B1904)))</formula>
    </cfRule>
  </conditionalFormatting>
  <conditionalFormatting sqref="B1904:B1914">
    <cfRule type="containsText" dxfId="347" priority="280" operator="containsText" text="Трактор базы">
      <formula>NOT(ISERROR(SEARCH("Трактор базы",B1904)))</formula>
    </cfRule>
  </conditionalFormatting>
  <conditionalFormatting sqref="B1915:B1919">
    <cfRule type="containsText" dxfId="346" priority="279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345" priority="277" operator="containsText" text="Газель базы">
      <formula>NOT(ISERROR(SEARCH("Газель базы",B1915)))</formula>
    </cfRule>
    <cfRule type="containsText" dxfId="344" priority="278" operator="containsText" text="Погрузчик базы">
      <formula>NOT(ISERROR(SEARCH("Погрузчик базы",B1915)))</formula>
    </cfRule>
  </conditionalFormatting>
  <conditionalFormatting sqref="B1915:B1919">
    <cfRule type="containsText" dxfId="343" priority="276" operator="containsText" text="Трактор базы">
      <formula>NOT(ISERROR(SEARCH("Трактор базы",B1915)))</formula>
    </cfRule>
  </conditionalFormatting>
  <conditionalFormatting sqref="B1920">
    <cfRule type="containsText" dxfId="342" priority="275" operator="containsText" text="Выезд с территории">
      <formula>NOT(ISERROR(SEARCH("Выезд с территории",B1920)))</formula>
    </cfRule>
  </conditionalFormatting>
  <conditionalFormatting sqref="B1920">
    <cfRule type="containsText" dxfId="341" priority="273" operator="containsText" text="Газель базы">
      <formula>NOT(ISERROR(SEARCH("Газель базы",B1920)))</formula>
    </cfRule>
    <cfRule type="containsText" dxfId="340" priority="274" operator="containsText" text="Погрузчик базы">
      <formula>NOT(ISERROR(SEARCH("Погрузчик базы",B1920)))</formula>
    </cfRule>
  </conditionalFormatting>
  <conditionalFormatting sqref="B1939">
    <cfRule type="containsText" dxfId="339" priority="268" operator="containsText" text="Трактор базы">
      <formula>NOT(ISERROR(SEARCH("Трактор базы",B1939)))</formula>
    </cfRule>
  </conditionalFormatting>
  <conditionalFormatting sqref="B1939">
    <cfRule type="containsText" dxfId="338" priority="271" operator="containsText" text="Выезд с территории">
      <formula>NOT(ISERROR(SEARCH("Выезд с территории",B1939)))</formula>
    </cfRule>
  </conditionalFormatting>
  <conditionalFormatting sqref="B1939">
    <cfRule type="containsText" dxfId="337" priority="269" operator="containsText" text="Газель базы">
      <formula>NOT(ISERROR(SEARCH("Газель базы",B1939)))</formula>
    </cfRule>
    <cfRule type="containsText" dxfId="336" priority="270" operator="containsText" text="Погрузчик базы">
      <formula>NOT(ISERROR(SEARCH("Погрузчик базы",B1939)))</formula>
    </cfRule>
  </conditionalFormatting>
  <conditionalFormatting sqref="A1943">
    <cfRule type="containsText" dxfId="335" priority="265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334" priority="267" operator="containsText" text="Выезд с территории">
      <formula>NOT(ISERROR(SEARCH("Выезд с территории",A1943)))</formula>
    </cfRule>
  </conditionalFormatting>
  <conditionalFormatting sqref="A1943">
    <cfRule type="containsText" dxfId="333" priority="266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332" priority="249" operator="containsText" text="Трактор базы">
      <formula>NOT(ISERROR(SEARCH("Трактор базы",B1977)))</formula>
    </cfRule>
  </conditionalFormatting>
  <conditionalFormatting sqref="B1974">
    <cfRule type="containsText" dxfId="331" priority="264" operator="containsText" text="Выезд с территории">
      <formula>NOT(ISERROR(SEARCH("Выезд с территории",B1974)))</formula>
    </cfRule>
  </conditionalFormatting>
  <conditionalFormatting sqref="B1974">
    <cfRule type="containsText" dxfId="330" priority="262" operator="containsText" text="Газель базы">
      <formula>NOT(ISERROR(SEARCH("Газель базы",B1974)))</formula>
    </cfRule>
    <cfRule type="containsText" dxfId="329" priority="263" operator="containsText" text="Погрузчик базы">
      <formula>NOT(ISERROR(SEARCH("Погрузчик базы",B1974)))</formula>
    </cfRule>
  </conditionalFormatting>
  <conditionalFormatting sqref="B1974">
    <cfRule type="containsText" dxfId="328" priority="261" operator="containsText" text="Трактор базы">
      <formula>NOT(ISERROR(SEARCH("Трактор базы",B1974)))</formula>
    </cfRule>
  </conditionalFormatting>
  <conditionalFormatting sqref="B1975">
    <cfRule type="containsText" dxfId="327" priority="260" operator="containsText" text="Выезд с территории">
      <formula>NOT(ISERROR(SEARCH("Выезд с территории",B1975)))</formula>
    </cfRule>
  </conditionalFormatting>
  <conditionalFormatting sqref="B1975">
    <cfRule type="containsText" dxfId="326" priority="258" operator="containsText" text="Газель базы">
      <formula>NOT(ISERROR(SEARCH("Газель базы",B1975)))</formula>
    </cfRule>
    <cfRule type="containsText" dxfId="325" priority="259" operator="containsText" text="Погрузчик базы">
      <formula>NOT(ISERROR(SEARCH("Погрузчик базы",B1975)))</formula>
    </cfRule>
  </conditionalFormatting>
  <conditionalFormatting sqref="B1975">
    <cfRule type="containsText" dxfId="324" priority="257" operator="containsText" text="Трактор базы">
      <formula>NOT(ISERROR(SEARCH("Трактор базы",B1975)))</formula>
    </cfRule>
  </conditionalFormatting>
  <conditionalFormatting sqref="B1976">
    <cfRule type="containsText" dxfId="323" priority="256" operator="containsText" text="Выезд с территории">
      <formula>NOT(ISERROR(SEARCH("Выезд с территории",B1976)))</formula>
    </cfRule>
  </conditionalFormatting>
  <conditionalFormatting sqref="B1976">
    <cfRule type="containsText" dxfId="322" priority="254" operator="containsText" text="Газель базы">
      <formula>NOT(ISERROR(SEARCH("Газель базы",B1976)))</formula>
    </cfRule>
    <cfRule type="containsText" dxfId="321" priority="255" operator="containsText" text="Погрузчик базы">
      <formula>NOT(ISERROR(SEARCH("Погрузчик базы",B1976)))</formula>
    </cfRule>
  </conditionalFormatting>
  <conditionalFormatting sqref="B1976">
    <cfRule type="containsText" dxfId="320" priority="253" operator="containsText" text="Трактор базы">
      <formula>NOT(ISERROR(SEARCH("Трактор базы",B1976)))</formula>
    </cfRule>
  </conditionalFormatting>
  <conditionalFormatting sqref="B1977">
    <cfRule type="containsText" dxfId="319" priority="252" operator="containsText" text="Выезд с территории">
      <formula>NOT(ISERROR(SEARCH("Выезд с территории",B1977)))</formula>
    </cfRule>
  </conditionalFormatting>
  <conditionalFormatting sqref="B1977">
    <cfRule type="containsText" dxfId="318" priority="250" operator="containsText" text="Газель базы">
      <formula>NOT(ISERROR(SEARCH("Газель базы",B1977)))</formula>
    </cfRule>
    <cfRule type="containsText" dxfId="317" priority="251" operator="containsText" text="Погрузчик базы">
      <formula>NOT(ISERROR(SEARCH("Погрузчик базы",B1977)))</formula>
    </cfRule>
  </conditionalFormatting>
  <conditionalFormatting sqref="C1965">
    <cfRule type="notContainsText" dxfId="316" priority="248" operator="notContains" text="порожний">
      <formula>ISERROR(SEARCH("порожний",C1965))</formula>
    </cfRule>
  </conditionalFormatting>
  <conditionalFormatting sqref="B2042">
    <cfRule type="containsText" dxfId="315" priority="244" operator="containsText" text="Трактор базы">
      <formula>NOT(ISERROR(SEARCH("Трактор базы",B2042)))</formula>
    </cfRule>
  </conditionalFormatting>
  <conditionalFormatting sqref="B2042">
    <cfRule type="containsText" dxfId="314" priority="247" operator="containsText" text="Выезд с территории">
      <formula>NOT(ISERROR(SEARCH("Выезд с территории",B2042)))</formula>
    </cfRule>
  </conditionalFormatting>
  <conditionalFormatting sqref="B2042">
    <cfRule type="containsText" dxfId="313" priority="245" operator="containsText" text="Газель базы">
      <formula>NOT(ISERROR(SEARCH("Газель базы",B2042)))</formula>
    </cfRule>
    <cfRule type="containsText" dxfId="312" priority="246" operator="containsText" text="Погрузчик базы">
      <formula>NOT(ISERROR(SEARCH("Погрузчик базы",B2042)))</formula>
    </cfRule>
  </conditionalFormatting>
  <conditionalFormatting sqref="C2050">
    <cfRule type="notContainsText" dxfId="311" priority="243" operator="notContains" text="порожний">
      <formula>ISERROR(SEARCH("порожний",C2050))</formula>
    </cfRule>
  </conditionalFormatting>
  <conditionalFormatting sqref="B2054">
    <cfRule type="containsText" dxfId="310" priority="242" operator="containsText" text="Выезд с территории">
      <formula>NOT(ISERROR(SEARCH("Выезд с территории",B2054)))</formula>
    </cfRule>
  </conditionalFormatting>
  <conditionalFormatting sqref="B2054">
    <cfRule type="containsText" dxfId="309" priority="240" operator="containsText" text="Газель базы">
      <formula>NOT(ISERROR(SEARCH("Газель базы",B2054)))</formula>
    </cfRule>
    <cfRule type="containsText" dxfId="308" priority="241" operator="containsText" text="Погрузчик базы">
      <formula>NOT(ISERROR(SEARCH("Погрузчик базы",B2054)))</formula>
    </cfRule>
  </conditionalFormatting>
  <conditionalFormatting sqref="B2054">
    <cfRule type="containsText" dxfId="307" priority="239" operator="containsText" text="Трактор базы">
      <formula>NOT(ISERROR(SEARCH("Трактор базы",B2054)))</formula>
    </cfRule>
  </conditionalFormatting>
  <conditionalFormatting sqref="B2055">
    <cfRule type="containsText" dxfId="306" priority="235" operator="containsText" text="Трактор базы">
      <formula>NOT(ISERROR(SEARCH("Трактор базы",B2055)))</formula>
    </cfRule>
  </conditionalFormatting>
  <conditionalFormatting sqref="B2055">
    <cfRule type="containsText" dxfId="305" priority="238" operator="containsText" text="Выезд с территории">
      <formula>NOT(ISERROR(SEARCH("Выезд с территории",B2055)))</formula>
    </cfRule>
  </conditionalFormatting>
  <conditionalFormatting sqref="B2055">
    <cfRule type="containsText" dxfId="304" priority="236" operator="containsText" text="Газель базы">
      <formula>NOT(ISERROR(SEARCH("Газель базы",B2055)))</formula>
    </cfRule>
    <cfRule type="containsText" dxfId="303" priority="237" operator="containsText" text="Погрузчик базы">
      <formula>NOT(ISERROR(SEARCH("Погрузчик базы",B2055)))</formula>
    </cfRule>
  </conditionalFormatting>
  <conditionalFormatting sqref="A2087:A2089">
    <cfRule type="containsText" dxfId="302" priority="228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301" priority="234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300" priority="233" operator="notContains" text="порожний">
      <formula>ISERROR(SEARCH("порожний",C2087))</formula>
    </cfRule>
  </conditionalFormatting>
  <conditionalFormatting sqref="B2087:B2089">
    <cfRule type="containsText" dxfId="299" priority="231" operator="containsText" text="Газель базы">
      <formula>NOT(ISERROR(SEARCH("Газель базы",B2087)))</formula>
    </cfRule>
    <cfRule type="containsText" dxfId="298" priority="232" operator="containsText" text="Погрузчик базы">
      <formula>NOT(ISERROR(SEARCH("Погрузчик базы",B2087)))</formula>
    </cfRule>
  </conditionalFormatting>
  <conditionalFormatting sqref="B2087:B2089">
    <cfRule type="containsText" dxfId="297" priority="230" operator="containsText" text="Трактор базы">
      <formula>NOT(ISERROR(SEARCH("Трактор базы",B2087)))</formula>
    </cfRule>
  </conditionalFormatting>
  <conditionalFormatting sqref="A2087:A2089">
    <cfRule type="containsText" dxfId="296" priority="229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295" priority="227" operator="containsText" text="Выезд с территории">
      <formula>NOT(ISERROR(SEARCH("Выезд с территории",B2101)))</formula>
    </cfRule>
  </conditionalFormatting>
  <conditionalFormatting sqref="B2101">
    <cfRule type="containsText" dxfId="294" priority="225" operator="containsText" text="Газель базы">
      <formula>NOT(ISERROR(SEARCH("Газель базы",B2101)))</formula>
    </cfRule>
    <cfRule type="containsText" dxfId="293" priority="226" operator="containsText" text="Погрузчик базы">
      <formula>NOT(ISERROR(SEARCH("Погрузчик базы",B2101)))</formula>
    </cfRule>
  </conditionalFormatting>
  <conditionalFormatting sqref="B2101">
    <cfRule type="containsText" dxfId="292" priority="224" operator="containsText" text="Трактор базы">
      <formula>NOT(ISERROR(SEARCH("Трактор базы",B2101)))</formula>
    </cfRule>
  </conditionalFormatting>
  <conditionalFormatting sqref="B2102">
    <cfRule type="containsText" dxfId="291" priority="223" operator="containsText" text="Выезд с территории">
      <formula>NOT(ISERROR(SEARCH("Выезд с территории",B2102)))</formula>
    </cfRule>
  </conditionalFormatting>
  <conditionalFormatting sqref="B2102">
    <cfRule type="containsText" dxfId="290" priority="221" operator="containsText" text="Газель базы">
      <formula>NOT(ISERROR(SEARCH("Газель базы",B2102)))</formula>
    </cfRule>
    <cfRule type="containsText" dxfId="289" priority="222" operator="containsText" text="Погрузчик базы">
      <formula>NOT(ISERROR(SEARCH("Погрузчик базы",B2102)))</formula>
    </cfRule>
  </conditionalFormatting>
  <conditionalFormatting sqref="B2102">
    <cfRule type="containsText" dxfId="288" priority="220" operator="containsText" text="Трактор базы">
      <formula>NOT(ISERROR(SEARCH("Трактор базы",B2102)))</formula>
    </cfRule>
  </conditionalFormatting>
  <conditionalFormatting sqref="B2103">
    <cfRule type="containsText" dxfId="287" priority="216" operator="containsText" text="Трактор базы">
      <formula>NOT(ISERROR(SEARCH("Трактор базы",B2103)))</formula>
    </cfRule>
  </conditionalFormatting>
  <conditionalFormatting sqref="B2103">
    <cfRule type="containsText" dxfId="286" priority="219" operator="containsText" text="Выезд с территории">
      <formula>NOT(ISERROR(SEARCH("Выезд с территории",B2103)))</formula>
    </cfRule>
  </conditionalFormatting>
  <conditionalFormatting sqref="B2103">
    <cfRule type="containsText" dxfId="285" priority="217" operator="containsText" text="Газель базы">
      <formula>NOT(ISERROR(SEARCH("Газель базы",B2103)))</formula>
    </cfRule>
    <cfRule type="containsText" dxfId="284" priority="218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283" priority="213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282" priority="215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281" priority="214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280" priority="212" operator="containsText" text="Выезд с территории">
      <formula>NOT(ISERROR(SEARCH("Выезд с территории",B2276)))</formula>
    </cfRule>
  </conditionalFormatting>
  <conditionalFormatting sqref="B2276">
    <cfRule type="containsText" dxfId="279" priority="210" operator="containsText" text="Газель базы">
      <formula>NOT(ISERROR(SEARCH("Газель базы",B2276)))</formula>
    </cfRule>
    <cfRule type="containsText" dxfId="278" priority="211" operator="containsText" text="Погрузчик базы">
      <formula>NOT(ISERROR(SEARCH("Погрузчик базы",B2276)))</formula>
    </cfRule>
  </conditionalFormatting>
  <conditionalFormatting sqref="B2276">
    <cfRule type="containsText" dxfId="277" priority="209" operator="containsText" text="Трактор базы">
      <formula>NOT(ISERROR(SEARCH("Трактор базы",B2276)))</formula>
    </cfRule>
  </conditionalFormatting>
  <conditionalFormatting sqref="B2277">
    <cfRule type="containsText" dxfId="276" priority="205" operator="containsText" text="Трактор базы">
      <formula>NOT(ISERROR(SEARCH("Трактор базы",B2277)))</formula>
    </cfRule>
  </conditionalFormatting>
  <conditionalFormatting sqref="B2277">
    <cfRule type="containsText" dxfId="275" priority="208" operator="containsText" text="Выезд с территории">
      <formula>NOT(ISERROR(SEARCH("Выезд с территории",B2277)))</formula>
    </cfRule>
  </conditionalFormatting>
  <conditionalFormatting sqref="B2277">
    <cfRule type="containsText" dxfId="274" priority="206" operator="containsText" text="Газель базы">
      <formula>NOT(ISERROR(SEARCH("Газель базы",B2277)))</formula>
    </cfRule>
    <cfRule type="containsText" dxfId="273" priority="207" operator="containsText" text="Погрузчик базы">
      <formula>NOT(ISERROR(SEARCH("Погрузчик базы",B2277)))</formula>
    </cfRule>
  </conditionalFormatting>
  <conditionalFormatting sqref="A2279">
    <cfRule type="containsText" dxfId="272" priority="202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271" priority="204" operator="containsText" text="Выезд с территории">
      <formula>NOT(ISERROR(SEARCH("Выезд с территории",A2279)))</formula>
    </cfRule>
  </conditionalFormatting>
  <conditionalFormatting sqref="A2279">
    <cfRule type="containsText" dxfId="270" priority="203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269" priority="199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268" priority="201" operator="containsText" text="Выезд с территории">
      <formula>NOT(ISERROR(SEARCH("Выезд с территории",A2347)))</formula>
    </cfRule>
  </conditionalFormatting>
  <conditionalFormatting sqref="A2347">
    <cfRule type="containsText" dxfId="267" priority="200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266" priority="180" operator="containsText" text="Трактор базы">
      <formula>NOT(ISERROR(SEARCH("Трактор базы",B2382)))</formula>
    </cfRule>
  </conditionalFormatting>
  <conditionalFormatting sqref="B2348:B2349">
    <cfRule type="containsText" dxfId="265" priority="198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264" priority="196" operator="containsText" text="Газель базы">
      <formula>NOT(ISERROR(SEARCH("Газель базы",B2348)))</formula>
    </cfRule>
    <cfRule type="containsText" dxfId="263" priority="197" operator="containsText" text="Погрузчик базы">
      <formula>NOT(ISERROR(SEARCH("Погрузчик базы",B2348)))</formula>
    </cfRule>
  </conditionalFormatting>
  <conditionalFormatting sqref="B2348:B2349">
    <cfRule type="containsText" dxfId="262" priority="195" operator="containsText" text="Трактор базы">
      <formula>NOT(ISERROR(SEARCH("Трактор базы",B2348)))</formula>
    </cfRule>
  </conditionalFormatting>
  <conditionalFormatting sqref="A2350">
    <cfRule type="containsText" dxfId="261" priority="192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260" priority="194" operator="containsText" text="Выезд с территории">
      <formula>NOT(ISERROR(SEARCH("Выезд с территории",A2350)))</formula>
    </cfRule>
  </conditionalFormatting>
  <conditionalFormatting sqref="A2350">
    <cfRule type="containsText" dxfId="259" priority="193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258" priority="191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257" priority="189" operator="containsText" text="Газель базы">
      <formula>NOT(ISERROR(SEARCH("Газель базы",B2352)))</formula>
    </cfRule>
    <cfRule type="containsText" dxfId="256" priority="190" operator="containsText" text="Погрузчик базы">
      <formula>NOT(ISERROR(SEARCH("Погрузчик базы",B2352)))</formula>
    </cfRule>
  </conditionalFormatting>
  <conditionalFormatting sqref="B2352:B2354">
    <cfRule type="containsText" dxfId="255" priority="188" operator="containsText" text="Трактор базы">
      <formula>NOT(ISERROR(SEARCH("Трактор базы",B2352)))</formula>
    </cfRule>
  </conditionalFormatting>
  <conditionalFormatting sqref="B2358">
    <cfRule type="containsText" dxfId="254" priority="187" operator="containsText" text="Выезд с территории">
      <formula>NOT(ISERROR(SEARCH("Выезд с территории",B2358)))</formula>
    </cfRule>
  </conditionalFormatting>
  <conditionalFormatting sqref="B2358">
    <cfRule type="containsText" dxfId="253" priority="185" operator="containsText" text="Газель базы">
      <formula>NOT(ISERROR(SEARCH("Газель базы",B2358)))</formula>
    </cfRule>
    <cfRule type="containsText" dxfId="252" priority="186" operator="containsText" text="Погрузчик базы">
      <formula>NOT(ISERROR(SEARCH("Погрузчик базы",B2358)))</formula>
    </cfRule>
  </conditionalFormatting>
  <conditionalFormatting sqref="B2358">
    <cfRule type="containsText" dxfId="251" priority="184" operator="containsText" text="Трактор базы">
      <formula>NOT(ISERROR(SEARCH("Трактор базы",B2358)))</formula>
    </cfRule>
  </conditionalFormatting>
  <conditionalFormatting sqref="B2382">
    <cfRule type="containsText" dxfId="250" priority="183" operator="containsText" text="Выезд с территории">
      <formula>NOT(ISERROR(SEARCH("Выезд с территории",B2382)))</formula>
    </cfRule>
  </conditionalFormatting>
  <conditionalFormatting sqref="B2382">
    <cfRule type="containsText" dxfId="249" priority="181" operator="containsText" text="Газель базы">
      <formula>NOT(ISERROR(SEARCH("Газель базы",B2382)))</formula>
    </cfRule>
    <cfRule type="containsText" dxfId="248" priority="182" operator="containsText" text="Погрузчик базы">
      <formula>NOT(ISERROR(SEARCH("Погрузчик базы",B2382)))</formula>
    </cfRule>
  </conditionalFormatting>
  <conditionalFormatting sqref="B2423:B2424">
    <cfRule type="containsText" dxfId="247" priority="179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246" priority="177" operator="containsText" text="Газель базы">
      <formula>NOT(ISERROR(SEARCH("Газель базы",B2423)))</formula>
    </cfRule>
    <cfRule type="containsText" dxfId="245" priority="178" operator="containsText" text="Погрузчик базы">
      <formula>NOT(ISERROR(SEARCH("Погрузчик базы",B2423)))</formula>
    </cfRule>
  </conditionalFormatting>
  <conditionalFormatting sqref="B2423:B2424">
    <cfRule type="containsText" dxfId="244" priority="176" operator="containsText" text="Трактор базы">
      <formula>NOT(ISERROR(SEARCH("Трактор базы",B2423)))</formula>
    </cfRule>
  </conditionalFormatting>
  <conditionalFormatting sqref="B2431">
    <cfRule type="containsText" dxfId="243" priority="175" operator="containsText" text="Выезд с территории">
      <formula>NOT(ISERROR(SEARCH("Выезд с территории",B2431)))</formula>
    </cfRule>
  </conditionalFormatting>
  <conditionalFormatting sqref="B2431">
    <cfRule type="containsText" dxfId="242" priority="173" operator="containsText" text="Газель базы">
      <formula>NOT(ISERROR(SEARCH("Газель базы",B2431)))</formula>
    </cfRule>
    <cfRule type="containsText" dxfId="241" priority="174" operator="containsText" text="Погрузчик базы">
      <formula>NOT(ISERROR(SEARCH("Погрузчик базы",B2431)))</formula>
    </cfRule>
  </conditionalFormatting>
  <conditionalFormatting sqref="B2431">
    <cfRule type="containsText" dxfId="240" priority="172" operator="containsText" text="Трактор базы">
      <formula>NOT(ISERROR(SEARCH("Трактор базы",B2431)))</formula>
    </cfRule>
  </conditionalFormatting>
  <conditionalFormatting sqref="B2478">
    <cfRule type="containsText" dxfId="239" priority="160" operator="containsText" text="Трактор базы">
      <formula>NOT(ISERROR(SEARCH("Трактор базы",B2478)))</formula>
    </cfRule>
  </conditionalFormatting>
  <conditionalFormatting sqref="B2462:B2463">
    <cfRule type="containsText" dxfId="238" priority="171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237" priority="169" operator="containsText" text="Газель базы">
      <formula>NOT(ISERROR(SEARCH("Газель базы",B2462)))</formula>
    </cfRule>
    <cfRule type="containsText" dxfId="236" priority="170" operator="containsText" text="Погрузчик базы">
      <formula>NOT(ISERROR(SEARCH("Погрузчик базы",B2462)))</formula>
    </cfRule>
  </conditionalFormatting>
  <conditionalFormatting sqref="B2462:B2463">
    <cfRule type="containsText" dxfId="235" priority="168" operator="containsText" text="Трактор базы">
      <formula>NOT(ISERROR(SEARCH("Трактор базы",B2462)))</formula>
    </cfRule>
  </conditionalFormatting>
  <conditionalFormatting sqref="B2467">
    <cfRule type="containsText" dxfId="234" priority="167" operator="containsText" text="Выезд с территории">
      <formula>NOT(ISERROR(SEARCH("Выезд с территории",B2467)))</formula>
    </cfRule>
  </conditionalFormatting>
  <conditionalFormatting sqref="B2467">
    <cfRule type="containsText" dxfId="233" priority="165" operator="containsText" text="Газель базы">
      <formula>NOT(ISERROR(SEARCH("Газель базы",B2467)))</formula>
    </cfRule>
    <cfRule type="containsText" dxfId="232" priority="166" operator="containsText" text="Погрузчик базы">
      <formula>NOT(ISERROR(SEARCH("Погрузчик базы",B2467)))</formula>
    </cfRule>
  </conditionalFormatting>
  <conditionalFormatting sqref="B2467">
    <cfRule type="containsText" dxfId="231" priority="164" operator="containsText" text="Трактор базы">
      <formula>NOT(ISERROR(SEARCH("Трактор базы",B2467)))</formula>
    </cfRule>
  </conditionalFormatting>
  <conditionalFormatting sqref="B2478">
    <cfRule type="containsText" dxfId="230" priority="163" operator="containsText" text="Выезд с территории">
      <formula>NOT(ISERROR(SEARCH("Выезд с территории",B2478)))</formula>
    </cfRule>
  </conditionalFormatting>
  <conditionalFormatting sqref="B2478">
    <cfRule type="containsText" dxfId="229" priority="161" operator="containsText" text="Газель базы">
      <formula>NOT(ISERROR(SEARCH("Газель базы",B2478)))</formula>
    </cfRule>
    <cfRule type="containsText" dxfId="228" priority="162" operator="containsText" text="Погрузчик базы">
      <formula>NOT(ISERROR(SEARCH("Погрузчик базы",B2478)))</formula>
    </cfRule>
  </conditionalFormatting>
  <conditionalFormatting sqref="B2499">
    <cfRule type="containsText" dxfId="227" priority="148" operator="containsText" text="Трактор базы">
      <formula>NOT(ISERROR(SEARCH("Трактор базы",B2499)))</formula>
    </cfRule>
  </conditionalFormatting>
  <conditionalFormatting sqref="B2497">
    <cfRule type="containsText" dxfId="226" priority="159" operator="containsText" text="Выезд с территории">
      <formula>NOT(ISERROR(SEARCH("Выезд с территории",B2497)))</formula>
    </cfRule>
  </conditionalFormatting>
  <conditionalFormatting sqref="B2497">
    <cfRule type="containsText" dxfId="225" priority="157" operator="containsText" text="Газель базы">
      <formula>NOT(ISERROR(SEARCH("Газель базы",B2497)))</formula>
    </cfRule>
    <cfRule type="containsText" dxfId="224" priority="158" operator="containsText" text="Погрузчик базы">
      <formula>NOT(ISERROR(SEARCH("Погрузчик базы",B2497)))</formula>
    </cfRule>
  </conditionalFormatting>
  <conditionalFormatting sqref="B2497">
    <cfRule type="containsText" dxfId="223" priority="156" operator="containsText" text="Трактор базы">
      <formula>NOT(ISERROR(SEARCH("Трактор базы",B2497)))</formula>
    </cfRule>
  </conditionalFormatting>
  <conditionalFormatting sqref="B2498">
    <cfRule type="containsText" dxfId="222" priority="155" operator="containsText" text="Выезд с территории">
      <formula>NOT(ISERROR(SEARCH("Выезд с территории",B2498)))</formula>
    </cfRule>
  </conditionalFormatting>
  <conditionalFormatting sqref="B2498">
    <cfRule type="containsText" dxfId="221" priority="153" operator="containsText" text="Газель базы">
      <formula>NOT(ISERROR(SEARCH("Газель базы",B2498)))</formula>
    </cfRule>
    <cfRule type="containsText" dxfId="220" priority="154" operator="containsText" text="Погрузчик базы">
      <formula>NOT(ISERROR(SEARCH("Погрузчик базы",B2498)))</formula>
    </cfRule>
  </conditionalFormatting>
  <conditionalFormatting sqref="B2498">
    <cfRule type="containsText" dxfId="219" priority="152" operator="containsText" text="Трактор базы">
      <formula>NOT(ISERROR(SEARCH("Трактор базы",B2498)))</formula>
    </cfRule>
  </conditionalFormatting>
  <conditionalFormatting sqref="B2499">
    <cfRule type="containsText" dxfId="218" priority="151" operator="containsText" text="Выезд с территории">
      <formula>NOT(ISERROR(SEARCH("Выезд с территории",B2499)))</formula>
    </cfRule>
  </conditionalFormatting>
  <conditionalFormatting sqref="B2499">
    <cfRule type="containsText" dxfId="217" priority="149" operator="containsText" text="Газель базы">
      <formula>NOT(ISERROR(SEARCH("Газель базы",B2499)))</formula>
    </cfRule>
    <cfRule type="containsText" dxfId="216" priority="150" operator="containsText" text="Погрузчик базы">
      <formula>NOT(ISERROR(SEARCH("Погрузчик базы",B2499)))</formula>
    </cfRule>
  </conditionalFormatting>
  <conditionalFormatting sqref="B2512:B2513">
    <cfRule type="containsText" dxfId="215" priority="122" operator="containsText" text="Трактор базы">
      <formula>NOT(ISERROR(SEARCH("Трактор базы",B2512)))</formula>
    </cfRule>
  </conditionalFormatting>
  <conditionalFormatting sqref="B2500">
    <cfRule type="containsText" dxfId="214" priority="147" operator="containsText" text="Выезд с территории">
      <formula>NOT(ISERROR(SEARCH("Выезд с территории",B2500)))</formula>
    </cfRule>
  </conditionalFormatting>
  <conditionalFormatting sqref="B2500">
    <cfRule type="containsText" dxfId="213" priority="145" operator="containsText" text="Газель базы">
      <formula>NOT(ISERROR(SEARCH("Газель базы",B2500)))</formula>
    </cfRule>
    <cfRule type="containsText" dxfId="212" priority="146" operator="containsText" text="Погрузчик базы">
      <formula>NOT(ISERROR(SEARCH("Погрузчик базы",B2500)))</formula>
    </cfRule>
  </conditionalFormatting>
  <conditionalFormatting sqref="B2500">
    <cfRule type="containsText" dxfId="211" priority="144" operator="containsText" text="Трактор базы">
      <formula>NOT(ISERROR(SEARCH("Трактор базы",B2500)))</formula>
    </cfRule>
  </conditionalFormatting>
  <conditionalFormatting sqref="B2501">
    <cfRule type="containsText" dxfId="210" priority="143" operator="containsText" text="Выезд с территории">
      <formula>NOT(ISERROR(SEARCH("Выезд с территории",B2501)))</formula>
    </cfRule>
  </conditionalFormatting>
  <conditionalFormatting sqref="B2501">
    <cfRule type="containsText" dxfId="209" priority="141" operator="containsText" text="Газель базы">
      <formula>NOT(ISERROR(SEARCH("Газель базы",B2501)))</formula>
    </cfRule>
    <cfRule type="containsText" dxfId="208" priority="142" operator="containsText" text="Погрузчик базы">
      <formula>NOT(ISERROR(SEARCH("Погрузчик базы",B2501)))</formula>
    </cfRule>
  </conditionalFormatting>
  <conditionalFormatting sqref="B2501">
    <cfRule type="containsText" dxfId="207" priority="140" operator="containsText" text="Трактор базы">
      <formula>NOT(ISERROR(SEARCH("Трактор базы",B2501)))</formula>
    </cfRule>
  </conditionalFormatting>
  <conditionalFormatting sqref="B2502">
    <cfRule type="containsText" dxfId="206" priority="136" operator="containsText" text="Трактор базы">
      <formula>NOT(ISERROR(SEARCH("Трактор базы",B2502)))</formula>
    </cfRule>
  </conditionalFormatting>
  <conditionalFormatting sqref="B2502">
    <cfRule type="containsText" dxfId="205" priority="139" operator="containsText" text="Выезд с территории">
      <formula>NOT(ISERROR(SEARCH("Выезд с территории",B2502)))</formula>
    </cfRule>
  </conditionalFormatting>
  <conditionalFormatting sqref="B2502">
    <cfRule type="containsText" dxfId="204" priority="137" operator="containsText" text="Газель базы">
      <formula>NOT(ISERROR(SEARCH("Газель базы",B2502)))</formula>
    </cfRule>
    <cfRule type="containsText" dxfId="203" priority="138" operator="containsText" text="Погрузчик базы">
      <formula>NOT(ISERROR(SEARCH("Погрузчик базы",B2502)))</formula>
    </cfRule>
  </conditionalFormatting>
  <conditionalFormatting sqref="A2503:A2504">
    <cfRule type="containsText" dxfId="202" priority="133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201" priority="135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200" priority="134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199" priority="130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198" priority="132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197" priority="131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196" priority="129" operator="containsText" text="Выезд с территории">
      <formula>NOT(ISERROR(SEARCH("Выезд с территории",B2509)))</formula>
    </cfRule>
  </conditionalFormatting>
  <conditionalFormatting sqref="B2509">
    <cfRule type="containsText" dxfId="195" priority="127" operator="containsText" text="Газель базы">
      <formula>NOT(ISERROR(SEARCH("Газель базы",B2509)))</formula>
    </cfRule>
    <cfRule type="containsText" dxfId="194" priority="128" operator="containsText" text="Погрузчик базы">
      <formula>NOT(ISERROR(SEARCH("Погрузчик базы",B2509)))</formula>
    </cfRule>
  </conditionalFormatting>
  <conditionalFormatting sqref="B2509">
    <cfRule type="containsText" dxfId="193" priority="126" operator="containsText" text="Трактор базы">
      <formula>NOT(ISERROR(SEARCH("Трактор базы",B2509)))</formula>
    </cfRule>
  </conditionalFormatting>
  <conditionalFormatting sqref="B2512:B2513">
    <cfRule type="containsText" dxfId="192" priority="125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191" priority="123" operator="containsText" text="Газель базы">
      <formula>NOT(ISERROR(SEARCH("Газель базы",B2512)))</formula>
    </cfRule>
    <cfRule type="containsText" dxfId="190" priority="124" operator="containsText" text="Погрузчик базы">
      <formula>NOT(ISERROR(SEARCH("Погрузчик базы",B2512)))</formula>
    </cfRule>
  </conditionalFormatting>
  <conditionalFormatting sqref="E2586">
    <cfRule type="containsText" dxfId="189" priority="121" operator="containsText" text="Выезд с территории">
      <formula>NOT(ISERROR(SEARCH("Выезд с территории",E2586)))</formula>
    </cfRule>
  </conditionalFormatting>
  <conditionalFormatting sqref="A2710">
    <cfRule type="containsText" dxfId="188" priority="118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187" priority="120" operator="containsText" text="Выезд с территории">
      <formula>NOT(ISERROR(SEARCH("Выезд с территории",A2710)))</formula>
    </cfRule>
  </conditionalFormatting>
  <conditionalFormatting sqref="A2710">
    <cfRule type="containsText" dxfId="186" priority="119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185" priority="117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184" priority="115" operator="containsText" text="Газель базы">
      <formula>NOT(ISERROR(SEARCH("Газель базы",B2810)))</formula>
    </cfRule>
    <cfRule type="containsText" dxfId="183" priority="116" operator="containsText" text="Погрузчик базы">
      <formula>NOT(ISERROR(SEARCH("Погрузчик базы",B2810)))</formula>
    </cfRule>
  </conditionalFormatting>
  <conditionalFormatting sqref="B2810:B2811">
    <cfRule type="containsText" dxfId="182" priority="114" operator="containsText" text="Трактор базы">
      <formula>NOT(ISERROR(SEARCH("Трактор базы",B2810)))</formula>
    </cfRule>
  </conditionalFormatting>
  <conditionalFormatting sqref="B2923:B2927">
    <cfRule type="containsText" dxfId="181" priority="110" operator="containsText" text="Трактор базы">
      <formula>NOT(ISERROR(SEARCH("Трактор базы",B2923)))</formula>
    </cfRule>
  </conditionalFormatting>
  <conditionalFormatting sqref="B2923:B2927">
    <cfRule type="containsText" dxfId="180" priority="113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179" priority="111" operator="containsText" text="Газель базы">
      <formula>NOT(ISERROR(SEARCH("Газель базы",B2923)))</formula>
    </cfRule>
    <cfRule type="containsText" dxfId="178" priority="112" operator="containsText" text="Погрузчик базы">
      <formula>NOT(ISERROR(SEARCH("Погрузчик базы",B2923)))</formula>
    </cfRule>
  </conditionalFormatting>
  <conditionalFormatting sqref="A2991">
    <cfRule type="containsText" dxfId="177" priority="109" operator="containsText" text="Выезд с территории">
      <formula>NOT(ISERROR(SEARCH("Выезд с территории",A2991)))</formula>
    </cfRule>
  </conditionalFormatting>
  <conditionalFormatting sqref="A2991">
    <cfRule type="containsText" dxfId="176" priority="108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175" priority="107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174" priority="106" operator="containsText" text="Выезд с территории">
      <formula>NOT(ISERROR(SEARCH("Выезд с территории",B2993)))</formula>
    </cfRule>
  </conditionalFormatting>
  <conditionalFormatting sqref="B2993">
    <cfRule type="containsText" dxfId="173" priority="104" operator="containsText" text="Газель базы">
      <formula>NOT(ISERROR(SEARCH("Газель базы",B2993)))</formula>
    </cfRule>
    <cfRule type="containsText" dxfId="172" priority="105" operator="containsText" text="Погрузчик базы">
      <formula>NOT(ISERROR(SEARCH("Погрузчик базы",B2993)))</formula>
    </cfRule>
  </conditionalFormatting>
  <conditionalFormatting sqref="B2993">
    <cfRule type="containsText" dxfId="171" priority="103" operator="containsText" text="Трактор базы">
      <formula>NOT(ISERROR(SEARCH("Трактор базы",B2993)))</formula>
    </cfRule>
  </conditionalFormatting>
  <conditionalFormatting sqref="B2995">
    <cfRule type="containsText" dxfId="170" priority="99" operator="containsText" text="Трактор базы">
      <formula>NOT(ISERROR(SEARCH("Трактор базы",B2995)))</formula>
    </cfRule>
  </conditionalFormatting>
  <conditionalFormatting sqref="B2995">
    <cfRule type="containsText" dxfId="169" priority="102" operator="containsText" text="Выезд с территории">
      <formula>NOT(ISERROR(SEARCH("Выезд с территории",B2995)))</formula>
    </cfRule>
  </conditionalFormatting>
  <conditionalFormatting sqref="B2995">
    <cfRule type="containsText" dxfId="168" priority="100" operator="containsText" text="Газель базы">
      <formula>NOT(ISERROR(SEARCH("Газель базы",B2995)))</formula>
    </cfRule>
    <cfRule type="containsText" dxfId="167" priority="101" operator="containsText" text="Погрузчик базы">
      <formula>NOT(ISERROR(SEARCH("Погрузчик базы",B2995)))</formula>
    </cfRule>
  </conditionalFormatting>
  <conditionalFormatting sqref="A3008">
    <cfRule type="containsText" dxfId="166" priority="96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165" priority="98" operator="containsText" text="Выезд с территории">
      <formula>NOT(ISERROR(SEARCH("Выезд с территории",A3008)))</formula>
    </cfRule>
  </conditionalFormatting>
  <conditionalFormatting sqref="A3008">
    <cfRule type="containsText" dxfId="164" priority="97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163" priority="93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162" priority="95" operator="containsText" text="Выезд с территории">
      <formula>NOT(ISERROR(SEARCH("Выезд с территории",A3045)))</formula>
    </cfRule>
  </conditionalFormatting>
  <conditionalFormatting sqref="A3045">
    <cfRule type="containsText" dxfId="161" priority="94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160" priority="90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159" priority="92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158" priority="91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157" priority="86" operator="containsText" text="Трактор базы">
      <formula>NOT(ISERROR(SEARCH("Трактор базы",B3150)))</formula>
    </cfRule>
  </conditionalFormatting>
  <conditionalFormatting sqref="B3203">
    <cfRule type="containsText" dxfId="156" priority="78" operator="containsText" text="Трактор базы">
      <formula>NOT(ISERROR(SEARCH("Трактор базы",B3203)))</formula>
    </cfRule>
  </conditionalFormatting>
  <conditionalFormatting sqref="B3150:B3151">
    <cfRule type="containsText" dxfId="155" priority="89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154" priority="87" operator="containsText" text="Газель базы">
      <formula>NOT(ISERROR(SEARCH("Газель базы",B3150)))</formula>
    </cfRule>
    <cfRule type="containsText" dxfId="153" priority="88" operator="containsText" text="Погрузчик базы">
      <formula>NOT(ISERROR(SEARCH("Погрузчик базы",B3150)))</formula>
    </cfRule>
  </conditionalFormatting>
  <conditionalFormatting sqref="B3201">
    <cfRule type="containsText" dxfId="152" priority="82" operator="containsText" text="Трактор базы">
      <formula>NOT(ISERROR(SEARCH("Трактор базы",B3201)))</formula>
    </cfRule>
  </conditionalFormatting>
  <conditionalFormatting sqref="B3201">
    <cfRule type="containsText" dxfId="151" priority="85" operator="containsText" text="Выезд с территории">
      <formula>NOT(ISERROR(SEARCH("Выезд с территории",B3201)))</formula>
    </cfRule>
  </conditionalFormatting>
  <conditionalFormatting sqref="B3201">
    <cfRule type="containsText" dxfId="150" priority="83" operator="containsText" text="Газель базы">
      <formula>NOT(ISERROR(SEARCH("Газель базы",B3201)))</formula>
    </cfRule>
    <cfRule type="containsText" dxfId="149" priority="84" operator="containsText" text="Погрузчик базы">
      <formula>NOT(ISERROR(SEARCH("Погрузчик базы",B3201)))</formula>
    </cfRule>
  </conditionalFormatting>
  <conditionalFormatting sqref="B3203">
    <cfRule type="containsText" dxfId="148" priority="81" operator="containsText" text="Выезд с территории">
      <formula>NOT(ISERROR(SEARCH("Выезд с территории",B3203)))</formula>
    </cfRule>
  </conditionalFormatting>
  <conditionalFormatting sqref="B3203">
    <cfRule type="containsText" dxfId="147" priority="79" operator="containsText" text="Газель базы">
      <formula>NOT(ISERROR(SEARCH("Газель базы",B3203)))</formula>
    </cfRule>
    <cfRule type="containsText" dxfId="146" priority="80" operator="containsText" text="Погрузчик базы">
      <formula>NOT(ISERROR(SEARCH("Погрузчик базы",B3203)))</formula>
    </cfRule>
  </conditionalFormatting>
  <conditionalFormatting sqref="B3227:B3229">
    <cfRule type="containsText" dxfId="145" priority="77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144" priority="75" operator="containsText" text="Газель базы">
      <formula>NOT(ISERROR(SEARCH("Газель базы",B3227)))</formula>
    </cfRule>
    <cfRule type="containsText" dxfId="143" priority="76" operator="containsText" text="Погрузчик базы">
      <formula>NOT(ISERROR(SEARCH("Погрузчик базы",B3227)))</formula>
    </cfRule>
  </conditionalFormatting>
  <conditionalFormatting sqref="B3227:B3229">
    <cfRule type="containsText" dxfId="142" priority="74" operator="containsText" text="Трактор базы">
      <formula>NOT(ISERROR(SEARCH("Трактор базы",B3227)))</formula>
    </cfRule>
  </conditionalFormatting>
  <conditionalFormatting sqref="B3259:B3261">
    <cfRule type="containsText" dxfId="141" priority="73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140" priority="71" operator="containsText" text="Газель базы">
      <formula>NOT(ISERROR(SEARCH("Газель базы",B3259)))</formula>
    </cfRule>
    <cfRule type="containsText" dxfId="139" priority="72" operator="containsText" text="Погрузчик базы">
      <formula>NOT(ISERROR(SEARCH("Погрузчик базы",B3259)))</formula>
    </cfRule>
  </conditionalFormatting>
  <conditionalFormatting sqref="B3259:B3261">
    <cfRule type="containsText" dxfId="138" priority="70" operator="containsText" text="Трактор базы">
      <formula>NOT(ISERROR(SEARCH("Трактор базы",B3259)))</formula>
    </cfRule>
  </conditionalFormatting>
  <conditionalFormatting sqref="A3335:A3336 A3373:A3374">
    <cfRule type="containsText" dxfId="137" priority="64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136" priority="66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135" priority="65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134" priority="61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133" priority="63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132" priority="62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131" priority="60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130" priority="58" operator="containsText" text="Газель базы">
      <formula>NOT(ISERROR(SEARCH("Газель базы",B3364)))</formula>
    </cfRule>
    <cfRule type="containsText" dxfId="129" priority="59" operator="containsText" text="Погрузчик базы">
      <formula>NOT(ISERROR(SEARCH("Погрузчик базы",B3364)))</formula>
    </cfRule>
  </conditionalFormatting>
  <conditionalFormatting sqref="B3364:B3365">
    <cfRule type="containsText" dxfId="128" priority="57" operator="containsText" text="Трактор базы">
      <formula>NOT(ISERROR(SEARCH("Трактор базы",B3364)))</formula>
    </cfRule>
  </conditionalFormatting>
  <conditionalFormatting sqref="A3364">
    <cfRule type="containsText" dxfId="127" priority="56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126" priority="55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125" priority="54" operator="containsText" text="Выезд с территории">
      <formula>NOT(ISERROR(SEARCH("Выезд с территории",A3366)))</formula>
    </cfRule>
  </conditionalFormatting>
  <conditionalFormatting sqref="B3366">
    <cfRule type="containsText" dxfId="124" priority="52" operator="containsText" text="Газель базы">
      <formula>NOT(ISERROR(SEARCH("Газель базы",B3366)))</formula>
    </cfRule>
    <cfRule type="containsText" dxfId="123" priority="53" operator="containsText" text="Погрузчик базы">
      <formula>NOT(ISERROR(SEARCH("Погрузчик базы",B3366)))</formula>
    </cfRule>
  </conditionalFormatting>
  <conditionalFormatting sqref="B3366">
    <cfRule type="containsText" dxfId="122" priority="51" operator="containsText" text="Трактор базы">
      <formula>NOT(ISERROR(SEARCH("Трактор базы",B3366)))</formula>
    </cfRule>
  </conditionalFormatting>
  <conditionalFormatting sqref="A3366">
    <cfRule type="containsText" dxfId="121" priority="50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120" priority="49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119" priority="48" operator="containsText" text="Выезд с территории">
      <formula>NOT(ISERROR(SEARCH("Выезд с территории",B3367)))</formula>
    </cfRule>
  </conditionalFormatting>
  <conditionalFormatting sqref="B3367">
    <cfRule type="containsText" dxfId="118" priority="46" operator="containsText" text="Газель базы">
      <formula>NOT(ISERROR(SEARCH("Газель базы",B3367)))</formula>
    </cfRule>
    <cfRule type="containsText" dxfId="117" priority="47" operator="containsText" text="Погрузчик базы">
      <formula>NOT(ISERROR(SEARCH("Погрузчик базы",B3367)))</formula>
    </cfRule>
  </conditionalFormatting>
  <conditionalFormatting sqref="B3367">
    <cfRule type="containsText" dxfId="116" priority="45" operator="containsText" text="Трактор базы">
      <formula>NOT(ISERROR(SEARCH("Трактор базы",B3367)))</formula>
    </cfRule>
  </conditionalFormatting>
  <conditionalFormatting sqref="A3430:B3430">
    <cfRule type="containsText" dxfId="115" priority="44" operator="containsText" text="Выезд с территории">
      <formula>NOT(ISERROR(SEARCH("Выезд с территории",A3430)))</formula>
    </cfRule>
  </conditionalFormatting>
  <conditionalFormatting sqref="B3430">
    <cfRule type="containsText" dxfId="114" priority="42" operator="containsText" text="Газель базы">
      <formula>NOT(ISERROR(SEARCH("Газель базы",B3430)))</formula>
    </cfRule>
    <cfRule type="containsText" dxfId="113" priority="43" operator="containsText" text="Погрузчик базы">
      <formula>NOT(ISERROR(SEARCH("Погрузчик базы",B3430)))</formula>
    </cfRule>
  </conditionalFormatting>
  <conditionalFormatting sqref="B3430">
    <cfRule type="containsText" dxfId="112" priority="41" operator="containsText" text="Трактор базы">
      <formula>NOT(ISERROR(SEARCH("Трактор базы",B3430)))</formula>
    </cfRule>
  </conditionalFormatting>
  <conditionalFormatting sqref="A3430">
    <cfRule type="containsText" dxfId="111" priority="40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110" priority="39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109" priority="30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108" priority="32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107" priority="31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106" priority="29" operator="containsText" text="Выезд с территории">
      <formula>NOT(ISERROR(SEARCH("Выезд с территории",A3480)))</formula>
    </cfRule>
  </conditionalFormatting>
  <conditionalFormatting sqref="B3480">
    <cfRule type="containsText" dxfId="105" priority="27" operator="containsText" text="Газель базы">
      <formula>NOT(ISERROR(SEARCH("Газель базы",B3480)))</formula>
    </cfRule>
    <cfRule type="containsText" dxfId="104" priority="28" operator="containsText" text="Погрузчик базы">
      <formula>NOT(ISERROR(SEARCH("Погрузчик базы",B3480)))</formula>
    </cfRule>
  </conditionalFormatting>
  <conditionalFormatting sqref="B3480">
    <cfRule type="containsText" dxfId="103" priority="26" operator="containsText" text="Трактор базы">
      <formula>NOT(ISERROR(SEARCH("Трактор базы",B3480)))</formula>
    </cfRule>
  </conditionalFormatting>
  <conditionalFormatting sqref="A3480">
    <cfRule type="containsText" dxfId="102" priority="24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101" priority="25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100" priority="21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99" priority="23" operator="containsText" text="Выезд с территории">
      <formula>NOT(ISERROR(SEARCH("Выезд с территории",A3506)))</formula>
    </cfRule>
  </conditionalFormatting>
  <conditionalFormatting sqref="A3506">
    <cfRule type="containsText" dxfId="98" priority="22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97" priority="18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96" priority="20" operator="containsText" text="Выезд с территории">
      <formula>NOT(ISERROR(SEARCH("Выезд с территории",A3587)))</formula>
    </cfRule>
  </conditionalFormatting>
  <conditionalFormatting sqref="A3587">
    <cfRule type="containsText" dxfId="95" priority="19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94" priority="10" operator="containsText" text="Трактор базы">
      <formula>NOT(ISERROR(SEARCH("Трактор базы",B3601)))</formula>
    </cfRule>
  </conditionalFormatting>
  <conditionalFormatting sqref="B3601:B3612">
    <cfRule type="containsText" dxfId="93" priority="13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92" priority="11" operator="containsText" text="Газель базы">
      <formula>NOT(ISERROR(SEARCH("Газель базы",B3601)))</formula>
    </cfRule>
    <cfRule type="containsText" dxfId="91" priority="12" operator="containsText" text="Погрузчик базы">
      <formula>NOT(ISERROR(SEARCH("Погрузчик базы",B3601)))</formula>
    </cfRule>
  </conditionalFormatting>
  <conditionalFormatting sqref="A3696">
    <cfRule type="containsText" dxfId="90" priority="7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89" priority="9" operator="containsText" text="Выезд с территории">
      <formula>NOT(ISERROR(SEARCH("Выезд с территории",A3696)))</formula>
    </cfRule>
  </conditionalFormatting>
  <conditionalFormatting sqref="A3696">
    <cfRule type="containsText" dxfId="88" priority="8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87" priority="4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86" priority="1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85" priority="6" operator="containsText" text="Выезд с территории">
      <formula>NOT(ISERROR(SEARCH("Выезд с территории",A3713)))</formula>
    </cfRule>
  </conditionalFormatting>
  <conditionalFormatting sqref="A3713">
    <cfRule type="containsText" dxfId="84" priority="5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83" priority="3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82" priority="2" operator="containsText" text="Въезд на второстепенную дорогу">
      <formula>NOT(ISERROR(SEARCH("Въезд на второстепенную дорогу",A3739)))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33"/>
  <sheetViews>
    <sheetView topLeftCell="A219" zoomScale="80" zoomScaleNormal="80" workbookViewId="0">
      <selection activeCell="N206" sqref="N206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0.43606481481481479</v>
      </c>
      <c r="D3" s="2" t="s">
        <v>466</v>
      </c>
      <c r="E3" t="s">
        <v>67</v>
      </c>
      <c r="F3" t="s">
        <v>469</v>
      </c>
      <c r="H3" t="s">
        <v>470</v>
      </c>
      <c r="I3" t="s">
        <v>409</v>
      </c>
      <c r="J3" t="s">
        <v>334</v>
      </c>
      <c r="K3" t="s">
        <v>410</v>
      </c>
      <c r="L3" t="s">
        <v>411</v>
      </c>
      <c r="M3" s="3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4">
        <v>45972</v>
      </c>
      <c r="C4" s="6">
        <v>0.46743055555555557</v>
      </c>
      <c r="D4" s="2" t="s">
        <v>466</v>
      </c>
      <c r="E4" t="s">
        <v>63</v>
      </c>
      <c r="F4" t="s">
        <v>58</v>
      </c>
      <c r="H4" t="s">
        <v>1620</v>
      </c>
      <c r="I4" t="s">
        <v>1456</v>
      </c>
      <c r="J4" t="s">
        <v>1308</v>
      </c>
      <c r="K4" t="s">
        <v>1457</v>
      </c>
      <c r="L4" t="s">
        <v>1458</v>
      </c>
      <c r="M4" s="3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4">
        <v>45972</v>
      </c>
      <c r="C5" s="6">
        <v>0.47805555555555557</v>
      </c>
      <c r="D5" s="2" t="s">
        <v>1616</v>
      </c>
      <c r="E5" t="s">
        <v>63</v>
      </c>
      <c r="F5" t="s">
        <v>58</v>
      </c>
      <c r="H5" t="s">
        <v>1620</v>
      </c>
      <c r="I5" t="s">
        <v>1459</v>
      </c>
      <c r="J5" t="s">
        <v>1308</v>
      </c>
      <c r="K5" t="s">
        <v>1460</v>
      </c>
      <c r="L5" t="s">
        <v>1461</v>
      </c>
      <c r="M5" s="3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4">
        <v>45972</v>
      </c>
      <c r="C6" s="6">
        <v>0.42944444444444446</v>
      </c>
      <c r="D6" s="2" t="s">
        <v>466</v>
      </c>
      <c r="E6" t="s">
        <v>67</v>
      </c>
      <c r="F6" t="s">
        <v>468</v>
      </c>
      <c r="I6" t="s">
        <v>400</v>
      </c>
      <c r="J6" t="s">
        <v>334</v>
      </c>
      <c r="K6" t="s">
        <v>401</v>
      </c>
      <c r="L6" t="s">
        <v>402</v>
      </c>
      <c r="M6" s="3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4">
        <v>45972</v>
      </c>
      <c r="C7" s="6">
        <v>0.4316550925925926</v>
      </c>
      <c r="D7" s="2" t="s">
        <v>466</v>
      </c>
      <c r="E7" t="s">
        <v>67</v>
      </c>
      <c r="F7" t="s">
        <v>468</v>
      </c>
      <c r="I7" t="s">
        <v>403</v>
      </c>
      <c r="J7" t="s">
        <v>334</v>
      </c>
      <c r="K7" t="s">
        <v>404</v>
      </c>
      <c r="L7" t="s">
        <v>405</v>
      </c>
      <c r="M7" s="3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4">
        <v>45972</v>
      </c>
      <c r="C8" s="6">
        <v>0.43408564814814815</v>
      </c>
      <c r="D8" s="2" t="s">
        <v>466</v>
      </c>
      <c r="E8" t="s">
        <v>67</v>
      </c>
      <c r="F8" t="s">
        <v>468</v>
      </c>
      <c r="I8" t="s">
        <v>406</v>
      </c>
      <c r="J8" t="s">
        <v>334</v>
      </c>
      <c r="K8" t="s">
        <v>407</v>
      </c>
      <c r="L8" t="s">
        <v>408</v>
      </c>
      <c r="M8" s="3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4">
        <v>45972</v>
      </c>
      <c r="C9" s="6">
        <v>0.48200231481481481</v>
      </c>
      <c r="D9" s="2" t="s">
        <v>1616</v>
      </c>
      <c r="E9" t="s">
        <v>63</v>
      </c>
      <c r="F9" t="s">
        <v>58</v>
      </c>
      <c r="H9" t="s">
        <v>1620</v>
      </c>
      <c r="I9" t="s">
        <v>1462</v>
      </c>
      <c r="J9" t="s">
        <v>1308</v>
      </c>
      <c r="K9" t="s">
        <v>1463</v>
      </c>
      <c r="L9" t="s">
        <v>1464</v>
      </c>
      <c r="M9" s="3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4">
        <v>45972</v>
      </c>
      <c r="C10" s="6">
        <v>0.51658564814814811</v>
      </c>
      <c r="D10" s="2" t="s">
        <v>1616</v>
      </c>
      <c r="E10" t="s">
        <v>55</v>
      </c>
      <c r="F10" t="s">
        <v>1619</v>
      </c>
      <c r="H10" t="s">
        <v>1620</v>
      </c>
      <c r="I10" t="s">
        <v>1480</v>
      </c>
      <c r="J10" t="s">
        <v>1308</v>
      </c>
      <c r="K10" t="s">
        <v>1481</v>
      </c>
      <c r="L10" t="s">
        <v>1482</v>
      </c>
      <c r="M10" s="3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4">
        <v>45972</v>
      </c>
      <c r="C11" s="6">
        <v>0.52825231481481483</v>
      </c>
      <c r="D11" s="2" t="s">
        <v>1616</v>
      </c>
      <c r="E11" t="s">
        <v>55</v>
      </c>
      <c r="F11" t="s">
        <v>1621</v>
      </c>
      <c r="I11" t="s">
        <v>1483</v>
      </c>
      <c r="J11" t="s">
        <v>1308</v>
      </c>
      <c r="K11" t="s">
        <v>1484</v>
      </c>
      <c r="L11" t="s">
        <v>1485</v>
      </c>
      <c r="M11" s="3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4">
        <v>45972</v>
      </c>
      <c r="C12" s="6">
        <v>0.52853009259259254</v>
      </c>
      <c r="D12" s="2" t="s">
        <v>1616</v>
      </c>
      <c r="E12" t="s">
        <v>55</v>
      </c>
      <c r="F12" t="s">
        <v>1622</v>
      </c>
      <c r="I12" t="s">
        <v>1486</v>
      </c>
      <c r="J12" t="s">
        <v>1308</v>
      </c>
      <c r="K12" t="s">
        <v>1487</v>
      </c>
      <c r="L12" t="s">
        <v>1488</v>
      </c>
      <c r="M12" s="3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4">
        <v>45972</v>
      </c>
      <c r="C13" s="6">
        <v>0.50693287037037038</v>
      </c>
      <c r="D13" s="2" t="s">
        <v>466</v>
      </c>
      <c r="E13" t="s">
        <v>55</v>
      </c>
      <c r="F13" t="s">
        <v>1617</v>
      </c>
      <c r="H13" t="s">
        <v>1618</v>
      </c>
      <c r="I13" t="s">
        <v>1471</v>
      </c>
      <c r="J13" t="s">
        <v>1308</v>
      </c>
      <c r="K13" t="s">
        <v>1472</v>
      </c>
      <c r="L13" t="s">
        <v>1473</v>
      </c>
      <c r="M13" s="3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4">
        <v>45972</v>
      </c>
      <c r="C14" s="6">
        <v>0.50932870370370376</v>
      </c>
      <c r="D14" s="2" t="s">
        <v>1616</v>
      </c>
      <c r="E14" t="s">
        <v>55</v>
      </c>
      <c r="F14" t="s">
        <v>1617</v>
      </c>
      <c r="H14" t="s">
        <v>1618</v>
      </c>
      <c r="I14" t="s">
        <v>1474</v>
      </c>
      <c r="J14" t="s">
        <v>1308</v>
      </c>
      <c r="K14" t="s">
        <v>1475</v>
      </c>
      <c r="L14" t="s">
        <v>1476</v>
      </c>
      <c r="M14" s="3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4">
        <v>45972</v>
      </c>
      <c r="C15" s="6">
        <v>0.51362268518518517</v>
      </c>
      <c r="D15" s="2" t="s">
        <v>1616</v>
      </c>
      <c r="E15" t="s">
        <v>55</v>
      </c>
      <c r="F15" t="s">
        <v>1617</v>
      </c>
      <c r="H15" t="s">
        <v>1618</v>
      </c>
      <c r="I15" t="s">
        <v>1477</v>
      </c>
      <c r="J15" t="s">
        <v>1308</v>
      </c>
      <c r="K15" t="s">
        <v>1478</v>
      </c>
      <c r="L15" t="s">
        <v>1479</v>
      </c>
      <c r="M15" s="3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4">
        <v>45972</v>
      </c>
      <c r="C16" s="6">
        <v>0.40597222222222223</v>
      </c>
      <c r="D16" s="2" t="s">
        <v>466</v>
      </c>
      <c r="E16" t="s">
        <v>67</v>
      </c>
      <c r="F16" t="s">
        <v>468</v>
      </c>
      <c r="I16" t="s">
        <v>376</v>
      </c>
      <c r="J16" t="s">
        <v>334</v>
      </c>
      <c r="K16" t="s">
        <v>377</v>
      </c>
      <c r="L16" t="s">
        <v>378</v>
      </c>
      <c r="M16" s="3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4">
        <v>45972</v>
      </c>
      <c r="C17" s="6">
        <v>0.40881944444444446</v>
      </c>
      <c r="D17" s="2" t="s">
        <v>466</v>
      </c>
      <c r="E17" t="s">
        <v>67</v>
      </c>
      <c r="F17" t="s">
        <v>468</v>
      </c>
      <c r="I17" t="s">
        <v>379</v>
      </c>
      <c r="J17" t="s">
        <v>334</v>
      </c>
      <c r="K17" t="s">
        <v>380</v>
      </c>
      <c r="L17" t="s">
        <v>381</v>
      </c>
      <c r="M17" s="3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4">
        <v>45972</v>
      </c>
      <c r="C18" s="6">
        <v>0.4105787037037037</v>
      </c>
      <c r="D18" s="2" t="s">
        <v>466</v>
      </c>
      <c r="E18" t="s">
        <v>67</v>
      </c>
      <c r="F18" t="s">
        <v>468</v>
      </c>
      <c r="I18" t="s">
        <v>382</v>
      </c>
      <c r="J18" t="s">
        <v>334</v>
      </c>
      <c r="K18" t="s">
        <v>383</v>
      </c>
      <c r="L18" t="s">
        <v>384</v>
      </c>
      <c r="M18" s="3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4">
        <v>45972</v>
      </c>
      <c r="C19" s="6">
        <v>0.39787037037037037</v>
      </c>
      <c r="D19" s="2" t="s">
        <v>466</v>
      </c>
      <c r="E19" t="s">
        <v>67</v>
      </c>
      <c r="F19" t="s">
        <v>468</v>
      </c>
      <c r="I19" t="s">
        <v>367</v>
      </c>
      <c r="J19" t="s">
        <v>334</v>
      </c>
      <c r="K19" t="s">
        <v>368</v>
      </c>
      <c r="L19" t="s">
        <v>369</v>
      </c>
      <c r="M19" s="3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4">
        <v>45972</v>
      </c>
      <c r="C20" s="6">
        <v>0.40370370370370373</v>
      </c>
      <c r="D20" s="2" t="s">
        <v>466</v>
      </c>
      <c r="E20" t="s">
        <v>67</v>
      </c>
      <c r="F20" t="s">
        <v>468</v>
      </c>
      <c r="I20" t="s">
        <v>370</v>
      </c>
      <c r="J20" t="s">
        <v>334</v>
      </c>
      <c r="K20" t="s">
        <v>371</v>
      </c>
      <c r="L20" t="s">
        <v>372</v>
      </c>
      <c r="M20" s="3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4">
        <v>45972</v>
      </c>
      <c r="C21" s="6">
        <v>0.40377314814814813</v>
      </c>
      <c r="D21" s="2" t="s">
        <v>466</v>
      </c>
      <c r="E21" t="s">
        <v>67</v>
      </c>
      <c r="F21" t="s">
        <v>468</v>
      </c>
      <c r="I21" t="s">
        <v>373</v>
      </c>
      <c r="J21" t="s">
        <v>334</v>
      </c>
      <c r="K21" t="s">
        <v>374</v>
      </c>
      <c r="L21" t="s">
        <v>375</v>
      </c>
      <c r="M21" s="3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4">
        <v>45972</v>
      </c>
      <c r="C22" s="6">
        <v>0.41627314814814814</v>
      </c>
      <c r="D22" s="2" t="s">
        <v>466</v>
      </c>
      <c r="E22" t="s">
        <v>67</v>
      </c>
      <c r="F22" t="s">
        <v>468</v>
      </c>
      <c r="I22" t="s">
        <v>391</v>
      </c>
      <c r="J22" t="s">
        <v>334</v>
      </c>
      <c r="K22" t="s">
        <v>392</v>
      </c>
      <c r="L22" t="s">
        <v>393</v>
      </c>
      <c r="M22" s="3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4">
        <v>45972</v>
      </c>
      <c r="C23" s="6">
        <v>0.4226273148148148</v>
      </c>
      <c r="D23" s="2" t="s">
        <v>466</v>
      </c>
      <c r="E23" t="s">
        <v>67</v>
      </c>
      <c r="F23" t="s">
        <v>468</v>
      </c>
      <c r="I23" t="s">
        <v>394</v>
      </c>
      <c r="J23" t="s">
        <v>334</v>
      </c>
      <c r="K23" t="s">
        <v>395</v>
      </c>
      <c r="L23" t="s">
        <v>396</v>
      </c>
      <c r="M23" s="3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4">
        <v>45972</v>
      </c>
      <c r="C24" s="6">
        <v>0.42736111111111114</v>
      </c>
      <c r="D24" s="2" t="s">
        <v>466</v>
      </c>
      <c r="E24" t="s">
        <v>67</v>
      </c>
      <c r="F24" t="s">
        <v>468</v>
      </c>
      <c r="I24" t="s">
        <v>397</v>
      </c>
      <c r="J24" t="s">
        <v>334</v>
      </c>
      <c r="K24" t="s">
        <v>398</v>
      </c>
      <c r="L24" t="s">
        <v>399</v>
      </c>
      <c r="M24" s="3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4">
        <v>45972</v>
      </c>
      <c r="C25" s="6">
        <v>0.41136574074074073</v>
      </c>
      <c r="D25" s="2" t="s">
        <v>466</v>
      </c>
      <c r="E25" t="s">
        <v>67</v>
      </c>
      <c r="F25" t="s">
        <v>468</v>
      </c>
      <c r="I25" t="s">
        <v>385</v>
      </c>
      <c r="J25" t="s">
        <v>334</v>
      </c>
      <c r="K25" t="s">
        <v>386</v>
      </c>
      <c r="L25" t="s">
        <v>387</v>
      </c>
      <c r="M25" s="3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4">
        <v>45972</v>
      </c>
      <c r="C26" s="6">
        <v>0.41312500000000002</v>
      </c>
      <c r="D26" s="2" t="s">
        <v>466</v>
      </c>
      <c r="E26" t="s">
        <v>67</v>
      </c>
      <c r="F26" t="s">
        <v>468</v>
      </c>
      <c r="I26" t="s">
        <v>388</v>
      </c>
      <c r="J26" t="s">
        <v>334</v>
      </c>
      <c r="K26" t="s">
        <v>389</v>
      </c>
      <c r="L26" t="s">
        <v>390</v>
      </c>
      <c r="M26" s="3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4">
        <v>45974</v>
      </c>
      <c r="C27" s="6">
        <v>0.38524305555555555</v>
      </c>
      <c r="D27" s="2" t="s">
        <v>466</v>
      </c>
      <c r="E27" t="s">
        <v>70</v>
      </c>
      <c r="F27" t="s">
        <v>58</v>
      </c>
      <c r="H27" t="s">
        <v>1620</v>
      </c>
      <c r="I27" t="s">
        <v>1522</v>
      </c>
      <c r="J27" t="s">
        <v>1308</v>
      </c>
      <c r="K27" t="s">
        <v>1523</v>
      </c>
      <c r="L27" t="s">
        <v>1524</v>
      </c>
      <c r="M27" s="3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4">
        <v>45974</v>
      </c>
      <c r="C28" s="6">
        <v>0.38702546296296297</v>
      </c>
      <c r="D28" s="2" t="s">
        <v>466</v>
      </c>
      <c r="E28" t="s">
        <v>70</v>
      </c>
      <c r="F28" t="s">
        <v>58</v>
      </c>
      <c r="H28" t="s">
        <v>1620</v>
      </c>
      <c r="I28" t="s">
        <v>1525</v>
      </c>
      <c r="J28" t="s">
        <v>1308</v>
      </c>
      <c r="K28" t="s">
        <v>1526</v>
      </c>
      <c r="L28" t="s">
        <v>1527</v>
      </c>
      <c r="M28" s="3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0.43355324074074075</v>
      </c>
      <c r="D30" s="2" t="s">
        <v>1616</v>
      </c>
      <c r="E30" t="s">
        <v>2920</v>
      </c>
      <c r="F30" t="s">
        <v>58</v>
      </c>
      <c r="H30" t="s">
        <v>2957</v>
      </c>
      <c r="I30" t="s">
        <v>2699</v>
      </c>
      <c r="J30" t="s">
        <v>1308</v>
      </c>
      <c r="K30" t="s">
        <v>2700</v>
      </c>
      <c r="L30" t="s">
        <v>2546</v>
      </c>
      <c r="M30" s="3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4">
        <v>45979</v>
      </c>
      <c r="C31" s="6">
        <v>0.43384259259259261</v>
      </c>
      <c r="D31" s="2" t="s">
        <v>1616</v>
      </c>
      <c r="E31" t="s">
        <v>2920</v>
      </c>
      <c r="F31" t="s">
        <v>58</v>
      </c>
      <c r="H31" t="s">
        <v>2957</v>
      </c>
      <c r="I31" t="s">
        <v>2701</v>
      </c>
      <c r="J31" t="s">
        <v>1308</v>
      </c>
      <c r="K31" t="s">
        <v>2702</v>
      </c>
      <c r="L31" t="s">
        <v>2703</v>
      </c>
      <c r="M31" s="3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4">
        <v>45979</v>
      </c>
      <c r="C32" s="6">
        <v>0.43287037037037035</v>
      </c>
      <c r="D32" s="2" t="s">
        <v>466</v>
      </c>
      <c r="E32" t="s">
        <v>2920</v>
      </c>
      <c r="F32" t="s">
        <v>58</v>
      </c>
      <c r="H32" t="s">
        <v>2957</v>
      </c>
      <c r="I32" t="s">
        <v>2697</v>
      </c>
      <c r="J32" t="s">
        <v>1308</v>
      </c>
      <c r="K32" t="s">
        <v>2698</v>
      </c>
      <c r="L32" t="s">
        <v>2534</v>
      </c>
      <c r="M32" s="3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4">
        <v>45979</v>
      </c>
      <c r="C33" s="6">
        <v>0.38895833333333335</v>
      </c>
      <c r="D33" s="2" t="s">
        <v>1616</v>
      </c>
      <c r="E33" t="s">
        <v>70</v>
      </c>
      <c r="F33" t="s">
        <v>2952</v>
      </c>
      <c r="H33" t="s">
        <v>2956</v>
      </c>
      <c r="I33" t="s">
        <v>2679</v>
      </c>
      <c r="J33" t="s">
        <v>1308</v>
      </c>
      <c r="K33" t="s">
        <v>2680</v>
      </c>
      <c r="L33" t="s">
        <v>2681</v>
      </c>
      <c r="M33" s="3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4">
        <v>45979</v>
      </c>
      <c r="C34" s="6">
        <v>0.43306712962962962</v>
      </c>
      <c r="D34" s="2" t="s">
        <v>1616</v>
      </c>
      <c r="E34" t="s">
        <v>2920</v>
      </c>
      <c r="F34" t="s">
        <v>58</v>
      </c>
      <c r="H34" t="s">
        <v>2957</v>
      </c>
      <c r="I34" t="s">
        <v>2535</v>
      </c>
      <c r="J34" t="s">
        <v>1628</v>
      </c>
      <c r="K34" t="s">
        <v>2536</v>
      </c>
      <c r="L34" t="s">
        <v>2537</v>
      </c>
      <c r="M34" s="3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4">
        <v>45979</v>
      </c>
      <c r="C35" s="6">
        <v>0.43386574074074075</v>
      </c>
      <c r="D35" s="2" t="s">
        <v>1616</v>
      </c>
      <c r="E35" t="s">
        <v>2920</v>
      </c>
      <c r="F35" t="s">
        <v>58</v>
      </c>
      <c r="H35" t="s">
        <v>2957</v>
      </c>
      <c r="I35" t="s">
        <v>2550</v>
      </c>
      <c r="J35" t="s">
        <v>1628</v>
      </c>
      <c r="K35" t="s">
        <v>2551</v>
      </c>
      <c r="L35" t="s">
        <v>2552</v>
      </c>
      <c r="M35" s="3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4">
        <v>45979</v>
      </c>
      <c r="C36" s="6">
        <v>0.43373842592592593</v>
      </c>
      <c r="D36" s="2" t="s">
        <v>1616</v>
      </c>
      <c r="E36" t="s">
        <v>2920</v>
      </c>
      <c r="F36" t="s">
        <v>58</v>
      </c>
      <c r="H36" t="s">
        <v>2957</v>
      </c>
      <c r="I36" t="s">
        <v>2547</v>
      </c>
      <c r="J36" t="s">
        <v>1628</v>
      </c>
      <c r="K36" t="s">
        <v>2548</v>
      </c>
      <c r="L36" t="s">
        <v>2549</v>
      </c>
      <c r="M36" s="3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4">
        <v>45979</v>
      </c>
      <c r="C37" s="6">
        <v>0.4332523148148148</v>
      </c>
      <c r="D37" s="2" t="s">
        <v>1616</v>
      </c>
      <c r="E37" t="s">
        <v>2920</v>
      </c>
      <c r="F37" t="s">
        <v>58</v>
      </c>
      <c r="H37" t="s">
        <v>2957</v>
      </c>
      <c r="I37" t="s">
        <v>2538</v>
      </c>
      <c r="J37" t="s">
        <v>1628</v>
      </c>
      <c r="K37" t="s">
        <v>2539</v>
      </c>
      <c r="L37" t="s">
        <v>2540</v>
      </c>
      <c r="M37" s="3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0.38112268518518516</v>
      </c>
      <c r="D39" s="2" t="s">
        <v>1616</v>
      </c>
      <c r="E39" t="s">
        <v>70</v>
      </c>
      <c r="F39" t="s">
        <v>58</v>
      </c>
      <c r="H39" t="s">
        <v>2956</v>
      </c>
      <c r="I39" t="s">
        <v>2664</v>
      </c>
      <c r="J39" t="s">
        <v>1308</v>
      </c>
      <c r="K39" t="s">
        <v>2665</v>
      </c>
      <c r="L39" t="s">
        <v>2666</v>
      </c>
      <c r="M39" s="3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4">
        <v>45979</v>
      </c>
      <c r="C40" s="6">
        <v>0.58296296296296302</v>
      </c>
      <c r="D40" s="2" t="s">
        <v>289</v>
      </c>
      <c r="E40" t="s">
        <v>2927</v>
      </c>
      <c r="F40" t="s">
        <v>58</v>
      </c>
      <c r="H40" t="s">
        <v>2928</v>
      </c>
      <c r="I40" t="s">
        <v>2070</v>
      </c>
      <c r="J40" t="s">
        <v>204</v>
      </c>
      <c r="K40" t="s">
        <v>2071</v>
      </c>
      <c r="L40" t="s">
        <v>2072</v>
      </c>
      <c r="M40" s="3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4">
        <v>45979</v>
      </c>
      <c r="C41" s="6">
        <v>0.38093749999999998</v>
      </c>
      <c r="D41" s="2" t="s">
        <v>466</v>
      </c>
      <c r="E41" t="s">
        <v>70</v>
      </c>
      <c r="F41" t="s">
        <v>58</v>
      </c>
      <c r="H41" t="s">
        <v>2956</v>
      </c>
      <c r="I41" t="s">
        <v>2658</v>
      </c>
      <c r="J41" t="s">
        <v>1308</v>
      </c>
      <c r="K41" t="s">
        <v>2659</v>
      </c>
      <c r="L41" t="s">
        <v>2660</v>
      </c>
      <c r="M41" s="3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4">
        <v>45979</v>
      </c>
      <c r="C42" s="6">
        <v>0.38103009259259257</v>
      </c>
      <c r="D42" s="2" t="s">
        <v>1616</v>
      </c>
      <c r="E42" t="s">
        <v>70</v>
      </c>
      <c r="F42" t="s">
        <v>58</v>
      </c>
      <c r="H42" t="s">
        <v>2956</v>
      </c>
      <c r="I42" t="s">
        <v>2661</v>
      </c>
      <c r="J42" t="s">
        <v>1308</v>
      </c>
      <c r="K42" t="s">
        <v>2662</v>
      </c>
      <c r="L42" t="s">
        <v>2663</v>
      </c>
      <c r="M42" s="3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4">
        <v>45979</v>
      </c>
      <c r="C43" s="6">
        <v>0.38765046296296296</v>
      </c>
      <c r="D43" s="2" t="s">
        <v>1616</v>
      </c>
      <c r="E43" t="s">
        <v>70</v>
      </c>
      <c r="F43" t="s">
        <v>2950</v>
      </c>
      <c r="H43" t="s">
        <v>2956</v>
      </c>
      <c r="I43" t="s">
        <v>2673</v>
      </c>
      <c r="J43" t="s">
        <v>1308</v>
      </c>
      <c r="K43" t="s">
        <v>2674</v>
      </c>
      <c r="L43" t="s">
        <v>2675</v>
      </c>
      <c r="M43" s="3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4">
        <v>45979</v>
      </c>
      <c r="C44" s="6">
        <v>0.38149305555555557</v>
      </c>
      <c r="D44" s="2" t="s">
        <v>1616</v>
      </c>
      <c r="E44" t="s">
        <v>70</v>
      </c>
      <c r="F44" t="s">
        <v>58</v>
      </c>
      <c r="H44" t="s">
        <v>2956</v>
      </c>
      <c r="I44" t="s">
        <v>2667</v>
      </c>
      <c r="J44" t="s">
        <v>1308</v>
      </c>
      <c r="K44" t="s">
        <v>2668</v>
      </c>
      <c r="L44" t="s">
        <v>2669</v>
      </c>
      <c r="M44" s="3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4">
        <v>45979</v>
      </c>
      <c r="C45" s="6">
        <v>0.38665509259259262</v>
      </c>
      <c r="D45" s="2" t="s">
        <v>1616</v>
      </c>
      <c r="E45" t="s">
        <v>70</v>
      </c>
      <c r="F45" t="s">
        <v>58</v>
      </c>
      <c r="H45" t="s">
        <v>2956</v>
      </c>
      <c r="I45" t="s">
        <v>2670</v>
      </c>
      <c r="J45" t="s">
        <v>1308</v>
      </c>
      <c r="K45" t="s">
        <v>2671</v>
      </c>
      <c r="L45" t="s">
        <v>2672</v>
      </c>
      <c r="M45" s="3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4">
        <v>45979</v>
      </c>
      <c r="C46" s="6">
        <v>0.3881134259259259</v>
      </c>
      <c r="D46" s="2" t="s">
        <v>1616</v>
      </c>
      <c r="E46" t="s">
        <v>70</v>
      </c>
      <c r="F46" t="s">
        <v>2951</v>
      </c>
      <c r="H46" t="s">
        <v>2956</v>
      </c>
      <c r="I46" t="s">
        <v>2676</v>
      </c>
      <c r="J46" t="s">
        <v>1308</v>
      </c>
      <c r="K46" t="s">
        <v>2677</v>
      </c>
      <c r="L46" t="s">
        <v>2678</v>
      </c>
      <c r="M46" s="3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4">
        <v>45980</v>
      </c>
      <c r="C47" s="6">
        <v>0.47888888888888886</v>
      </c>
      <c r="D47" s="2" t="s">
        <v>1616</v>
      </c>
      <c r="E47" t="s">
        <v>70</v>
      </c>
      <c r="F47" t="s">
        <v>2962</v>
      </c>
      <c r="H47" t="s">
        <v>2957</v>
      </c>
      <c r="I47" t="s">
        <v>2779</v>
      </c>
      <c r="J47" t="s">
        <v>1308</v>
      </c>
      <c r="K47" t="s">
        <v>2780</v>
      </c>
      <c r="L47" t="s">
        <v>2781</v>
      </c>
      <c r="M47" s="3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4">
        <v>45980</v>
      </c>
      <c r="C48" s="6">
        <v>0.47864583333333333</v>
      </c>
      <c r="D48" s="2" t="s">
        <v>1616</v>
      </c>
      <c r="E48" t="s">
        <v>70</v>
      </c>
      <c r="F48" t="s">
        <v>58</v>
      </c>
      <c r="H48" t="s">
        <v>2957</v>
      </c>
      <c r="I48" t="s">
        <v>2776</v>
      </c>
      <c r="J48" t="s">
        <v>1308</v>
      </c>
      <c r="K48" t="s">
        <v>2777</v>
      </c>
      <c r="L48" t="s">
        <v>2778</v>
      </c>
      <c r="M48" s="3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4">
        <v>45980</v>
      </c>
      <c r="C49" s="6">
        <v>0.47585648148148146</v>
      </c>
      <c r="D49" s="2" t="s">
        <v>1616</v>
      </c>
      <c r="E49" t="s">
        <v>70</v>
      </c>
      <c r="F49" t="s">
        <v>58</v>
      </c>
      <c r="H49" t="s">
        <v>2963</v>
      </c>
      <c r="I49" t="s">
        <v>2770</v>
      </c>
      <c r="J49" t="s">
        <v>1308</v>
      </c>
      <c r="K49" t="s">
        <v>2771</v>
      </c>
      <c r="L49" t="s">
        <v>2772</v>
      </c>
      <c r="M49" s="3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4">
        <v>45980</v>
      </c>
      <c r="C50" s="6">
        <v>0.47793981481481479</v>
      </c>
      <c r="D50" s="2" t="s">
        <v>1616</v>
      </c>
      <c r="E50" t="s">
        <v>70</v>
      </c>
      <c r="F50" t="s">
        <v>58</v>
      </c>
      <c r="H50" t="s">
        <v>2963</v>
      </c>
      <c r="I50" t="s">
        <v>2773</v>
      </c>
      <c r="J50" t="s">
        <v>1308</v>
      </c>
      <c r="K50" t="s">
        <v>2774</v>
      </c>
      <c r="L50" t="s">
        <v>2775</v>
      </c>
      <c r="M50" s="3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4">
        <v>45980</v>
      </c>
      <c r="C51" s="6">
        <v>0.47957175925925927</v>
      </c>
      <c r="D51" s="2" t="s">
        <v>1616</v>
      </c>
      <c r="E51" t="s">
        <v>70</v>
      </c>
      <c r="F51" t="s">
        <v>2962</v>
      </c>
      <c r="H51" t="s">
        <v>2957</v>
      </c>
      <c r="I51" t="s">
        <v>2791</v>
      </c>
      <c r="J51" t="s">
        <v>1308</v>
      </c>
      <c r="K51" t="s">
        <v>2792</v>
      </c>
      <c r="L51" t="s">
        <v>2793</v>
      </c>
      <c r="M51" s="3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4">
        <v>45980</v>
      </c>
      <c r="C52" s="6">
        <v>0.47385416666666669</v>
      </c>
      <c r="D52" s="2" t="s">
        <v>1616</v>
      </c>
      <c r="E52" t="s">
        <v>70</v>
      </c>
      <c r="F52" t="s">
        <v>58</v>
      </c>
      <c r="H52" t="s">
        <v>2963</v>
      </c>
      <c r="I52" t="s">
        <v>2761</v>
      </c>
      <c r="J52" t="s">
        <v>1308</v>
      </c>
      <c r="K52" t="s">
        <v>2762</v>
      </c>
      <c r="L52" t="s">
        <v>2763</v>
      </c>
      <c r="M52" s="3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4">
        <v>45980</v>
      </c>
      <c r="C53" s="6">
        <v>0.47950231481481481</v>
      </c>
      <c r="D53" s="2" t="s">
        <v>1616</v>
      </c>
      <c r="E53" t="s">
        <v>70</v>
      </c>
      <c r="F53" t="s">
        <v>2962</v>
      </c>
      <c r="H53" t="s">
        <v>2957</v>
      </c>
      <c r="I53" t="s">
        <v>2788</v>
      </c>
      <c r="J53" t="s">
        <v>1308</v>
      </c>
      <c r="K53" t="s">
        <v>2789</v>
      </c>
      <c r="L53" t="s">
        <v>2790</v>
      </c>
      <c r="M53" s="3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4">
        <v>45980</v>
      </c>
      <c r="C54" s="6">
        <v>0.4790625</v>
      </c>
      <c r="D54" s="2" t="s">
        <v>1616</v>
      </c>
      <c r="E54" t="s">
        <v>70</v>
      </c>
      <c r="F54" t="s">
        <v>2962</v>
      </c>
      <c r="H54" t="s">
        <v>2957</v>
      </c>
      <c r="I54" t="s">
        <v>2782</v>
      </c>
      <c r="J54" t="s">
        <v>1308</v>
      </c>
      <c r="K54" t="s">
        <v>2783</v>
      </c>
      <c r="L54" t="s">
        <v>2784</v>
      </c>
      <c r="M54" s="3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4">
        <v>45980</v>
      </c>
      <c r="C55" s="6">
        <v>0.47940972222222222</v>
      </c>
      <c r="D55" s="2" t="s">
        <v>1616</v>
      </c>
      <c r="E55" t="s">
        <v>70</v>
      </c>
      <c r="F55" t="s">
        <v>2962</v>
      </c>
      <c r="H55" t="s">
        <v>2957</v>
      </c>
      <c r="I55" t="s">
        <v>2785</v>
      </c>
      <c r="J55" t="s">
        <v>1308</v>
      </c>
      <c r="K55" t="s">
        <v>2786</v>
      </c>
      <c r="L55" t="s">
        <v>2787</v>
      </c>
      <c r="M55" s="3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4">
        <v>45980</v>
      </c>
      <c r="C56" s="6">
        <v>0.46491898148148147</v>
      </c>
      <c r="D56" s="2" t="s">
        <v>1616</v>
      </c>
      <c r="E56" t="s">
        <v>70</v>
      </c>
      <c r="F56" t="s">
        <v>58</v>
      </c>
      <c r="H56" t="s">
        <v>2956</v>
      </c>
      <c r="I56" t="s">
        <v>2740</v>
      </c>
      <c r="J56" t="s">
        <v>1308</v>
      </c>
      <c r="K56" t="s">
        <v>2741</v>
      </c>
      <c r="L56" t="s">
        <v>2742</v>
      </c>
      <c r="M56" s="3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0.46673611111111113</v>
      </c>
      <c r="D58" s="2" t="s">
        <v>1616</v>
      </c>
      <c r="E58" t="s">
        <v>70</v>
      </c>
      <c r="F58" t="s">
        <v>58</v>
      </c>
      <c r="H58" t="s">
        <v>2956</v>
      </c>
      <c r="I58" t="s">
        <v>2746</v>
      </c>
      <c r="J58" t="s">
        <v>1308</v>
      </c>
      <c r="K58" t="s">
        <v>2747</v>
      </c>
      <c r="L58" t="s">
        <v>2748</v>
      </c>
      <c r="M58" s="3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4">
        <v>45980</v>
      </c>
      <c r="C59" s="6">
        <v>0.46177083333333335</v>
      </c>
      <c r="D59" s="2" t="s">
        <v>466</v>
      </c>
      <c r="E59" t="s">
        <v>70</v>
      </c>
      <c r="F59" t="s">
        <v>58</v>
      </c>
      <c r="H59" t="s">
        <v>2956</v>
      </c>
      <c r="I59" t="s">
        <v>2731</v>
      </c>
      <c r="J59" t="s">
        <v>1308</v>
      </c>
      <c r="K59" t="s">
        <v>2732</v>
      </c>
      <c r="L59" t="s">
        <v>2733</v>
      </c>
      <c r="M59" s="3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4">
        <v>45980</v>
      </c>
      <c r="C60" s="6">
        <v>0.46206018518518521</v>
      </c>
      <c r="D60" s="2" t="s">
        <v>1616</v>
      </c>
      <c r="E60" t="s">
        <v>70</v>
      </c>
      <c r="F60" t="s">
        <v>58</v>
      </c>
      <c r="H60" t="s">
        <v>2956</v>
      </c>
      <c r="I60" t="s">
        <v>2734</v>
      </c>
      <c r="J60" t="s">
        <v>1308</v>
      </c>
      <c r="K60" t="s">
        <v>2735</v>
      </c>
      <c r="L60" t="s">
        <v>2736</v>
      </c>
      <c r="M60" s="3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4">
        <v>45980</v>
      </c>
      <c r="C61" s="6">
        <v>0.46342592592592591</v>
      </c>
      <c r="D61" s="2" t="s">
        <v>1616</v>
      </c>
      <c r="E61" t="s">
        <v>70</v>
      </c>
      <c r="F61" t="s">
        <v>58</v>
      </c>
      <c r="H61" t="s">
        <v>2956</v>
      </c>
      <c r="I61" t="s">
        <v>2737</v>
      </c>
      <c r="J61" t="s">
        <v>1308</v>
      </c>
      <c r="K61" t="s">
        <v>2738</v>
      </c>
      <c r="L61" t="s">
        <v>2739</v>
      </c>
      <c r="M61" s="3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4">
        <v>45980</v>
      </c>
      <c r="C62" s="6">
        <v>0.47151620370370373</v>
      </c>
      <c r="D62" s="2" t="s">
        <v>1616</v>
      </c>
      <c r="E62" t="s">
        <v>70</v>
      </c>
      <c r="F62" t="s">
        <v>58</v>
      </c>
      <c r="H62" t="s">
        <v>2956</v>
      </c>
      <c r="I62" t="s">
        <v>2758</v>
      </c>
      <c r="J62" t="s">
        <v>1308</v>
      </c>
      <c r="K62" t="s">
        <v>2759</v>
      </c>
      <c r="L62" t="s">
        <v>2760</v>
      </c>
      <c r="M62" s="3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4">
        <v>45980</v>
      </c>
      <c r="C63" s="6">
        <v>0.47458333333333336</v>
      </c>
      <c r="D63" s="2" t="s">
        <v>1616</v>
      </c>
      <c r="E63" t="s">
        <v>70</v>
      </c>
      <c r="F63" t="s">
        <v>2962</v>
      </c>
      <c r="H63" t="s">
        <v>2956</v>
      </c>
      <c r="I63" t="s">
        <v>2764</v>
      </c>
      <c r="J63" t="s">
        <v>1308</v>
      </c>
      <c r="K63" t="s">
        <v>2765</v>
      </c>
      <c r="L63" t="s">
        <v>2766</v>
      </c>
      <c r="M63" s="3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4">
        <v>45980</v>
      </c>
      <c r="C64" s="6">
        <v>0.47570601851851851</v>
      </c>
      <c r="D64" s="2" t="s">
        <v>1616</v>
      </c>
      <c r="E64" t="s">
        <v>70</v>
      </c>
      <c r="F64" t="s">
        <v>58</v>
      </c>
      <c r="H64" t="s">
        <v>2963</v>
      </c>
      <c r="I64" t="s">
        <v>2767</v>
      </c>
      <c r="J64" t="s">
        <v>1308</v>
      </c>
      <c r="K64" t="s">
        <v>2768</v>
      </c>
      <c r="L64" t="s">
        <v>2769</v>
      </c>
      <c r="M64" s="3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4">
        <v>45980</v>
      </c>
      <c r="C65" s="6">
        <v>0.46688657407407408</v>
      </c>
      <c r="D65" s="2" t="s">
        <v>1616</v>
      </c>
      <c r="E65" t="s">
        <v>70</v>
      </c>
      <c r="F65" t="s">
        <v>58</v>
      </c>
      <c r="H65" t="s">
        <v>2956</v>
      </c>
      <c r="I65" t="s">
        <v>2749</v>
      </c>
      <c r="J65" t="s">
        <v>1308</v>
      </c>
      <c r="K65" t="s">
        <v>2750</v>
      </c>
      <c r="L65" t="s">
        <v>2751</v>
      </c>
      <c r="M65" s="3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4">
        <v>45980</v>
      </c>
      <c r="C66" s="6">
        <v>0.46755787037037039</v>
      </c>
      <c r="D66" s="2" t="s">
        <v>1616</v>
      </c>
      <c r="E66" t="s">
        <v>70</v>
      </c>
      <c r="F66" t="s">
        <v>58</v>
      </c>
      <c r="H66" t="s">
        <v>2956</v>
      </c>
      <c r="I66" t="s">
        <v>2752</v>
      </c>
      <c r="J66" t="s">
        <v>1308</v>
      </c>
      <c r="K66" t="s">
        <v>2753</v>
      </c>
      <c r="L66" t="s">
        <v>2754</v>
      </c>
      <c r="M66" s="3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4">
        <v>45980</v>
      </c>
      <c r="C67" s="6">
        <v>0.46975694444444444</v>
      </c>
      <c r="D67" s="2" t="s">
        <v>1616</v>
      </c>
      <c r="E67" t="s">
        <v>70</v>
      </c>
      <c r="F67" t="s">
        <v>58</v>
      </c>
      <c r="H67" t="s">
        <v>2956</v>
      </c>
      <c r="I67" t="s">
        <v>2755</v>
      </c>
      <c r="J67" t="s">
        <v>1308</v>
      </c>
      <c r="K67" t="s">
        <v>2756</v>
      </c>
      <c r="L67" t="s">
        <v>2757</v>
      </c>
      <c r="M67" s="3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0.62989583333333332</v>
      </c>
      <c r="D69" s="2" t="s">
        <v>289</v>
      </c>
      <c r="E69" t="s">
        <v>70</v>
      </c>
      <c r="F69" t="s">
        <v>58</v>
      </c>
      <c r="H69" t="s">
        <v>2936</v>
      </c>
      <c r="I69" t="s">
        <v>3940</v>
      </c>
      <c r="J69" t="s">
        <v>2985</v>
      </c>
      <c r="K69" t="s">
        <v>3941</v>
      </c>
      <c r="L69" t="s">
        <v>3942</v>
      </c>
      <c r="M69" s="3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4">
        <v>45986</v>
      </c>
      <c r="C70" s="6">
        <v>0.62843749999999998</v>
      </c>
      <c r="D70" s="2" t="s">
        <v>289</v>
      </c>
      <c r="E70" t="s">
        <v>70</v>
      </c>
      <c r="F70" t="s">
        <v>58</v>
      </c>
      <c r="H70" t="s">
        <v>2936</v>
      </c>
      <c r="I70" t="s">
        <v>3931</v>
      </c>
      <c r="J70" t="s">
        <v>2985</v>
      </c>
      <c r="K70" t="s">
        <v>3932</v>
      </c>
      <c r="L70" t="s">
        <v>3933</v>
      </c>
      <c r="M70" s="3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4">
        <v>45986</v>
      </c>
      <c r="C71" s="6">
        <v>0.62826388888888884</v>
      </c>
      <c r="D71" s="2" t="s">
        <v>289</v>
      </c>
      <c r="E71" t="s">
        <v>70</v>
      </c>
      <c r="F71" t="s">
        <v>58</v>
      </c>
      <c r="H71" t="s">
        <v>1620</v>
      </c>
      <c r="I71" t="s">
        <v>3928</v>
      </c>
      <c r="J71" t="s">
        <v>2985</v>
      </c>
      <c r="K71" t="s">
        <v>3929</v>
      </c>
      <c r="L71" t="s">
        <v>3930</v>
      </c>
      <c r="M71" s="3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4">
        <v>45986</v>
      </c>
      <c r="C72" s="6">
        <v>0.62981481481481483</v>
      </c>
      <c r="D72" s="2" t="s">
        <v>289</v>
      </c>
      <c r="E72" t="s">
        <v>70</v>
      </c>
      <c r="F72" t="s">
        <v>58</v>
      </c>
      <c r="H72" t="s">
        <v>2936</v>
      </c>
      <c r="I72" t="s">
        <v>3937</v>
      </c>
      <c r="J72" t="s">
        <v>2985</v>
      </c>
      <c r="K72" t="s">
        <v>3938</v>
      </c>
      <c r="L72" t="s">
        <v>3939</v>
      </c>
      <c r="M72" s="3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3934</v>
      </c>
      <c r="J73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0.6300810185185185</v>
      </c>
      <c r="D74" s="2" t="s">
        <v>289</v>
      </c>
      <c r="E74" t="s">
        <v>70</v>
      </c>
      <c r="F74" t="s">
        <v>58</v>
      </c>
      <c r="H74" t="s">
        <v>2936</v>
      </c>
      <c r="I74" t="s">
        <v>3943</v>
      </c>
      <c r="J74" t="s">
        <v>2985</v>
      </c>
      <c r="K74" t="s">
        <v>3944</v>
      </c>
      <c r="L74" t="s">
        <v>3945</v>
      </c>
      <c r="M74" s="3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4">
        <v>45986</v>
      </c>
      <c r="C75" s="6">
        <v>0.63023148148148145</v>
      </c>
      <c r="D75" s="2" t="s">
        <v>289</v>
      </c>
      <c r="E75" t="s">
        <v>70</v>
      </c>
      <c r="F75" t="s">
        <v>58</v>
      </c>
      <c r="H75" t="s">
        <v>2936</v>
      </c>
      <c r="I75" t="s">
        <v>3946</v>
      </c>
      <c r="J75" t="s">
        <v>2985</v>
      </c>
      <c r="K75" t="s">
        <v>3947</v>
      </c>
      <c r="L75" t="s">
        <v>3948</v>
      </c>
      <c r="M75" s="3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4">
        <v>45986</v>
      </c>
      <c r="C76" s="6">
        <v>0.6305439814814815</v>
      </c>
      <c r="D76" s="2" t="s">
        <v>289</v>
      </c>
      <c r="E76" t="s">
        <v>70</v>
      </c>
      <c r="F76" t="s">
        <v>58</v>
      </c>
      <c r="H76" t="s">
        <v>2936</v>
      </c>
      <c r="I76" t="s">
        <v>3949</v>
      </c>
      <c r="J76" t="s">
        <v>2985</v>
      </c>
      <c r="K76" t="s">
        <v>3950</v>
      </c>
      <c r="L76" t="s">
        <v>3951</v>
      </c>
      <c r="M76" s="3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4">
        <v>45986</v>
      </c>
      <c r="C77" s="6">
        <v>0.6318287037037037</v>
      </c>
      <c r="D77" s="2" t="s">
        <v>289</v>
      </c>
      <c r="E77" t="s">
        <v>70</v>
      </c>
      <c r="F77" t="s">
        <v>4233</v>
      </c>
      <c r="H77" t="s">
        <v>1618</v>
      </c>
      <c r="I77" t="s">
        <v>3955</v>
      </c>
      <c r="J77" t="s">
        <v>2985</v>
      </c>
      <c r="K77" t="s">
        <v>3956</v>
      </c>
      <c r="L77" t="s">
        <v>3957</v>
      </c>
      <c r="M77" s="3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4">
        <v>45987</v>
      </c>
      <c r="C78" s="6">
        <v>0.44269675925925928</v>
      </c>
      <c r="D78" s="2" t="s">
        <v>289</v>
      </c>
      <c r="E78" t="s">
        <v>4192</v>
      </c>
      <c r="F78" t="s">
        <v>58</v>
      </c>
      <c r="H78" t="s">
        <v>2936</v>
      </c>
      <c r="I78" t="s">
        <v>3980</v>
      </c>
      <c r="J78" t="s">
        <v>2985</v>
      </c>
      <c r="K78" t="s">
        <v>3981</v>
      </c>
      <c r="L78" t="s">
        <v>3982</v>
      </c>
      <c r="M78" s="3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4">
        <v>45987</v>
      </c>
      <c r="C79" s="6">
        <v>0.44207175925925923</v>
      </c>
      <c r="D79" s="2" t="s">
        <v>289</v>
      </c>
      <c r="E79" t="s">
        <v>4192</v>
      </c>
      <c r="F79" t="s">
        <v>58</v>
      </c>
      <c r="H79" t="s">
        <v>1620</v>
      </c>
      <c r="I79" t="s">
        <v>3965</v>
      </c>
      <c r="J79" t="s">
        <v>2985</v>
      </c>
      <c r="K79" t="s">
        <v>3966</v>
      </c>
      <c r="L79" t="s">
        <v>3967</v>
      </c>
      <c r="M79" s="3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4">
        <v>45987</v>
      </c>
      <c r="C80" s="6">
        <v>0.44216435185185188</v>
      </c>
      <c r="D80" s="2" t="s">
        <v>289</v>
      </c>
      <c r="E80" t="s">
        <v>4192</v>
      </c>
      <c r="F80" t="s">
        <v>58</v>
      </c>
      <c r="H80" t="s">
        <v>2936</v>
      </c>
      <c r="I80" t="s">
        <v>3968</v>
      </c>
      <c r="J80" t="s">
        <v>2985</v>
      </c>
      <c r="K80" t="s">
        <v>3969</v>
      </c>
      <c r="L80" t="s">
        <v>3970</v>
      </c>
      <c r="M80" s="3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4">
        <v>45987</v>
      </c>
      <c r="C81" s="6">
        <v>0.44284722222222223</v>
      </c>
      <c r="D81" s="2" t="s">
        <v>289</v>
      </c>
      <c r="E81" t="s">
        <v>4192</v>
      </c>
      <c r="F81" t="s">
        <v>58</v>
      </c>
      <c r="H81" t="s">
        <v>2936</v>
      </c>
      <c r="I81" t="s">
        <v>3983</v>
      </c>
      <c r="J81" t="s">
        <v>2985</v>
      </c>
      <c r="K81" t="s">
        <v>3984</v>
      </c>
      <c r="L81" t="s">
        <v>3985</v>
      </c>
      <c r="M81" s="3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4">
        <v>45987</v>
      </c>
      <c r="C82" s="6">
        <v>0.45056712962962964</v>
      </c>
      <c r="D82" s="2" t="s">
        <v>289</v>
      </c>
      <c r="E82" t="s">
        <v>4192</v>
      </c>
      <c r="F82" t="s">
        <v>58</v>
      </c>
      <c r="H82" t="s">
        <v>2936</v>
      </c>
      <c r="I82" t="s">
        <v>4013</v>
      </c>
      <c r="J82" t="s">
        <v>2985</v>
      </c>
      <c r="K82" t="s">
        <v>4014</v>
      </c>
      <c r="L82" t="s">
        <v>4015</v>
      </c>
      <c r="M82" s="3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4">
        <v>45987</v>
      </c>
      <c r="C83" s="6">
        <v>0.44848379629629631</v>
      </c>
      <c r="D83" s="2" t="s">
        <v>289</v>
      </c>
      <c r="E83" t="s">
        <v>4192</v>
      </c>
      <c r="F83" t="s">
        <v>58</v>
      </c>
      <c r="H83" t="s">
        <v>2936</v>
      </c>
      <c r="I83" t="s">
        <v>4097</v>
      </c>
      <c r="J83" t="s">
        <v>2986</v>
      </c>
      <c r="K83" t="s">
        <v>4098</v>
      </c>
      <c r="L83" t="s">
        <v>4099</v>
      </c>
      <c r="M83" s="3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4">
        <v>45987</v>
      </c>
      <c r="C84" s="6">
        <v>0.44864583333333335</v>
      </c>
      <c r="D84" s="2" t="s">
        <v>289</v>
      </c>
      <c r="E84" t="s">
        <v>4192</v>
      </c>
      <c r="F84" t="s">
        <v>58</v>
      </c>
      <c r="H84" t="s">
        <v>2936</v>
      </c>
      <c r="I84" t="s">
        <v>4100</v>
      </c>
      <c r="J84" t="s">
        <v>2986</v>
      </c>
      <c r="K84" t="s">
        <v>4101</v>
      </c>
      <c r="L84" t="s">
        <v>4102</v>
      </c>
      <c r="M84" s="3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4">
        <v>45987</v>
      </c>
      <c r="C85" s="6">
        <v>0.44947916666666665</v>
      </c>
      <c r="D85" s="2" t="s">
        <v>289</v>
      </c>
      <c r="E85" t="s">
        <v>4192</v>
      </c>
      <c r="F85" t="s">
        <v>58</v>
      </c>
      <c r="H85" t="s">
        <v>2936</v>
      </c>
      <c r="I85" t="s">
        <v>4103</v>
      </c>
      <c r="J85" t="s">
        <v>2986</v>
      </c>
      <c r="K85" t="s">
        <v>4104</v>
      </c>
      <c r="L85" t="s">
        <v>4105</v>
      </c>
      <c r="M85" s="3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4">
        <v>45987</v>
      </c>
      <c r="C86" s="6">
        <v>0.44723379629629628</v>
      </c>
      <c r="D86" s="2" t="s">
        <v>289</v>
      </c>
      <c r="E86" t="s">
        <v>4192</v>
      </c>
      <c r="F86" t="s">
        <v>58</v>
      </c>
      <c r="I86" t="s">
        <v>4094</v>
      </c>
      <c r="J86" t="s">
        <v>2986</v>
      </c>
      <c r="K86" t="s">
        <v>4095</v>
      </c>
      <c r="L86" t="s">
        <v>4096</v>
      </c>
      <c r="M86" s="3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4">
        <v>45987</v>
      </c>
      <c r="C87" s="6">
        <v>0.44473379629629628</v>
      </c>
      <c r="D87" s="2" t="s">
        <v>289</v>
      </c>
      <c r="E87" t="s">
        <v>4192</v>
      </c>
      <c r="F87" t="s">
        <v>58</v>
      </c>
      <c r="H87" t="s">
        <v>2936</v>
      </c>
      <c r="I87" t="s">
        <v>3992</v>
      </c>
      <c r="J87" t="s">
        <v>2985</v>
      </c>
      <c r="K87" t="s">
        <v>3993</v>
      </c>
      <c r="L87" t="s">
        <v>3994</v>
      </c>
      <c r="M87" s="3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4">
        <v>45987</v>
      </c>
      <c r="C88" s="6">
        <v>0.44495370370370368</v>
      </c>
      <c r="D88" s="2" t="s">
        <v>289</v>
      </c>
      <c r="E88" t="s">
        <v>4192</v>
      </c>
      <c r="F88" t="s">
        <v>58</v>
      </c>
      <c r="H88" t="s">
        <v>2936</v>
      </c>
      <c r="I88" t="s">
        <v>3995</v>
      </c>
      <c r="J88" t="s">
        <v>2985</v>
      </c>
      <c r="K88" t="s">
        <v>3996</v>
      </c>
      <c r="L88" t="s">
        <v>3997</v>
      </c>
      <c r="M88" s="3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4">
        <v>45987</v>
      </c>
      <c r="C89" s="6">
        <v>0.4478125</v>
      </c>
      <c r="D89" s="2" t="s">
        <v>289</v>
      </c>
      <c r="E89" t="s">
        <v>4192</v>
      </c>
      <c r="F89" t="s">
        <v>58</v>
      </c>
      <c r="H89" t="s">
        <v>2936</v>
      </c>
      <c r="I89" t="s">
        <v>4010</v>
      </c>
      <c r="J89" t="s">
        <v>2985</v>
      </c>
      <c r="K89" t="s">
        <v>4011</v>
      </c>
      <c r="L89" t="s">
        <v>4012</v>
      </c>
      <c r="M89" s="3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4">
        <v>45987</v>
      </c>
      <c r="C90" s="6">
        <v>0.44372685185185184</v>
      </c>
      <c r="D90" s="2" t="s">
        <v>289</v>
      </c>
      <c r="E90" t="s">
        <v>4192</v>
      </c>
      <c r="F90" t="s">
        <v>58</v>
      </c>
      <c r="I90" t="s">
        <v>3989</v>
      </c>
      <c r="J90" t="s">
        <v>2985</v>
      </c>
      <c r="K90" t="s">
        <v>3990</v>
      </c>
      <c r="L90" t="s">
        <v>3991</v>
      </c>
      <c r="M90" s="3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4">
        <v>45987</v>
      </c>
      <c r="C91" s="6">
        <v>0.44767361111111109</v>
      </c>
      <c r="D91" s="2" t="s">
        <v>289</v>
      </c>
      <c r="E91" t="s">
        <v>4192</v>
      </c>
      <c r="F91" t="s">
        <v>58</v>
      </c>
      <c r="H91" t="s">
        <v>2936</v>
      </c>
      <c r="I91" t="s">
        <v>4007</v>
      </c>
      <c r="J91" t="s">
        <v>2985</v>
      </c>
      <c r="K91" t="s">
        <v>4008</v>
      </c>
      <c r="L91" t="s">
        <v>4009</v>
      </c>
      <c r="M91" s="3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4">
        <v>45987</v>
      </c>
      <c r="C92" s="6">
        <v>0.44255787037037037</v>
      </c>
      <c r="D92" s="2" t="s">
        <v>289</v>
      </c>
      <c r="E92" t="s">
        <v>4192</v>
      </c>
      <c r="F92" t="s">
        <v>58</v>
      </c>
      <c r="H92" t="s">
        <v>2936</v>
      </c>
      <c r="I92" t="s">
        <v>3977</v>
      </c>
      <c r="J92" t="s">
        <v>2985</v>
      </c>
      <c r="K92" t="s">
        <v>3978</v>
      </c>
      <c r="L92" t="s">
        <v>3979</v>
      </c>
      <c r="M92" s="3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4">
        <v>45987</v>
      </c>
      <c r="C93" s="6">
        <v>0.44241898148148145</v>
      </c>
      <c r="D93" s="2" t="s">
        <v>289</v>
      </c>
      <c r="E93" t="s">
        <v>4192</v>
      </c>
      <c r="F93" t="s">
        <v>58</v>
      </c>
      <c r="H93" t="s">
        <v>2936</v>
      </c>
      <c r="I93" t="s">
        <v>3974</v>
      </c>
      <c r="J93" t="s">
        <v>2985</v>
      </c>
      <c r="K93" t="s">
        <v>3975</v>
      </c>
      <c r="L93" t="s">
        <v>3976</v>
      </c>
      <c r="M93" s="3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4">
        <v>45987</v>
      </c>
      <c r="C94" s="6">
        <v>0.44226851851851851</v>
      </c>
      <c r="D94" s="2" t="s">
        <v>289</v>
      </c>
      <c r="E94" t="s">
        <v>4192</v>
      </c>
      <c r="F94" t="s">
        <v>58</v>
      </c>
      <c r="H94" t="s">
        <v>2936</v>
      </c>
      <c r="I94" t="s">
        <v>3971</v>
      </c>
      <c r="J94" t="s">
        <v>2985</v>
      </c>
      <c r="K94" t="s">
        <v>3972</v>
      </c>
      <c r="L94" t="s">
        <v>3973</v>
      </c>
      <c r="M94" s="3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4">
        <v>45987</v>
      </c>
      <c r="C95" s="6">
        <v>0.4475925925925926</v>
      </c>
      <c r="D95" s="2" t="s">
        <v>289</v>
      </c>
      <c r="E95" t="s">
        <v>4192</v>
      </c>
      <c r="F95" t="s">
        <v>58</v>
      </c>
      <c r="I95" t="s">
        <v>4004</v>
      </c>
      <c r="J95" t="s">
        <v>2985</v>
      </c>
      <c r="K95" t="s">
        <v>4005</v>
      </c>
      <c r="L95" t="s">
        <v>4006</v>
      </c>
      <c r="M95" s="3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4">
        <v>45990</v>
      </c>
      <c r="C96" s="6">
        <v>0.63124999999999998</v>
      </c>
      <c r="D96" s="2" t="s">
        <v>289</v>
      </c>
      <c r="E96" t="s">
        <v>4194</v>
      </c>
      <c r="F96" t="s">
        <v>4211</v>
      </c>
      <c r="H96" t="s">
        <v>2936</v>
      </c>
      <c r="I96" t="s">
        <v>3630</v>
      </c>
      <c r="J96" t="s">
        <v>2984</v>
      </c>
      <c r="K96" t="s">
        <v>3631</v>
      </c>
      <c r="L96" t="s">
        <v>3632</v>
      </c>
      <c r="M96" s="3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4">
        <v>45990</v>
      </c>
      <c r="C97" s="6">
        <v>0.62604166666666672</v>
      </c>
      <c r="D97" s="2" t="s">
        <v>289</v>
      </c>
      <c r="E97" t="s">
        <v>4194</v>
      </c>
      <c r="F97" t="s">
        <v>4211</v>
      </c>
      <c r="H97" t="s">
        <v>2936</v>
      </c>
      <c r="I97" t="s">
        <v>3627</v>
      </c>
      <c r="J97" t="s">
        <v>2984</v>
      </c>
      <c r="K97" t="s">
        <v>3628</v>
      </c>
      <c r="L97" t="s">
        <v>3629</v>
      </c>
      <c r="M97" s="3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4">
        <v>45990</v>
      </c>
      <c r="C98" s="6">
        <v>0.67753472222222222</v>
      </c>
      <c r="D98" s="2" t="s">
        <v>289</v>
      </c>
      <c r="E98" t="s">
        <v>4195</v>
      </c>
      <c r="F98" t="s">
        <v>4211</v>
      </c>
      <c r="H98" t="s">
        <v>2936</v>
      </c>
      <c r="I98" t="s">
        <v>3689</v>
      </c>
      <c r="J98" t="s">
        <v>2984</v>
      </c>
      <c r="K98" t="s">
        <v>3690</v>
      </c>
      <c r="L98" t="s">
        <v>3691</v>
      </c>
      <c r="M98" s="3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4">
        <v>45990</v>
      </c>
      <c r="C99" s="6">
        <v>0.65699074074074071</v>
      </c>
      <c r="D99" s="2" t="s">
        <v>289</v>
      </c>
      <c r="E99" t="s">
        <v>4195</v>
      </c>
      <c r="F99" t="s">
        <v>4211</v>
      </c>
      <c r="H99" t="s">
        <v>2936</v>
      </c>
      <c r="I99" t="s">
        <v>3659</v>
      </c>
      <c r="J99" t="s">
        <v>2984</v>
      </c>
      <c r="K99" t="s">
        <v>3660</v>
      </c>
      <c r="L99" t="s">
        <v>3661</v>
      </c>
      <c r="M99" s="3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4">
        <v>45990</v>
      </c>
      <c r="C100" s="6">
        <v>0.62410879629629634</v>
      </c>
      <c r="D100" s="2" t="s">
        <v>289</v>
      </c>
      <c r="E100" t="s">
        <v>4194</v>
      </c>
      <c r="F100" t="s">
        <v>4211</v>
      </c>
      <c r="H100" t="s">
        <v>2936</v>
      </c>
      <c r="I100" t="s">
        <v>3624</v>
      </c>
      <c r="J100" t="s">
        <v>2984</v>
      </c>
      <c r="K100" t="s">
        <v>3625</v>
      </c>
      <c r="L100" t="s">
        <v>3626</v>
      </c>
      <c r="M100" s="3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4">
        <v>45990</v>
      </c>
      <c r="C101" s="6">
        <v>0.61790509259259263</v>
      </c>
      <c r="D101" s="2" t="s">
        <v>289</v>
      </c>
      <c r="E101" t="s">
        <v>4194</v>
      </c>
      <c r="F101" t="s">
        <v>4211</v>
      </c>
      <c r="H101" t="s">
        <v>2936</v>
      </c>
      <c r="I101" t="s">
        <v>3615</v>
      </c>
      <c r="J101" t="s">
        <v>2984</v>
      </c>
      <c r="K101" t="s">
        <v>3616</v>
      </c>
      <c r="L101" t="s">
        <v>3617</v>
      </c>
      <c r="M101" s="3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4">
        <v>45990</v>
      </c>
      <c r="C102" s="6">
        <v>0.64386574074074077</v>
      </c>
      <c r="D102" s="2" t="s">
        <v>289</v>
      </c>
      <c r="E102" t="s">
        <v>4194</v>
      </c>
      <c r="F102" t="s">
        <v>87</v>
      </c>
      <c r="I102" t="s">
        <v>3645</v>
      </c>
      <c r="J102" t="s">
        <v>2984</v>
      </c>
      <c r="K102" t="s">
        <v>3646</v>
      </c>
      <c r="L102" t="s">
        <v>3647</v>
      </c>
      <c r="M102" s="3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4">
        <v>45990</v>
      </c>
      <c r="C103" s="6">
        <v>0.65312499999999996</v>
      </c>
      <c r="D103" s="2" t="s">
        <v>289</v>
      </c>
      <c r="E103" t="s">
        <v>4195</v>
      </c>
      <c r="F103" t="s">
        <v>4211</v>
      </c>
      <c r="I103" t="s">
        <v>3653</v>
      </c>
      <c r="J103" t="s">
        <v>2984</v>
      </c>
      <c r="K103" t="s">
        <v>3654</v>
      </c>
      <c r="L103" t="s">
        <v>3655</v>
      </c>
      <c r="M103" s="3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4">
        <v>45990</v>
      </c>
      <c r="C104" s="6">
        <v>0.65543981481481484</v>
      </c>
      <c r="D104" s="2" t="s">
        <v>289</v>
      </c>
      <c r="E104" t="s">
        <v>4195</v>
      </c>
      <c r="F104" t="s">
        <v>4211</v>
      </c>
      <c r="H104" t="s">
        <v>2936</v>
      </c>
      <c r="I104" t="s">
        <v>3656</v>
      </c>
      <c r="J104" t="s">
        <v>2984</v>
      </c>
      <c r="K104" t="s">
        <v>3657</v>
      </c>
      <c r="L104" t="s">
        <v>3658</v>
      </c>
      <c r="M104" s="3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4">
        <v>45990</v>
      </c>
      <c r="C105" s="6">
        <v>0.61982638888888886</v>
      </c>
      <c r="D105" s="2" t="s">
        <v>289</v>
      </c>
      <c r="E105" t="s">
        <v>4194</v>
      </c>
      <c r="F105" t="s">
        <v>4211</v>
      </c>
      <c r="H105" t="s">
        <v>2936</v>
      </c>
      <c r="I105" t="s">
        <v>3618</v>
      </c>
      <c r="J105" t="s">
        <v>2984</v>
      </c>
      <c r="K105" t="s">
        <v>3619</v>
      </c>
      <c r="L105" t="s">
        <v>3620</v>
      </c>
      <c r="M105" s="3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4">
        <v>45990</v>
      </c>
      <c r="C106" s="6">
        <v>0.6216666666666667</v>
      </c>
      <c r="D106" s="2" t="s">
        <v>289</v>
      </c>
      <c r="E106" t="s">
        <v>4194</v>
      </c>
      <c r="F106" t="s">
        <v>4211</v>
      </c>
      <c r="H106" t="s">
        <v>2936</v>
      </c>
      <c r="I106" t="s">
        <v>3621</v>
      </c>
      <c r="J106" t="s">
        <v>2984</v>
      </c>
      <c r="K106" t="s">
        <v>3622</v>
      </c>
      <c r="L106" t="s">
        <v>3623</v>
      </c>
      <c r="M106" s="3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4">
        <v>45990</v>
      </c>
      <c r="C107" s="6">
        <v>0.6338773148148148</v>
      </c>
      <c r="D107" s="2" t="s">
        <v>289</v>
      </c>
      <c r="E107" t="s">
        <v>4194</v>
      </c>
      <c r="F107" t="s">
        <v>4211</v>
      </c>
      <c r="H107" t="s">
        <v>2936</v>
      </c>
      <c r="I107" t="s">
        <v>3633</v>
      </c>
      <c r="J107" t="s">
        <v>2984</v>
      </c>
      <c r="K107" t="s">
        <v>3634</v>
      </c>
      <c r="L107" t="s">
        <v>3635</v>
      </c>
      <c r="M107" s="3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4">
        <v>45990</v>
      </c>
      <c r="C108" s="6">
        <v>0.67155092592592591</v>
      </c>
      <c r="D108" s="2" t="s">
        <v>289</v>
      </c>
      <c r="E108" t="s">
        <v>4195</v>
      </c>
      <c r="F108" t="s">
        <v>4211</v>
      </c>
      <c r="H108" t="s">
        <v>2936</v>
      </c>
      <c r="I108" t="s">
        <v>3677</v>
      </c>
      <c r="J108" t="s">
        <v>2984</v>
      </c>
      <c r="K108" t="s">
        <v>3678</v>
      </c>
      <c r="L108" t="s">
        <v>3679</v>
      </c>
      <c r="M108" s="3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4">
        <v>45990</v>
      </c>
      <c r="C109" s="6">
        <v>0.65927083333333336</v>
      </c>
      <c r="D109" s="2" t="s">
        <v>289</v>
      </c>
      <c r="E109" t="s">
        <v>4195</v>
      </c>
      <c r="F109" t="s">
        <v>4211</v>
      </c>
      <c r="H109" t="s">
        <v>2936</v>
      </c>
      <c r="I109" t="s">
        <v>3662</v>
      </c>
      <c r="J109" t="s">
        <v>2984</v>
      </c>
      <c r="K109" t="s">
        <v>3663</v>
      </c>
      <c r="L109" t="s">
        <v>3664</v>
      </c>
      <c r="M109" s="3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4">
        <v>45990</v>
      </c>
      <c r="C110" s="6">
        <v>0.66106481481481483</v>
      </c>
      <c r="D110" s="2" t="s">
        <v>289</v>
      </c>
      <c r="E110" t="s">
        <v>4195</v>
      </c>
      <c r="F110" t="s">
        <v>4211</v>
      </c>
      <c r="H110" t="s">
        <v>2936</v>
      </c>
      <c r="I110" t="s">
        <v>3665</v>
      </c>
      <c r="J110" t="s">
        <v>2984</v>
      </c>
      <c r="K110" t="s">
        <v>3666</v>
      </c>
      <c r="L110" t="s">
        <v>3667</v>
      </c>
      <c r="M110" s="3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4">
        <v>45990</v>
      </c>
      <c r="C111" s="6">
        <v>0.69054398148148144</v>
      </c>
      <c r="D111" s="2" t="s">
        <v>289</v>
      </c>
      <c r="E111" t="s">
        <v>4211</v>
      </c>
      <c r="H111" t="s">
        <v>2936</v>
      </c>
      <c r="I111" t="s">
        <v>3462</v>
      </c>
      <c r="J111" t="s">
        <v>2983</v>
      </c>
      <c r="K111" t="s">
        <v>3463</v>
      </c>
      <c r="L111" t="s">
        <v>3464</v>
      </c>
      <c r="M111" s="3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4">
        <v>45990</v>
      </c>
      <c r="C112" s="6">
        <v>0.66733796296296299</v>
      </c>
      <c r="D112" s="2" t="s">
        <v>289</v>
      </c>
      <c r="E112" t="s">
        <v>4195</v>
      </c>
      <c r="F112" t="s">
        <v>4211</v>
      </c>
      <c r="H112" t="s">
        <v>2936</v>
      </c>
      <c r="I112" t="s">
        <v>3671</v>
      </c>
      <c r="J112" t="s">
        <v>2984</v>
      </c>
      <c r="K112" t="s">
        <v>3672</v>
      </c>
      <c r="L112" t="s">
        <v>3673</v>
      </c>
      <c r="M112" s="3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4">
        <v>45990</v>
      </c>
      <c r="C113" s="6">
        <v>0.66971064814814818</v>
      </c>
      <c r="D113" s="2" t="s">
        <v>289</v>
      </c>
      <c r="E113" t="s">
        <v>4195</v>
      </c>
      <c r="F113" t="s">
        <v>4211</v>
      </c>
      <c r="H113" t="s">
        <v>2936</v>
      </c>
      <c r="I113" t="s">
        <v>3674</v>
      </c>
      <c r="J113" t="s">
        <v>2984</v>
      </c>
      <c r="K113" t="s">
        <v>3675</v>
      </c>
      <c r="L113" t="s">
        <v>3676</v>
      </c>
      <c r="M113" s="3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4">
        <v>45990</v>
      </c>
      <c r="C114" s="6">
        <v>0.66378472222222218</v>
      </c>
      <c r="D114" s="2" t="s">
        <v>289</v>
      </c>
      <c r="E114" t="s">
        <v>4195</v>
      </c>
      <c r="F114" t="s">
        <v>4211</v>
      </c>
      <c r="H114" t="s">
        <v>2936</v>
      </c>
      <c r="I114" t="s">
        <v>3668</v>
      </c>
      <c r="J114" t="s">
        <v>2984</v>
      </c>
      <c r="K114" t="s">
        <v>3669</v>
      </c>
      <c r="L114" t="s">
        <v>3670</v>
      </c>
      <c r="M114" s="3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4">
        <v>45990</v>
      </c>
      <c r="C115" s="6">
        <v>0.68376157407407412</v>
      </c>
      <c r="D115" s="2" t="s">
        <v>289</v>
      </c>
      <c r="E115" t="s">
        <v>4195</v>
      </c>
      <c r="F115" t="s">
        <v>4211</v>
      </c>
      <c r="H115" t="s">
        <v>2936</v>
      </c>
      <c r="I115" t="s">
        <v>3698</v>
      </c>
      <c r="J115" t="s">
        <v>2984</v>
      </c>
      <c r="K115" t="s">
        <v>3699</v>
      </c>
      <c r="L115" t="s">
        <v>3700</v>
      </c>
      <c r="M115" s="3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4">
        <v>45990</v>
      </c>
      <c r="C116" s="6">
        <v>0.67570601851851853</v>
      </c>
      <c r="D116" s="2" t="s">
        <v>289</v>
      </c>
      <c r="E116" t="s">
        <v>4195</v>
      </c>
      <c r="F116" t="s">
        <v>4211</v>
      </c>
      <c r="H116" t="s">
        <v>2936</v>
      </c>
      <c r="I116" t="s">
        <v>3683</v>
      </c>
      <c r="J116" t="s">
        <v>2984</v>
      </c>
      <c r="K116" t="s">
        <v>3684</v>
      </c>
      <c r="L116" t="s">
        <v>3685</v>
      </c>
      <c r="M116" s="3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4">
        <v>45990</v>
      </c>
      <c r="C117" s="6">
        <v>0.67623842592592598</v>
      </c>
      <c r="D117" s="2" t="s">
        <v>289</v>
      </c>
      <c r="E117" t="s">
        <v>4195</v>
      </c>
      <c r="F117" t="s">
        <v>4211</v>
      </c>
      <c r="H117" t="s">
        <v>2936</v>
      </c>
      <c r="I117" t="s">
        <v>3686</v>
      </c>
      <c r="J117" t="s">
        <v>2984</v>
      </c>
      <c r="K117" t="s">
        <v>3687</v>
      </c>
      <c r="L117" t="s">
        <v>3688</v>
      </c>
      <c r="M117" s="3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4">
        <v>45990</v>
      </c>
      <c r="C118" s="6">
        <v>0.67405092592592597</v>
      </c>
      <c r="D118" s="2" t="s">
        <v>289</v>
      </c>
      <c r="E118" t="s">
        <v>4195</v>
      </c>
      <c r="F118" t="s">
        <v>4211</v>
      </c>
      <c r="H118" t="s">
        <v>2936</v>
      </c>
      <c r="I118" t="s">
        <v>3680</v>
      </c>
      <c r="J118" t="s">
        <v>2984</v>
      </c>
      <c r="K118" t="s">
        <v>3681</v>
      </c>
      <c r="L118" t="s">
        <v>3682</v>
      </c>
      <c r="M118" s="3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4">
        <v>45990</v>
      </c>
      <c r="C119" s="6">
        <v>0.68038194444444444</v>
      </c>
      <c r="D119" s="2" t="s">
        <v>289</v>
      </c>
      <c r="E119" t="s">
        <v>4195</v>
      </c>
      <c r="F119" t="s">
        <v>4211</v>
      </c>
      <c r="H119" t="s">
        <v>2936</v>
      </c>
      <c r="I119" t="s">
        <v>3692</v>
      </c>
      <c r="J119" t="s">
        <v>2984</v>
      </c>
      <c r="K119" t="s">
        <v>3693</v>
      </c>
      <c r="L119" t="s">
        <v>3694</v>
      </c>
      <c r="M119" s="3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4">
        <v>45990</v>
      </c>
      <c r="C120" s="6">
        <v>0.68329861111111112</v>
      </c>
      <c r="D120" s="2" t="s">
        <v>289</v>
      </c>
      <c r="E120" t="s">
        <v>4195</v>
      </c>
      <c r="F120" t="s">
        <v>4211</v>
      </c>
      <c r="H120" t="s">
        <v>2936</v>
      </c>
      <c r="I120" t="s">
        <v>3695</v>
      </c>
      <c r="J120" t="s">
        <v>2984</v>
      </c>
      <c r="K120" t="s">
        <v>3696</v>
      </c>
      <c r="L120" t="s">
        <v>3697</v>
      </c>
      <c r="M120" s="3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4">
        <v>45990</v>
      </c>
      <c r="C121" s="6">
        <v>0.68625000000000003</v>
      </c>
      <c r="D121" s="2" t="s">
        <v>289</v>
      </c>
      <c r="E121" t="s">
        <v>4195</v>
      </c>
      <c r="F121" t="s">
        <v>4211</v>
      </c>
      <c r="H121" t="s">
        <v>2936</v>
      </c>
      <c r="I121" t="s">
        <v>3701</v>
      </c>
      <c r="J121" t="s">
        <v>2984</v>
      </c>
      <c r="K121" t="s">
        <v>3702</v>
      </c>
      <c r="L121" t="s">
        <v>3703</v>
      </c>
      <c r="M121" s="3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t="s">
        <v>3704</v>
      </c>
      <c r="J122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0.6917592592592593</v>
      </c>
      <c r="D123" s="2" t="s">
        <v>289</v>
      </c>
      <c r="E123" t="s">
        <v>4195</v>
      </c>
      <c r="F123" t="s">
        <v>4211</v>
      </c>
      <c r="H123" t="s">
        <v>2936</v>
      </c>
      <c r="I123" t="s">
        <v>3707</v>
      </c>
      <c r="J123" t="s">
        <v>2984</v>
      </c>
      <c r="K123" t="s">
        <v>3708</v>
      </c>
      <c r="L123" t="s">
        <v>3709</v>
      </c>
      <c r="M123" s="3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4">
        <v>45990</v>
      </c>
      <c r="C124" s="6">
        <v>0.58450231481481485</v>
      </c>
      <c r="D124" s="2" t="s">
        <v>289</v>
      </c>
      <c r="E124" t="s">
        <v>4217</v>
      </c>
      <c r="F124" t="s">
        <v>4211</v>
      </c>
      <c r="H124" t="s">
        <v>2936</v>
      </c>
      <c r="I124" t="s">
        <v>3606</v>
      </c>
      <c r="J124" t="s">
        <v>2984</v>
      </c>
      <c r="K124" t="s">
        <v>3607</v>
      </c>
      <c r="L124" t="s">
        <v>3608</v>
      </c>
      <c r="M124" s="3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4">
        <v>45990</v>
      </c>
      <c r="C125" s="6">
        <v>0.65773148148148153</v>
      </c>
      <c r="D125" s="2" t="s">
        <v>289</v>
      </c>
      <c r="E125" t="s">
        <v>4211</v>
      </c>
      <c r="H125" t="s">
        <v>2936</v>
      </c>
      <c r="I125" t="s">
        <v>3450</v>
      </c>
      <c r="J125" t="s">
        <v>2983</v>
      </c>
      <c r="K125" t="s">
        <v>3451</v>
      </c>
      <c r="L125" t="s">
        <v>3452</v>
      </c>
      <c r="M125" s="3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4">
        <v>45990</v>
      </c>
      <c r="C126" s="6">
        <v>0.69224537037037037</v>
      </c>
      <c r="D126" s="2" t="s">
        <v>289</v>
      </c>
      <c r="E126" t="s">
        <v>4195</v>
      </c>
      <c r="F126" t="s">
        <v>4211</v>
      </c>
      <c r="H126" t="s">
        <v>2936</v>
      </c>
      <c r="I126" t="s">
        <v>3710</v>
      </c>
      <c r="J126" t="s">
        <v>2984</v>
      </c>
      <c r="K126" t="s">
        <v>3711</v>
      </c>
      <c r="L126" t="s">
        <v>3712</v>
      </c>
      <c r="M126" s="3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4">
        <v>45990</v>
      </c>
      <c r="C127" s="6">
        <v>0.61375000000000002</v>
      </c>
      <c r="D127" s="2" t="s">
        <v>289</v>
      </c>
      <c r="E127" t="s">
        <v>4194</v>
      </c>
      <c r="F127" t="s">
        <v>4211</v>
      </c>
      <c r="I127" t="s">
        <v>3612</v>
      </c>
      <c r="J127" t="s">
        <v>2984</v>
      </c>
      <c r="K127" t="s">
        <v>3613</v>
      </c>
      <c r="L127" t="s">
        <v>3614</v>
      </c>
      <c r="M127" s="3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4">
        <v>45990</v>
      </c>
      <c r="C128" s="6">
        <v>0.57677083333333334</v>
      </c>
      <c r="D128" s="2" t="s">
        <v>289</v>
      </c>
      <c r="E128" t="s">
        <v>4217</v>
      </c>
      <c r="F128" t="s">
        <v>4211</v>
      </c>
      <c r="H128" t="s">
        <v>2936</v>
      </c>
      <c r="I128" t="s">
        <v>3594</v>
      </c>
      <c r="J128" t="s">
        <v>2984</v>
      </c>
      <c r="K128" t="s">
        <v>3595</v>
      </c>
      <c r="L128" t="s">
        <v>3596</v>
      </c>
      <c r="M128" s="3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4">
        <v>45990</v>
      </c>
      <c r="C129" s="6">
        <v>0.58212962962962966</v>
      </c>
      <c r="D129" s="2" t="s">
        <v>289</v>
      </c>
      <c r="E129" t="s">
        <v>4217</v>
      </c>
      <c r="F129" t="s">
        <v>4211</v>
      </c>
      <c r="H129" t="s">
        <v>2936</v>
      </c>
      <c r="I129" t="s">
        <v>3600</v>
      </c>
      <c r="J129" t="s">
        <v>2984</v>
      </c>
      <c r="K129" t="s">
        <v>3601</v>
      </c>
      <c r="L129" t="s">
        <v>3602</v>
      </c>
      <c r="M129" s="3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4">
        <v>45990</v>
      </c>
      <c r="C130" s="6">
        <v>0.57995370370370369</v>
      </c>
      <c r="D130" s="2" t="s">
        <v>289</v>
      </c>
      <c r="E130" t="s">
        <v>4217</v>
      </c>
      <c r="F130" t="s">
        <v>4211</v>
      </c>
      <c r="H130" t="s">
        <v>2936</v>
      </c>
      <c r="I130" t="s">
        <v>3597</v>
      </c>
      <c r="J130" t="s">
        <v>2984</v>
      </c>
      <c r="K130" t="s">
        <v>3598</v>
      </c>
      <c r="L130" t="s">
        <v>3599</v>
      </c>
      <c r="M130" s="3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4">
        <v>45990</v>
      </c>
      <c r="C131" s="6">
        <v>0.57168981481481485</v>
      </c>
      <c r="D131" s="2" t="s">
        <v>289</v>
      </c>
      <c r="E131" t="s">
        <v>4217</v>
      </c>
      <c r="F131" t="s">
        <v>4211</v>
      </c>
      <c r="H131" t="s">
        <v>2936</v>
      </c>
      <c r="I131" t="s">
        <v>3585</v>
      </c>
      <c r="J131" t="s">
        <v>2984</v>
      </c>
      <c r="K131" t="s">
        <v>3586</v>
      </c>
      <c r="L131" t="s">
        <v>3587</v>
      </c>
      <c r="M131" s="3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4">
        <v>45990</v>
      </c>
      <c r="C132" s="6">
        <v>0.58278935185185188</v>
      </c>
      <c r="D132" s="2" t="s">
        <v>289</v>
      </c>
      <c r="E132" t="s">
        <v>4217</v>
      </c>
      <c r="F132" t="s">
        <v>4211</v>
      </c>
      <c r="H132" t="s">
        <v>2936</v>
      </c>
      <c r="I132" t="s">
        <v>3603</v>
      </c>
      <c r="J132" t="s">
        <v>2984</v>
      </c>
      <c r="K132" t="s">
        <v>3604</v>
      </c>
      <c r="L132" t="s">
        <v>3605</v>
      </c>
      <c r="M132" s="3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4">
        <v>45990</v>
      </c>
      <c r="C133" s="6">
        <v>0.57449074074074069</v>
      </c>
      <c r="D133" s="2" t="s">
        <v>289</v>
      </c>
      <c r="E133" t="s">
        <v>4217</v>
      </c>
      <c r="F133" t="s">
        <v>4211</v>
      </c>
      <c r="H133" t="s">
        <v>2936</v>
      </c>
      <c r="I133" t="s">
        <v>3591</v>
      </c>
      <c r="J133" t="s">
        <v>2984</v>
      </c>
      <c r="K133" t="s">
        <v>3592</v>
      </c>
      <c r="L133" t="s">
        <v>3593</v>
      </c>
      <c r="M133" s="3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4">
        <v>45990</v>
      </c>
      <c r="C134" s="6">
        <v>0.57275462962962964</v>
      </c>
      <c r="D134" s="2" t="s">
        <v>289</v>
      </c>
      <c r="E134" t="s">
        <v>4217</v>
      </c>
      <c r="F134" t="s">
        <v>4211</v>
      </c>
      <c r="H134" t="s">
        <v>2936</v>
      </c>
      <c r="I134" t="s">
        <v>3588</v>
      </c>
      <c r="J134" t="s">
        <v>2984</v>
      </c>
      <c r="K134" t="s">
        <v>3589</v>
      </c>
      <c r="L134" t="s">
        <v>3590</v>
      </c>
      <c r="M134" s="3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4">
        <v>45990</v>
      </c>
      <c r="C135" s="6">
        <v>0.55314814814814817</v>
      </c>
      <c r="D135" s="2" t="s">
        <v>289</v>
      </c>
      <c r="E135" t="s">
        <v>4217</v>
      </c>
      <c r="F135" t="s">
        <v>4211</v>
      </c>
      <c r="H135" t="s">
        <v>2936</v>
      </c>
      <c r="I135" t="s">
        <v>3570</v>
      </c>
      <c r="J135" t="s">
        <v>2984</v>
      </c>
      <c r="K135" t="s">
        <v>3571</v>
      </c>
      <c r="L135" t="s">
        <v>3572</v>
      </c>
      <c r="M135" s="3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4">
        <v>45990</v>
      </c>
      <c r="C136" s="6">
        <v>0.55248842592592595</v>
      </c>
      <c r="D136" s="2" t="s">
        <v>289</v>
      </c>
      <c r="E136" t="s">
        <v>4217</v>
      </c>
      <c r="F136" t="s">
        <v>4211</v>
      </c>
      <c r="I136" t="s">
        <v>3567</v>
      </c>
      <c r="J136" t="s">
        <v>2984</v>
      </c>
      <c r="K136" t="s">
        <v>3568</v>
      </c>
      <c r="L136" t="s">
        <v>3569</v>
      </c>
      <c r="M136" s="3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4">
        <v>45990</v>
      </c>
      <c r="C137" s="6">
        <v>0.56846064814814812</v>
      </c>
      <c r="D137" s="2" t="s">
        <v>289</v>
      </c>
      <c r="E137" t="s">
        <v>4217</v>
      </c>
      <c r="F137" t="s">
        <v>4211</v>
      </c>
      <c r="H137" t="s">
        <v>2936</v>
      </c>
      <c r="I137" t="s">
        <v>3582</v>
      </c>
      <c r="J137" t="s">
        <v>2984</v>
      </c>
      <c r="K137" t="s">
        <v>3583</v>
      </c>
      <c r="L137" t="s">
        <v>3584</v>
      </c>
      <c r="M137" s="3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4">
        <v>45990</v>
      </c>
      <c r="C138" s="6">
        <v>0.55888888888888888</v>
      </c>
      <c r="D138" s="2" t="s">
        <v>289</v>
      </c>
      <c r="E138" t="s">
        <v>4217</v>
      </c>
      <c r="F138" t="s">
        <v>4211</v>
      </c>
      <c r="H138" t="s">
        <v>2936</v>
      </c>
      <c r="I138" t="s">
        <v>3573</v>
      </c>
      <c r="J138" t="s">
        <v>2984</v>
      </c>
      <c r="K138" t="s">
        <v>3574</v>
      </c>
      <c r="L138" t="s">
        <v>3575</v>
      </c>
      <c r="M138" s="3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4">
        <v>45990</v>
      </c>
      <c r="C139" s="6">
        <v>0.63736111111111116</v>
      </c>
      <c r="D139" s="2" t="s">
        <v>289</v>
      </c>
      <c r="E139" t="s">
        <v>4194</v>
      </c>
      <c r="F139" t="s">
        <v>4211</v>
      </c>
      <c r="H139" t="s">
        <v>2936</v>
      </c>
      <c r="I139" t="s">
        <v>3636</v>
      </c>
      <c r="J139" t="s">
        <v>2984</v>
      </c>
      <c r="K139" t="s">
        <v>3637</v>
      </c>
      <c r="L139" t="s">
        <v>3638</v>
      </c>
      <c r="M139" s="3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4">
        <v>45990</v>
      </c>
      <c r="C140" s="6">
        <v>0.63914351851851847</v>
      </c>
      <c r="D140" s="2" t="s">
        <v>289</v>
      </c>
      <c r="E140" t="s">
        <v>4194</v>
      </c>
      <c r="F140" t="s">
        <v>4211</v>
      </c>
      <c r="H140" t="s">
        <v>2936</v>
      </c>
      <c r="I140" t="s">
        <v>3639</v>
      </c>
      <c r="J140" t="s">
        <v>2984</v>
      </c>
      <c r="K140" t="s">
        <v>3640</v>
      </c>
      <c r="L140" t="s">
        <v>3641</v>
      </c>
      <c r="M140" s="3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4">
        <v>45990</v>
      </c>
      <c r="C141" s="6">
        <v>0.64195601851851847</v>
      </c>
      <c r="D141" s="2" t="s">
        <v>289</v>
      </c>
      <c r="E141" t="s">
        <v>4194</v>
      </c>
      <c r="F141" t="s">
        <v>4211</v>
      </c>
      <c r="H141" t="s">
        <v>2936</v>
      </c>
      <c r="I141" t="s">
        <v>3642</v>
      </c>
      <c r="J141" t="s">
        <v>2984</v>
      </c>
      <c r="K141" t="s">
        <v>3643</v>
      </c>
      <c r="L141" t="s">
        <v>3644</v>
      </c>
      <c r="M141" s="3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4">
        <v>45990</v>
      </c>
      <c r="C142" s="6">
        <v>0.67369212962962965</v>
      </c>
      <c r="D142" s="2" t="s">
        <v>289</v>
      </c>
      <c r="E142" t="s">
        <v>4211</v>
      </c>
      <c r="H142" t="s">
        <v>2936</v>
      </c>
      <c r="I142" t="s">
        <v>3456</v>
      </c>
      <c r="J142" t="s">
        <v>2983</v>
      </c>
      <c r="K142" t="s">
        <v>3457</v>
      </c>
      <c r="L142" t="s">
        <v>3458</v>
      </c>
      <c r="M142" s="3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4">
        <v>45990</v>
      </c>
      <c r="C143" s="6">
        <v>0.68300925925925926</v>
      </c>
      <c r="D143" s="2" t="s">
        <v>289</v>
      </c>
      <c r="E143" t="s">
        <v>4211</v>
      </c>
      <c r="H143" t="s">
        <v>2936</v>
      </c>
      <c r="I143" t="s">
        <v>3459</v>
      </c>
      <c r="J143" t="s">
        <v>2983</v>
      </c>
      <c r="K143" t="s">
        <v>3460</v>
      </c>
      <c r="L143" t="s">
        <v>3461</v>
      </c>
      <c r="M143" s="3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4">
        <v>45990</v>
      </c>
      <c r="C144" s="6">
        <v>0.67062500000000003</v>
      </c>
      <c r="D144" s="2" t="s">
        <v>289</v>
      </c>
      <c r="E144" t="s">
        <v>4211</v>
      </c>
      <c r="H144" t="s">
        <v>2936</v>
      </c>
      <c r="I144" t="s">
        <v>3453</v>
      </c>
      <c r="J144" t="s">
        <v>2983</v>
      </c>
      <c r="K144" t="s">
        <v>3454</v>
      </c>
      <c r="L144" t="s">
        <v>3455</v>
      </c>
      <c r="M144" s="3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4">
        <v>45990</v>
      </c>
      <c r="C145" s="6">
        <v>0.64961805555555552</v>
      </c>
      <c r="D145" s="2" t="s">
        <v>289</v>
      </c>
      <c r="E145" t="s">
        <v>2927</v>
      </c>
      <c r="F145" t="s">
        <v>53</v>
      </c>
      <c r="G145">
        <v>4</v>
      </c>
      <c r="I145" t="s">
        <v>3375</v>
      </c>
      <c r="J145" t="s">
        <v>2990</v>
      </c>
      <c r="K145" t="s">
        <v>3376</v>
      </c>
      <c r="L145" t="s">
        <v>3377</v>
      </c>
      <c r="M145" s="3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4">
        <v>45990</v>
      </c>
      <c r="C146" s="6">
        <v>0.56593749999999998</v>
      </c>
      <c r="D146" s="2" t="s">
        <v>289</v>
      </c>
      <c r="E146" t="s">
        <v>4217</v>
      </c>
      <c r="F146" t="s">
        <v>4211</v>
      </c>
      <c r="H146" t="s">
        <v>2936</v>
      </c>
      <c r="I146" t="s">
        <v>3579</v>
      </c>
      <c r="J146" t="s">
        <v>2984</v>
      </c>
      <c r="K146" t="s">
        <v>3580</v>
      </c>
      <c r="L146" t="s">
        <v>3581</v>
      </c>
      <c r="M146" s="3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4">
        <v>45990</v>
      </c>
      <c r="C147" s="6">
        <v>0.5607523148148148</v>
      </c>
      <c r="D147" s="2" t="s">
        <v>289</v>
      </c>
      <c r="E147" t="s">
        <v>4217</v>
      </c>
      <c r="F147" t="s">
        <v>4211</v>
      </c>
      <c r="H147" t="s">
        <v>2936</v>
      </c>
      <c r="I147" t="s">
        <v>3576</v>
      </c>
      <c r="J147" t="s">
        <v>2984</v>
      </c>
      <c r="K147" t="s">
        <v>3577</v>
      </c>
      <c r="L147" t="s">
        <v>3578</v>
      </c>
      <c r="M147" s="3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4">
        <v>45990</v>
      </c>
      <c r="C148" s="6">
        <v>0.41766203703703703</v>
      </c>
      <c r="D148" s="2" t="s">
        <v>289</v>
      </c>
      <c r="E148" t="s">
        <v>4211</v>
      </c>
      <c r="I148" t="s">
        <v>3447</v>
      </c>
      <c r="J148" t="s">
        <v>2983</v>
      </c>
      <c r="K148" t="s">
        <v>3448</v>
      </c>
      <c r="L148" t="s">
        <v>3449</v>
      </c>
      <c r="M148" s="3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t="s">
        <v>4459</v>
      </c>
      <c r="J149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0.5186574074074074</v>
      </c>
      <c r="D150" s="2" t="s">
        <v>289</v>
      </c>
      <c r="E150" t="s">
        <v>2927</v>
      </c>
      <c r="F150" t="s">
        <v>53</v>
      </c>
      <c r="G150">
        <v>3</v>
      </c>
      <c r="I150" t="s">
        <v>5086</v>
      </c>
      <c r="J150" t="s">
        <v>2990</v>
      </c>
      <c r="K150" t="s">
        <v>5087</v>
      </c>
      <c r="L150" t="s">
        <v>5088</v>
      </c>
      <c r="M150" s="3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4">
        <v>45995</v>
      </c>
      <c r="C151" s="6">
        <v>0.38034722222222223</v>
      </c>
      <c r="D151" s="2" t="s">
        <v>289</v>
      </c>
      <c r="E151" t="s">
        <v>70</v>
      </c>
      <c r="F151" t="s">
        <v>5093</v>
      </c>
      <c r="H151" t="s">
        <v>5095</v>
      </c>
      <c r="I151" t="s">
        <v>4468</v>
      </c>
      <c r="J151" t="s">
        <v>2991</v>
      </c>
      <c r="K151" t="s">
        <v>4469</v>
      </c>
      <c r="L151" t="s">
        <v>4470</v>
      </c>
      <c r="M151" s="3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t="s">
        <v>4471</v>
      </c>
      <c r="J152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0.38062499999999999</v>
      </c>
      <c r="D153" s="2" t="s">
        <v>289</v>
      </c>
      <c r="E153" t="s">
        <v>70</v>
      </c>
      <c r="F153" t="s">
        <v>5093</v>
      </c>
      <c r="H153" t="s">
        <v>2936</v>
      </c>
      <c r="I153" t="s">
        <v>4474</v>
      </c>
      <c r="J153" t="s">
        <v>2991</v>
      </c>
      <c r="K153" t="s">
        <v>4475</v>
      </c>
      <c r="L153" t="s">
        <v>4476</v>
      </c>
      <c r="M153" s="3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4">
        <v>45995</v>
      </c>
      <c r="C154" s="6">
        <v>0.38299768518518518</v>
      </c>
      <c r="D154" s="2" t="s">
        <v>289</v>
      </c>
      <c r="E154" t="s">
        <v>70</v>
      </c>
      <c r="F154" t="s">
        <v>5093</v>
      </c>
      <c r="H154" t="s">
        <v>5096</v>
      </c>
      <c r="I154" t="s">
        <v>4477</v>
      </c>
      <c r="J154" t="s">
        <v>2991</v>
      </c>
      <c r="K154" t="s">
        <v>4478</v>
      </c>
      <c r="L154" t="s">
        <v>4479</v>
      </c>
      <c r="M154" s="3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4">
        <v>45998</v>
      </c>
      <c r="C155" s="6">
        <v>0.63689814814814816</v>
      </c>
      <c r="D155" s="2" t="s">
        <v>289</v>
      </c>
      <c r="E155" t="s">
        <v>5263</v>
      </c>
      <c r="F155" t="s">
        <v>5093</v>
      </c>
      <c r="H155" t="s">
        <v>2936</v>
      </c>
      <c r="I155" t="s">
        <v>5166</v>
      </c>
      <c r="J155" t="s">
        <v>2982</v>
      </c>
      <c r="K155" t="s">
        <v>5167</v>
      </c>
      <c r="L155" t="s">
        <v>5168</v>
      </c>
      <c r="M155" s="3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4">
        <v>45998</v>
      </c>
      <c r="C156" s="6">
        <v>0.62921296296296292</v>
      </c>
      <c r="D156" s="2" t="s">
        <v>289</v>
      </c>
      <c r="E156" t="s">
        <v>5263</v>
      </c>
      <c r="F156" t="s">
        <v>5093</v>
      </c>
      <c r="H156" t="s">
        <v>2936</v>
      </c>
      <c r="I156" t="s">
        <v>5163</v>
      </c>
      <c r="J156" t="s">
        <v>2982</v>
      </c>
      <c r="K156" t="s">
        <v>5164</v>
      </c>
      <c r="L156" t="s">
        <v>5165</v>
      </c>
      <c r="M156" s="3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4">
        <v>45998</v>
      </c>
      <c r="C157" s="6">
        <v>0.60648148148148151</v>
      </c>
      <c r="D157" s="2" t="s">
        <v>289</v>
      </c>
      <c r="E157" t="s">
        <v>5263</v>
      </c>
      <c r="F157" t="s">
        <v>4233</v>
      </c>
      <c r="H157" t="s">
        <v>2936</v>
      </c>
      <c r="I157" t="s">
        <v>5190</v>
      </c>
      <c r="J157" t="s">
        <v>2985</v>
      </c>
      <c r="K157" t="s">
        <v>5191</v>
      </c>
      <c r="L157" t="s">
        <v>5192</v>
      </c>
      <c r="M157" s="3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4">
        <v>45998</v>
      </c>
      <c r="C158" s="6">
        <v>0.60039351851851852</v>
      </c>
      <c r="D158" s="2" t="s">
        <v>289</v>
      </c>
      <c r="E158" t="s">
        <v>5263</v>
      </c>
      <c r="F158" t="s">
        <v>4233</v>
      </c>
      <c r="I158" t="s">
        <v>5187</v>
      </c>
      <c r="J158" t="s">
        <v>2985</v>
      </c>
      <c r="K158" t="s">
        <v>5188</v>
      </c>
      <c r="L158" t="s">
        <v>5189</v>
      </c>
      <c r="M158" s="3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4">
        <v>45998</v>
      </c>
      <c r="C159" s="6">
        <v>0.62070601851851848</v>
      </c>
      <c r="D159" s="2" t="s">
        <v>289</v>
      </c>
      <c r="E159" t="s">
        <v>5263</v>
      </c>
      <c r="F159" t="s">
        <v>5093</v>
      </c>
      <c r="H159" t="s">
        <v>2936</v>
      </c>
      <c r="I159" t="s">
        <v>5154</v>
      </c>
      <c r="J159" t="s">
        <v>2982</v>
      </c>
      <c r="K159" t="s">
        <v>5155</v>
      </c>
      <c r="L159" t="s">
        <v>5156</v>
      </c>
      <c r="M159" s="3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4">
        <v>45998</v>
      </c>
      <c r="C160" s="6">
        <v>0.61756944444444439</v>
      </c>
      <c r="D160" s="2" t="s">
        <v>289</v>
      </c>
      <c r="E160" t="s">
        <v>5263</v>
      </c>
      <c r="F160" t="s">
        <v>5093</v>
      </c>
      <c r="I160" t="s">
        <v>5151</v>
      </c>
      <c r="J160" t="s">
        <v>2982</v>
      </c>
      <c r="K160" t="s">
        <v>5152</v>
      </c>
      <c r="L160" t="s">
        <v>5153</v>
      </c>
      <c r="M160" s="3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4">
        <v>45998</v>
      </c>
      <c r="C161" s="6">
        <v>0.62668981481481478</v>
      </c>
      <c r="D161" s="2" t="s">
        <v>289</v>
      </c>
      <c r="E161" t="s">
        <v>5263</v>
      </c>
      <c r="F161" t="s">
        <v>5093</v>
      </c>
      <c r="H161" t="s">
        <v>2936</v>
      </c>
      <c r="I161" t="s">
        <v>5160</v>
      </c>
      <c r="J161" t="s">
        <v>2982</v>
      </c>
      <c r="K161" t="s">
        <v>5161</v>
      </c>
      <c r="L161" t="s">
        <v>5162</v>
      </c>
      <c r="M161" s="3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4">
        <v>45998</v>
      </c>
      <c r="C162" s="6">
        <v>0.62306712962962962</v>
      </c>
      <c r="D162" s="2" t="s">
        <v>289</v>
      </c>
      <c r="E162" t="s">
        <v>5263</v>
      </c>
      <c r="F162" t="s">
        <v>5093</v>
      </c>
      <c r="H162" t="s">
        <v>2936</v>
      </c>
      <c r="I162" t="s">
        <v>5157</v>
      </c>
      <c r="J162" t="s">
        <v>2982</v>
      </c>
      <c r="K162" t="s">
        <v>5158</v>
      </c>
      <c r="L162" t="s">
        <v>5159</v>
      </c>
      <c r="M162" s="3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4">
        <v>46004</v>
      </c>
      <c r="C163" s="6">
        <v>0.39291666666666669</v>
      </c>
      <c r="D163" s="2" t="s">
        <v>289</v>
      </c>
      <c r="E163" t="s">
        <v>6167</v>
      </c>
      <c r="F163" t="s">
        <v>6188</v>
      </c>
      <c r="H163" t="s">
        <v>2936</v>
      </c>
      <c r="I163" t="s">
        <v>6113</v>
      </c>
      <c r="J163" t="s">
        <v>5633</v>
      </c>
      <c r="K163" t="s">
        <v>6114</v>
      </c>
      <c r="L163" t="s">
        <v>6115</v>
      </c>
      <c r="M163" s="3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4">
        <v>46004</v>
      </c>
      <c r="C164" s="6">
        <v>0.39643518518518517</v>
      </c>
      <c r="D164" s="2" t="s">
        <v>289</v>
      </c>
      <c r="E164" t="s">
        <v>6167</v>
      </c>
      <c r="F164" t="s">
        <v>6188</v>
      </c>
      <c r="H164" t="s">
        <v>2936</v>
      </c>
      <c r="I164" t="s">
        <v>6116</v>
      </c>
      <c r="J164" t="s">
        <v>5633</v>
      </c>
      <c r="K164" t="s">
        <v>6117</v>
      </c>
      <c r="L164" t="s">
        <v>6118</v>
      </c>
      <c r="M164" s="3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4">
        <v>46004</v>
      </c>
      <c r="C165" s="6">
        <v>0.39685185185185184</v>
      </c>
      <c r="D165" s="2" t="s">
        <v>289</v>
      </c>
      <c r="E165" t="s">
        <v>6167</v>
      </c>
      <c r="F165" t="s">
        <v>6188</v>
      </c>
      <c r="H165" t="s">
        <v>2936</v>
      </c>
      <c r="I165" t="s">
        <v>6119</v>
      </c>
      <c r="J165" t="s">
        <v>5633</v>
      </c>
      <c r="K165" t="s">
        <v>6120</v>
      </c>
      <c r="L165" t="s">
        <v>6121</v>
      </c>
      <c r="M165" s="3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4">
        <v>46004</v>
      </c>
      <c r="C166" s="6">
        <v>0.3972222222222222</v>
      </c>
      <c r="D166" s="2" t="s">
        <v>289</v>
      </c>
      <c r="E166" t="s">
        <v>6167</v>
      </c>
      <c r="F166" t="s">
        <v>6188</v>
      </c>
      <c r="H166" t="s">
        <v>2936</v>
      </c>
      <c r="I166" t="s">
        <v>6122</v>
      </c>
      <c r="J166" t="s">
        <v>5633</v>
      </c>
      <c r="K166" t="s">
        <v>6123</v>
      </c>
      <c r="L166" t="s">
        <v>6124</v>
      </c>
      <c r="M166" s="3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4">
        <v>46004</v>
      </c>
      <c r="C167" s="6">
        <v>0.39961805555555557</v>
      </c>
      <c r="D167" s="2" t="s">
        <v>289</v>
      </c>
      <c r="E167" t="s">
        <v>6167</v>
      </c>
      <c r="F167" t="s">
        <v>6188</v>
      </c>
      <c r="H167" t="s">
        <v>2936</v>
      </c>
      <c r="I167" t="s">
        <v>6125</v>
      </c>
      <c r="J167" t="s">
        <v>5633</v>
      </c>
      <c r="K167" t="s">
        <v>6126</v>
      </c>
      <c r="L167" t="s">
        <v>6127</v>
      </c>
      <c r="M167" s="3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4">
        <v>46004</v>
      </c>
      <c r="C168" s="6">
        <v>0.39997685185185183</v>
      </c>
      <c r="D168" s="2" t="s">
        <v>289</v>
      </c>
      <c r="E168" t="s">
        <v>6167</v>
      </c>
      <c r="F168" t="s">
        <v>6188</v>
      </c>
      <c r="H168" t="s">
        <v>2936</v>
      </c>
      <c r="I168" t="s">
        <v>6128</v>
      </c>
      <c r="J168" t="s">
        <v>5633</v>
      </c>
      <c r="K168" t="s">
        <v>6129</v>
      </c>
      <c r="L168" t="s">
        <v>6130</v>
      </c>
      <c r="M168" s="3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4">
        <v>46004</v>
      </c>
      <c r="C169" s="6">
        <v>0.40167824074074077</v>
      </c>
      <c r="D169" s="2" t="s">
        <v>289</v>
      </c>
      <c r="E169" t="s">
        <v>6167</v>
      </c>
      <c r="F169" t="s">
        <v>6188</v>
      </c>
      <c r="H169" t="s">
        <v>2936</v>
      </c>
      <c r="I169" t="s">
        <v>6131</v>
      </c>
      <c r="J169" t="s">
        <v>5633</v>
      </c>
      <c r="K169" t="s">
        <v>6132</v>
      </c>
      <c r="L169" t="s">
        <v>6133</v>
      </c>
      <c r="M169" s="3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4">
        <v>46004</v>
      </c>
      <c r="C170" s="6">
        <v>0.40229166666666666</v>
      </c>
      <c r="D170" s="2" t="s">
        <v>289</v>
      </c>
      <c r="E170" t="s">
        <v>6167</v>
      </c>
      <c r="F170" t="s">
        <v>6188</v>
      </c>
      <c r="H170" t="s">
        <v>2936</v>
      </c>
      <c r="I170" t="s">
        <v>6134</v>
      </c>
      <c r="J170" t="s">
        <v>5633</v>
      </c>
      <c r="K170" t="s">
        <v>6135</v>
      </c>
      <c r="L170" t="s">
        <v>6136</v>
      </c>
      <c r="M170" s="3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4">
        <v>46006</v>
      </c>
      <c r="C171" s="6">
        <v>0.47672453703703704</v>
      </c>
      <c r="D171" s="2" t="s">
        <v>289</v>
      </c>
      <c r="E171" t="s">
        <v>6329</v>
      </c>
      <c r="F171" t="s">
        <v>58</v>
      </c>
      <c r="H171" t="s">
        <v>2936</v>
      </c>
      <c r="I171" t="s">
        <v>6452</v>
      </c>
      <c r="J171" t="s">
        <v>6392</v>
      </c>
      <c r="K171" t="s">
        <v>6453</v>
      </c>
      <c r="L171" t="s">
        <v>6454</v>
      </c>
      <c r="M171" s="3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4">
        <v>46006</v>
      </c>
      <c r="C172" s="6">
        <v>0.47729166666666667</v>
      </c>
      <c r="D172" s="2" t="s">
        <v>289</v>
      </c>
      <c r="E172" t="s">
        <v>6329</v>
      </c>
      <c r="F172" t="s">
        <v>58</v>
      </c>
      <c r="H172" t="s">
        <v>2936</v>
      </c>
      <c r="I172" t="s">
        <v>6455</v>
      </c>
      <c r="J172" t="s">
        <v>6392</v>
      </c>
      <c r="K172" t="s">
        <v>6456</v>
      </c>
      <c r="L172" t="s">
        <v>6457</v>
      </c>
      <c r="M172" s="3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4">
        <v>46006</v>
      </c>
      <c r="C173" s="6">
        <v>0.47780092592592593</v>
      </c>
      <c r="D173" s="2" t="s">
        <v>289</v>
      </c>
      <c r="E173" t="s">
        <v>6329</v>
      </c>
      <c r="F173" t="s">
        <v>58</v>
      </c>
      <c r="H173" t="s">
        <v>1620</v>
      </c>
      <c r="I173" t="s">
        <v>6458</v>
      </c>
      <c r="J173" t="s">
        <v>6392</v>
      </c>
      <c r="K173" t="s">
        <v>6459</v>
      </c>
      <c r="L173" t="s">
        <v>6460</v>
      </c>
      <c r="M173" s="3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4">
        <v>46006</v>
      </c>
      <c r="C174" s="6">
        <v>0.47162037037037036</v>
      </c>
      <c r="D174" s="2" t="s">
        <v>289</v>
      </c>
      <c r="E174" t="s">
        <v>6329</v>
      </c>
      <c r="F174" t="s">
        <v>58</v>
      </c>
      <c r="H174" t="s">
        <v>2936</v>
      </c>
      <c r="I174" t="s">
        <v>6443</v>
      </c>
      <c r="J174" t="s">
        <v>6392</v>
      </c>
      <c r="K174" t="s">
        <v>6444</v>
      </c>
      <c r="L174" t="s">
        <v>6445</v>
      </c>
      <c r="M174" s="3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4">
        <v>46006</v>
      </c>
      <c r="C175" s="6">
        <v>0.47537037037037039</v>
      </c>
      <c r="D175" s="2" t="s">
        <v>289</v>
      </c>
      <c r="E175" t="s">
        <v>6329</v>
      </c>
      <c r="F175" t="s">
        <v>58</v>
      </c>
      <c r="H175" t="s">
        <v>6526</v>
      </c>
      <c r="I175" t="s">
        <v>6446</v>
      </c>
      <c r="J175" t="s">
        <v>6392</v>
      </c>
      <c r="K175" t="s">
        <v>6447</v>
      </c>
      <c r="L175" t="s">
        <v>6448</v>
      </c>
      <c r="M175" s="3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4">
        <v>46006</v>
      </c>
      <c r="C176" s="6">
        <v>0.47547453703703701</v>
      </c>
      <c r="D176" s="2" t="s">
        <v>289</v>
      </c>
      <c r="E176" t="s">
        <v>6329</v>
      </c>
      <c r="F176" t="s">
        <v>58</v>
      </c>
      <c r="H176" t="s">
        <v>2936</v>
      </c>
      <c r="I176" t="s">
        <v>6449</v>
      </c>
      <c r="J176" t="s">
        <v>6392</v>
      </c>
      <c r="K176" t="s">
        <v>6450</v>
      </c>
      <c r="L176" t="s">
        <v>6451</v>
      </c>
      <c r="M176" s="3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4">
        <v>46006</v>
      </c>
      <c r="C177" s="6">
        <v>0.47806712962962961</v>
      </c>
      <c r="D177" s="2" t="s">
        <v>289</v>
      </c>
      <c r="E177" t="s">
        <v>6329</v>
      </c>
      <c r="F177" t="s">
        <v>58</v>
      </c>
      <c r="H177" t="s">
        <v>2936</v>
      </c>
      <c r="I177" t="s">
        <v>6461</v>
      </c>
      <c r="J177" t="s">
        <v>6392</v>
      </c>
      <c r="K177" t="s">
        <v>6462</v>
      </c>
      <c r="L177" t="s">
        <v>6463</v>
      </c>
      <c r="M177" s="3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4">
        <v>46006</v>
      </c>
      <c r="C178" s="6">
        <v>0.4783101851851852</v>
      </c>
      <c r="D178" s="2" t="s">
        <v>289</v>
      </c>
      <c r="E178" t="s">
        <v>6329</v>
      </c>
      <c r="F178" t="s">
        <v>58</v>
      </c>
      <c r="H178" t="s">
        <v>2936</v>
      </c>
      <c r="I178" t="s">
        <v>6464</v>
      </c>
      <c r="J178" t="s">
        <v>6392</v>
      </c>
      <c r="K178" t="s">
        <v>6465</v>
      </c>
      <c r="L178" t="s">
        <v>6466</v>
      </c>
      <c r="M178" s="3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4">
        <v>46006</v>
      </c>
      <c r="C179" s="6">
        <v>0.47834490740740743</v>
      </c>
      <c r="D179" s="2" t="s">
        <v>289</v>
      </c>
      <c r="E179" t="s">
        <v>6329</v>
      </c>
      <c r="F179" t="s">
        <v>58</v>
      </c>
      <c r="H179" t="s">
        <v>2936</v>
      </c>
      <c r="I179" t="s">
        <v>6467</v>
      </c>
      <c r="J179" t="s">
        <v>6392</v>
      </c>
      <c r="K179" t="s">
        <v>6468</v>
      </c>
      <c r="L179" t="s">
        <v>6469</v>
      </c>
      <c r="M179" s="3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4">
        <v>46006</v>
      </c>
      <c r="C180" s="6">
        <v>0.61089120370370376</v>
      </c>
      <c r="D180" s="2" t="s">
        <v>289</v>
      </c>
      <c r="E180" t="s">
        <v>6527</v>
      </c>
      <c r="F180" t="s">
        <v>1099</v>
      </c>
      <c r="G180">
        <v>2</v>
      </c>
      <c r="I180" t="s">
        <v>6479</v>
      </c>
      <c r="J180" t="s">
        <v>6392</v>
      </c>
      <c r="K180" t="s">
        <v>6480</v>
      </c>
      <c r="L180" t="s">
        <v>6481</v>
      </c>
      <c r="M180" s="3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4">
        <v>46006</v>
      </c>
      <c r="C181" s="6">
        <v>0.47047453703703701</v>
      </c>
      <c r="D181" s="2" t="s">
        <v>289</v>
      </c>
      <c r="E181" t="s">
        <v>6329</v>
      </c>
      <c r="F181" t="s">
        <v>58</v>
      </c>
      <c r="H181" t="s">
        <v>2936</v>
      </c>
      <c r="I181" t="s">
        <v>6440</v>
      </c>
      <c r="J181" t="s">
        <v>6392</v>
      </c>
      <c r="K181" t="s">
        <v>6441</v>
      </c>
      <c r="L181" t="s">
        <v>6442</v>
      </c>
      <c r="M181" s="3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4">
        <v>46006</v>
      </c>
      <c r="C182" s="6">
        <v>0.46650462962962963</v>
      </c>
      <c r="D182" s="2" t="s">
        <v>289</v>
      </c>
      <c r="E182" t="s">
        <v>6329</v>
      </c>
      <c r="F182" t="s">
        <v>58</v>
      </c>
      <c r="H182" t="s">
        <v>2936</v>
      </c>
      <c r="I182" t="s">
        <v>6410</v>
      </c>
      <c r="J182" t="s">
        <v>6392</v>
      </c>
      <c r="K182" t="s">
        <v>6411</v>
      </c>
      <c r="L182" t="s">
        <v>6412</v>
      </c>
      <c r="M182" s="3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4">
        <v>46006</v>
      </c>
      <c r="C183" s="6">
        <v>0.46740740740740738</v>
      </c>
      <c r="D183" s="2" t="s">
        <v>289</v>
      </c>
      <c r="E183" t="s">
        <v>6329</v>
      </c>
      <c r="F183" t="s">
        <v>58</v>
      </c>
      <c r="H183" t="s">
        <v>2936</v>
      </c>
      <c r="I183" t="s">
        <v>6413</v>
      </c>
      <c r="J183" t="s">
        <v>6392</v>
      </c>
      <c r="K183" t="s">
        <v>6414</v>
      </c>
      <c r="L183" t="s">
        <v>6415</v>
      </c>
      <c r="M183" s="3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4">
        <v>46006</v>
      </c>
      <c r="C184" s="6">
        <v>0.46766203703703701</v>
      </c>
      <c r="D184" s="2" t="s">
        <v>289</v>
      </c>
      <c r="E184" t="s">
        <v>6329</v>
      </c>
      <c r="F184" t="s">
        <v>58</v>
      </c>
      <c r="H184" t="s">
        <v>2936</v>
      </c>
      <c r="I184" t="s">
        <v>6416</v>
      </c>
      <c r="J184" t="s">
        <v>6392</v>
      </c>
      <c r="K184" t="s">
        <v>6417</v>
      </c>
      <c r="L184" t="s">
        <v>6418</v>
      </c>
      <c r="M184" s="3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4">
        <v>46006</v>
      </c>
      <c r="C185" s="6">
        <v>0.51274305555555555</v>
      </c>
      <c r="D185" s="2" t="s">
        <v>289</v>
      </c>
      <c r="E185" t="s">
        <v>70</v>
      </c>
      <c r="F185" t="s">
        <v>6340</v>
      </c>
      <c r="I185" t="s">
        <v>6310</v>
      </c>
      <c r="J185" t="s">
        <v>6309</v>
      </c>
      <c r="K185" t="s">
        <v>6311</v>
      </c>
      <c r="L185" t="s">
        <v>6312</v>
      </c>
      <c r="M185" s="3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4">
        <v>46006</v>
      </c>
      <c r="C186" s="6">
        <v>0.46620370370370373</v>
      </c>
      <c r="D186" s="2" t="s">
        <v>289</v>
      </c>
      <c r="E186" t="s">
        <v>6329</v>
      </c>
      <c r="F186" t="s">
        <v>58</v>
      </c>
      <c r="H186" t="s">
        <v>1620</v>
      </c>
      <c r="I186" t="s">
        <v>6404</v>
      </c>
      <c r="J186" t="s">
        <v>6392</v>
      </c>
      <c r="K186" t="s">
        <v>6405</v>
      </c>
      <c r="L186" t="s">
        <v>6406</v>
      </c>
      <c r="M186" s="3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4">
        <v>46006</v>
      </c>
      <c r="C187" s="6">
        <v>0.46644675925925927</v>
      </c>
      <c r="D187" s="2" t="s">
        <v>289</v>
      </c>
      <c r="E187" t="s">
        <v>6329</v>
      </c>
      <c r="F187" t="s">
        <v>58</v>
      </c>
      <c r="H187" t="s">
        <v>2936</v>
      </c>
      <c r="I187" t="s">
        <v>6407</v>
      </c>
      <c r="J187" t="s">
        <v>6392</v>
      </c>
      <c r="K187" t="s">
        <v>6408</v>
      </c>
      <c r="L187" t="s">
        <v>6409</v>
      </c>
      <c r="M187" s="3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4">
        <v>46006</v>
      </c>
      <c r="C188" s="6">
        <v>0.46770833333333334</v>
      </c>
      <c r="D188" s="2" t="s">
        <v>289</v>
      </c>
      <c r="E188" t="s">
        <v>6329</v>
      </c>
      <c r="F188" t="s">
        <v>58</v>
      </c>
      <c r="H188" t="s">
        <v>2936</v>
      </c>
      <c r="I188" t="s">
        <v>6419</v>
      </c>
      <c r="J188" t="s">
        <v>6392</v>
      </c>
      <c r="K188" t="s">
        <v>6420</v>
      </c>
      <c r="L188" t="s">
        <v>6421</v>
      </c>
      <c r="M188" s="3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4">
        <v>46006</v>
      </c>
      <c r="C189" s="6">
        <v>0.46927083333333336</v>
      </c>
      <c r="D189" s="2" t="s">
        <v>289</v>
      </c>
      <c r="E189" t="s">
        <v>6329</v>
      </c>
      <c r="F189" t="s">
        <v>58</v>
      </c>
      <c r="H189" t="s">
        <v>2936</v>
      </c>
      <c r="I189" t="s">
        <v>6431</v>
      </c>
      <c r="J189" t="s">
        <v>6392</v>
      </c>
      <c r="K189" t="s">
        <v>6432</v>
      </c>
      <c r="L189" t="s">
        <v>6433</v>
      </c>
      <c r="M189" s="3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4">
        <v>46006</v>
      </c>
      <c r="C190" s="6">
        <v>0.47002314814814816</v>
      </c>
      <c r="D190" s="2" t="s">
        <v>289</v>
      </c>
      <c r="E190" t="s">
        <v>6329</v>
      </c>
      <c r="F190" t="s">
        <v>58</v>
      </c>
      <c r="H190" t="s">
        <v>2936</v>
      </c>
      <c r="I190" t="s">
        <v>6434</v>
      </c>
      <c r="J190" t="s">
        <v>6392</v>
      </c>
      <c r="K190" t="s">
        <v>6435</v>
      </c>
      <c r="L190" t="s">
        <v>6436</v>
      </c>
      <c r="M190" s="3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4">
        <v>46006</v>
      </c>
      <c r="C191" s="6">
        <v>0.47033564814814816</v>
      </c>
      <c r="D191" s="2" t="s">
        <v>289</v>
      </c>
      <c r="E191" t="s">
        <v>6329</v>
      </c>
      <c r="F191" t="s">
        <v>58</v>
      </c>
      <c r="H191" t="s">
        <v>2936</v>
      </c>
      <c r="I191" t="s">
        <v>6437</v>
      </c>
      <c r="J191" t="s">
        <v>6392</v>
      </c>
      <c r="K191" t="s">
        <v>6438</v>
      </c>
      <c r="L191" t="s">
        <v>6439</v>
      </c>
      <c r="M191" s="3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4">
        <v>46006</v>
      </c>
      <c r="C192" s="6">
        <v>0.46807870370370369</v>
      </c>
      <c r="D192" s="2" t="s">
        <v>289</v>
      </c>
      <c r="E192" t="s">
        <v>6329</v>
      </c>
      <c r="F192" t="s">
        <v>58</v>
      </c>
      <c r="H192" t="s">
        <v>2936</v>
      </c>
      <c r="I192" t="s">
        <v>6422</v>
      </c>
      <c r="J192" t="s">
        <v>6392</v>
      </c>
      <c r="K192" t="s">
        <v>6423</v>
      </c>
      <c r="L192" t="s">
        <v>6424</v>
      </c>
      <c r="M192" s="3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4">
        <v>46006</v>
      </c>
      <c r="C193" s="6">
        <v>0.46834490740740742</v>
      </c>
      <c r="D193" s="2" t="s">
        <v>289</v>
      </c>
      <c r="E193" t="s">
        <v>6329</v>
      </c>
      <c r="F193" t="s">
        <v>58</v>
      </c>
      <c r="H193" t="s">
        <v>2936</v>
      </c>
      <c r="I193" t="s">
        <v>6425</v>
      </c>
      <c r="J193" t="s">
        <v>6392</v>
      </c>
      <c r="K193" t="s">
        <v>6426</v>
      </c>
      <c r="L193" t="s">
        <v>6427</v>
      </c>
      <c r="M193" s="3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4">
        <v>46006</v>
      </c>
      <c r="C194" s="6">
        <v>0.4692013888888889</v>
      </c>
      <c r="D194" s="2" t="s">
        <v>289</v>
      </c>
      <c r="E194" t="s">
        <v>6329</v>
      </c>
      <c r="F194" t="s">
        <v>58</v>
      </c>
      <c r="H194" t="s">
        <v>2936</v>
      </c>
      <c r="I194" t="s">
        <v>6428</v>
      </c>
      <c r="J194" t="s">
        <v>6392</v>
      </c>
      <c r="K194" t="s">
        <v>6429</v>
      </c>
      <c r="L194" t="s">
        <v>6430</v>
      </c>
      <c r="M194" s="3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4">
        <v>46007</v>
      </c>
      <c r="C195" s="6">
        <v>0.45142361111111112</v>
      </c>
      <c r="D195" s="2" t="s">
        <v>289</v>
      </c>
      <c r="E195" t="s">
        <v>6656</v>
      </c>
      <c r="F195" t="s">
        <v>6657</v>
      </c>
      <c r="I195" t="s">
        <v>6548</v>
      </c>
      <c r="J195" t="s">
        <v>6309</v>
      </c>
      <c r="K195" t="s">
        <v>6549</v>
      </c>
      <c r="L195" t="s">
        <v>6550</v>
      </c>
      <c r="M195" s="3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4">
        <v>46016</v>
      </c>
      <c r="C196" s="6">
        <v>0.50045138888888885</v>
      </c>
      <c r="D196" s="2" t="s">
        <v>289</v>
      </c>
      <c r="E196" t="s">
        <v>70</v>
      </c>
      <c r="F196" t="s">
        <v>58</v>
      </c>
      <c r="H196" t="s">
        <v>1618</v>
      </c>
      <c r="I196" t="s">
        <v>7502</v>
      </c>
      <c r="J196" t="s">
        <v>6392</v>
      </c>
      <c r="K196" t="s">
        <v>7503</v>
      </c>
      <c r="L196" t="s">
        <v>7504</v>
      </c>
      <c r="M196" s="3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4">
        <v>46016</v>
      </c>
      <c r="C197" s="6">
        <v>0.50079861111111112</v>
      </c>
      <c r="D197" s="2" t="s">
        <v>289</v>
      </c>
      <c r="E197" t="s">
        <v>70</v>
      </c>
      <c r="F197" t="s">
        <v>58</v>
      </c>
      <c r="H197" t="s">
        <v>2936</v>
      </c>
      <c r="I197" t="s">
        <v>7505</v>
      </c>
      <c r="J197" t="s">
        <v>6392</v>
      </c>
      <c r="K197" t="s">
        <v>7506</v>
      </c>
      <c r="L197" t="s">
        <v>7507</v>
      </c>
      <c r="M197" s="3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4">
        <v>46016</v>
      </c>
      <c r="C198" s="6">
        <v>0.50168981481481478</v>
      </c>
      <c r="D198" s="2" t="s">
        <v>289</v>
      </c>
      <c r="E198" t="s">
        <v>70</v>
      </c>
      <c r="F198" t="s">
        <v>58</v>
      </c>
      <c r="H198" t="s">
        <v>2936</v>
      </c>
      <c r="I198" t="s">
        <v>7508</v>
      </c>
      <c r="J198" t="s">
        <v>6392</v>
      </c>
      <c r="K198" t="s">
        <v>7509</v>
      </c>
      <c r="L198" t="s">
        <v>7510</v>
      </c>
      <c r="M198" s="3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4">
        <v>46016</v>
      </c>
      <c r="C199" s="6">
        <v>0.50189814814814815</v>
      </c>
      <c r="D199" s="2" t="s">
        <v>289</v>
      </c>
      <c r="E199" t="s">
        <v>70</v>
      </c>
      <c r="F199" t="s">
        <v>58</v>
      </c>
      <c r="H199" t="s">
        <v>2936</v>
      </c>
      <c r="I199" t="s">
        <v>7511</v>
      </c>
      <c r="J199" t="s">
        <v>6392</v>
      </c>
      <c r="K199" t="s">
        <v>7512</v>
      </c>
      <c r="L199" t="s">
        <v>7513</v>
      </c>
      <c r="M199" s="3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4">
        <v>46016</v>
      </c>
      <c r="C200" s="6">
        <v>0.50423611111111111</v>
      </c>
      <c r="D200" s="2" t="s">
        <v>289</v>
      </c>
      <c r="E200" t="s">
        <v>70</v>
      </c>
      <c r="F200" t="s">
        <v>58</v>
      </c>
      <c r="H200" t="s">
        <v>2936</v>
      </c>
      <c r="I200" t="s">
        <v>7514</v>
      </c>
      <c r="J200" t="s">
        <v>6392</v>
      </c>
      <c r="K200" t="s">
        <v>7515</v>
      </c>
      <c r="L200" t="s">
        <v>7516</v>
      </c>
      <c r="M200" s="3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4">
        <v>46017</v>
      </c>
      <c r="C201" s="6">
        <v>0.40710648148148149</v>
      </c>
      <c r="D201" s="2" t="s">
        <v>289</v>
      </c>
      <c r="E201" t="s">
        <v>2927</v>
      </c>
      <c r="F201" t="s">
        <v>7169</v>
      </c>
      <c r="I201" t="s">
        <v>7819</v>
      </c>
      <c r="J201" t="s">
        <v>2990</v>
      </c>
      <c r="K201" t="s">
        <v>7820</v>
      </c>
      <c r="L201" t="s">
        <v>7821</v>
      </c>
      <c r="M201" s="3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4">
        <v>46017</v>
      </c>
      <c r="C202" s="6">
        <v>0.40766203703703702</v>
      </c>
      <c r="D202" s="2" t="s">
        <v>289</v>
      </c>
      <c r="E202" t="s">
        <v>2927</v>
      </c>
      <c r="F202" t="s">
        <v>7169</v>
      </c>
      <c r="H202" t="s">
        <v>2936</v>
      </c>
      <c r="I202" t="s">
        <v>7822</v>
      </c>
      <c r="J202" t="s">
        <v>2990</v>
      </c>
      <c r="K202" t="s">
        <v>7823</v>
      </c>
      <c r="L202" t="s">
        <v>7824</v>
      </c>
      <c r="M202" s="3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4">
        <v>46017</v>
      </c>
      <c r="C203" s="6">
        <v>0.40768518518518521</v>
      </c>
      <c r="D203" s="2" t="s">
        <v>289</v>
      </c>
      <c r="E203" t="s">
        <v>2927</v>
      </c>
      <c r="F203" t="s">
        <v>7169</v>
      </c>
      <c r="H203" t="s">
        <v>2936</v>
      </c>
      <c r="I203" t="s">
        <v>7825</v>
      </c>
      <c r="J203" t="s">
        <v>2990</v>
      </c>
      <c r="K203" t="s">
        <v>7826</v>
      </c>
      <c r="L203" t="s">
        <v>7827</v>
      </c>
      <c r="M203" s="3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4">
        <v>46020</v>
      </c>
      <c r="C204" s="6">
        <v>0.64688657407407413</v>
      </c>
      <c r="D204" s="2" t="s">
        <v>289</v>
      </c>
      <c r="E204" t="s">
        <v>8352</v>
      </c>
      <c r="F204" t="s">
        <v>1621</v>
      </c>
      <c r="I204" t="s">
        <v>8228</v>
      </c>
      <c r="J204" t="s">
        <v>6392</v>
      </c>
      <c r="K204" t="s">
        <v>8229</v>
      </c>
      <c r="L204" t="s">
        <v>8230</v>
      </c>
      <c r="M204" s="3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4">
        <v>46035</v>
      </c>
      <c r="C205" s="6">
        <v>0.41230324074074076</v>
      </c>
      <c r="D205" s="2" t="s">
        <v>289</v>
      </c>
      <c r="E205" t="s">
        <v>9187</v>
      </c>
      <c r="F205" t="s">
        <v>9188</v>
      </c>
      <c r="H205" t="s">
        <v>2936</v>
      </c>
      <c r="I205" t="s">
        <v>8982</v>
      </c>
      <c r="J205" t="s">
        <v>8976</v>
      </c>
      <c r="K205" t="s">
        <v>8983</v>
      </c>
      <c r="L205" t="s">
        <v>8984</v>
      </c>
      <c r="M205" s="3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4">
        <v>46035</v>
      </c>
      <c r="C206" s="6">
        <v>0.41223379629629631</v>
      </c>
      <c r="D206" s="2" t="s">
        <v>289</v>
      </c>
      <c r="E206" t="s">
        <v>9187</v>
      </c>
      <c r="F206" t="s">
        <v>9188</v>
      </c>
      <c r="I206" t="s">
        <v>8979</v>
      </c>
      <c r="J206" t="s">
        <v>8976</v>
      </c>
      <c r="K206" t="s">
        <v>8980</v>
      </c>
      <c r="L206" t="s">
        <v>8981</v>
      </c>
      <c r="M206" s="3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4">
        <v>46038</v>
      </c>
      <c r="C207" s="6">
        <v>0.39223379629629629</v>
      </c>
      <c r="D207" s="2" t="s">
        <v>289</v>
      </c>
      <c r="E207" t="s">
        <v>9521</v>
      </c>
      <c r="F207" t="s">
        <v>2944</v>
      </c>
      <c r="I207" t="s">
        <v>9507</v>
      </c>
      <c r="J207" t="s">
        <v>2985</v>
      </c>
      <c r="K207" t="s">
        <v>9508</v>
      </c>
      <c r="L207" t="s">
        <v>9509</v>
      </c>
      <c r="M207" s="3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4">
        <v>46045</v>
      </c>
      <c r="C208" s="6">
        <v>0.59203703703703703</v>
      </c>
      <c r="D208" s="2" t="s">
        <v>289</v>
      </c>
      <c r="E208" t="s">
        <v>8352</v>
      </c>
      <c r="F208" t="s">
        <v>58</v>
      </c>
      <c r="H208" t="s">
        <v>10443</v>
      </c>
      <c r="I208" t="s">
        <v>10394</v>
      </c>
      <c r="J208" t="s">
        <v>2985</v>
      </c>
      <c r="K208" t="s">
        <v>10395</v>
      </c>
      <c r="L208" t="s">
        <v>10396</v>
      </c>
      <c r="M208" s="3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4">
        <v>46045</v>
      </c>
      <c r="C209" s="6">
        <v>0.450625</v>
      </c>
      <c r="D209" s="2" t="s">
        <v>289</v>
      </c>
      <c r="E209" t="s">
        <v>8352</v>
      </c>
      <c r="F209" t="s">
        <v>58</v>
      </c>
      <c r="I209" t="s">
        <v>10377</v>
      </c>
      <c r="J209" t="s">
        <v>2993</v>
      </c>
      <c r="K209" t="s">
        <v>10378</v>
      </c>
      <c r="L209" t="s">
        <v>10379</v>
      </c>
      <c r="M209" s="3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4">
        <v>46045</v>
      </c>
      <c r="C210" s="6">
        <v>0.45423611111111112</v>
      </c>
      <c r="D210" s="2" t="s">
        <v>289</v>
      </c>
      <c r="E210" t="s">
        <v>8352</v>
      </c>
      <c r="F210" t="s">
        <v>58</v>
      </c>
      <c r="H210" t="s">
        <v>2936</v>
      </c>
      <c r="I210" t="s">
        <v>10380</v>
      </c>
      <c r="J210" t="s">
        <v>2993</v>
      </c>
      <c r="K210" t="s">
        <v>10381</v>
      </c>
      <c r="L210" t="s">
        <v>10382</v>
      </c>
      <c r="M210" s="3" t="str">
        <f>HYPERLINK(Таблица3[[#This Row],[RelativePath]])</f>
        <v>9 Ангар пилорама\E33149364_1_20260123T105406Z.jpg</v>
      </c>
    </row>
    <row r="211" spans="1:13" x14ac:dyDescent="0.25">
      <c r="A211" t="s">
        <v>16</v>
      </c>
      <c r="B211" s="4">
        <v>46051</v>
      </c>
      <c r="C211" s="6">
        <v>0.47310185185185183</v>
      </c>
      <c r="D211" s="2" t="s">
        <v>289</v>
      </c>
      <c r="E211" t="s">
        <v>10884</v>
      </c>
      <c r="F211" t="s">
        <v>2929</v>
      </c>
      <c r="G211">
        <v>1</v>
      </c>
      <c r="I211" t="s">
        <v>10653</v>
      </c>
      <c r="J211" t="s">
        <v>2989</v>
      </c>
      <c r="K211" t="s">
        <v>10654</v>
      </c>
      <c r="L211" t="s">
        <v>10655</v>
      </c>
      <c r="M211" s="3" t="str">
        <f>HYPERLINK(Таблица3[[#This Row],[RelativePath]])</f>
        <v>2 Пилорама поката\E33149364_7_20260129T112116Z.jpg</v>
      </c>
    </row>
    <row r="212" spans="1:13" x14ac:dyDescent="0.25">
      <c r="A212" t="s">
        <v>16</v>
      </c>
      <c r="B212" s="4">
        <v>46051</v>
      </c>
      <c r="C212" s="6">
        <v>0.47327546296296297</v>
      </c>
      <c r="D212" s="2" t="s">
        <v>289</v>
      </c>
      <c r="E212" t="s">
        <v>10884</v>
      </c>
      <c r="F212" t="s">
        <v>2929</v>
      </c>
      <c r="G212">
        <v>1</v>
      </c>
      <c r="H212" t="s">
        <v>2936</v>
      </c>
      <c r="I212" t="s">
        <v>10656</v>
      </c>
      <c r="J212" t="s">
        <v>2989</v>
      </c>
      <c r="K212" t="s">
        <v>10657</v>
      </c>
      <c r="L212" t="s">
        <v>10658</v>
      </c>
      <c r="M212" s="3" t="str">
        <f>HYPERLINK(Таблица3[[#This Row],[RelativePath]])</f>
        <v>2 Пилорама поката\E33149364_7_20260129T112131Z.jpg</v>
      </c>
    </row>
    <row r="213" spans="1:13" x14ac:dyDescent="0.25">
      <c r="A213" t="s">
        <v>16</v>
      </c>
      <c r="B213" s="4">
        <v>46051</v>
      </c>
      <c r="C213" s="6">
        <v>0.47359953703703705</v>
      </c>
      <c r="D213" s="2" t="s">
        <v>289</v>
      </c>
      <c r="E213" t="s">
        <v>10884</v>
      </c>
      <c r="F213" t="s">
        <v>2929</v>
      </c>
      <c r="G213">
        <v>1</v>
      </c>
      <c r="H213" t="s">
        <v>2936</v>
      </c>
      <c r="I213" t="s">
        <v>10659</v>
      </c>
      <c r="J213" t="s">
        <v>2989</v>
      </c>
      <c r="K213" t="s">
        <v>10660</v>
      </c>
      <c r="L213" t="s">
        <v>10661</v>
      </c>
      <c r="M213" s="3" t="str">
        <f>HYPERLINK(Таблица3[[#This Row],[RelativePath]])</f>
        <v>2 Пилорама поката\E33149364_7_20260129T112159Z.jpg</v>
      </c>
    </row>
    <row r="214" spans="1:13" x14ac:dyDescent="0.25">
      <c r="A214" t="s">
        <v>16</v>
      </c>
      <c r="B214" s="4">
        <v>46051</v>
      </c>
      <c r="C214" s="6">
        <v>0.4737615740740741</v>
      </c>
      <c r="D214" s="2" t="s">
        <v>289</v>
      </c>
      <c r="E214" t="s">
        <v>10884</v>
      </c>
      <c r="F214" t="s">
        <v>2929</v>
      </c>
      <c r="G214">
        <v>1</v>
      </c>
      <c r="H214" t="s">
        <v>2936</v>
      </c>
      <c r="I214" t="s">
        <v>10662</v>
      </c>
      <c r="J214" t="s">
        <v>2989</v>
      </c>
      <c r="K214" t="s">
        <v>10663</v>
      </c>
      <c r="L214" t="s">
        <v>10664</v>
      </c>
      <c r="M214" s="3" t="str">
        <f>HYPERLINK(Таблица3[[#This Row],[RelativePath]])</f>
        <v>2 Пилорама поката\E33149364_7_20260129T112213Z.jpg</v>
      </c>
    </row>
    <row r="215" spans="1:13" x14ac:dyDescent="0.25">
      <c r="A215" t="s">
        <v>17</v>
      </c>
      <c r="B215" s="4">
        <v>46052</v>
      </c>
      <c r="C215" s="6">
        <v>0.38785879629629627</v>
      </c>
      <c r="D215" s="2" t="s">
        <v>289</v>
      </c>
      <c r="E215" t="s">
        <v>70</v>
      </c>
      <c r="F215" t="s">
        <v>5093</v>
      </c>
      <c r="I215" t="s">
        <v>10911</v>
      </c>
      <c r="J215" t="s">
        <v>2991</v>
      </c>
      <c r="K215" t="s">
        <v>10912</v>
      </c>
      <c r="L215" t="s">
        <v>10913</v>
      </c>
      <c r="M215" s="3" t="str">
        <f>HYPERLINK(Таблица3[[#This Row],[RelativePath]])</f>
        <v>4 Крыльцо офиса\K07156189_21_20260130T091831Z.jpg</v>
      </c>
    </row>
    <row r="216" spans="1:13" x14ac:dyDescent="0.25">
      <c r="A216" t="s">
        <v>17</v>
      </c>
      <c r="B216" s="4">
        <v>46052</v>
      </c>
      <c r="C216" s="6">
        <v>0.38319444444444445</v>
      </c>
      <c r="D216" s="2" t="s">
        <v>289</v>
      </c>
      <c r="E216" t="s">
        <v>70</v>
      </c>
      <c r="F216" t="s">
        <v>11007</v>
      </c>
      <c r="I216" t="s">
        <v>10959</v>
      </c>
      <c r="J216" t="s">
        <v>2985</v>
      </c>
      <c r="K216" t="s">
        <v>10960</v>
      </c>
      <c r="L216" t="s">
        <v>10961</v>
      </c>
      <c r="M216" s="3" t="str">
        <f>HYPERLINK(Таблица3[[#This Row],[RelativePath]])</f>
        <v>10 Сушилка навес\E33149364_3_20260130T091148Z.jpg</v>
      </c>
    </row>
    <row r="217" spans="1:13" x14ac:dyDescent="0.25">
      <c r="A217" t="s">
        <v>17</v>
      </c>
      <c r="B217" s="4">
        <v>46052</v>
      </c>
      <c r="C217" s="6">
        <v>0.3832638888888889</v>
      </c>
      <c r="D217" s="2" t="s">
        <v>289</v>
      </c>
      <c r="E217" t="s">
        <v>70</v>
      </c>
      <c r="F217" t="s">
        <v>11007</v>
      </c>
      <c r="H217" t="s">
        <v>2936</v>
      </c>
      <c r="I217" t="s">
        <v>10962</v>
      </c>
      <c r="J217" t="s">
        <v>2985</v>
      </c>
      <c r="K217" t="s">
        <v>10963</v>
      </c>
      <c r="L217" t="s">
        <v>10964</v>
      </c>
      <c r="M217" s="3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4">
        <v>46052</v>
      </c>
      <c r="C218" s="6">
        <v>0.38341435185185185</v>
      </c>
      <c r="D218" s="2" t="s">
        <v>289</v>
      </c>
      <c r="E218" t="s">
        <v>70</v>
      </c>
      <c r="F218" t="s">
        <v>11007</v>
      </c>
      <c r="H218" t="s">
        <v>2936</v>
      </c>
      <c r="I218" t="s">
        <v>10965</v>
      </c>
      <c r="J218" t="s">
        <v>2985</v>
      </c>
      <c r="K218" t="s">
        <v>10966</v>
      </c>
      <c r="L218" t="s">
        <v>10967</v>
      </c>
      <c r="M218" s="3" t="str">
        <f>HYPERLINK(Таблица3[[#This Row],[RelativePath]])</f>
        <v>10 Сушилка навес\E33149364_3_20260130T091207Z.jpg</v>
      </c>
    </row>
    <row r="219" spans="1:13" x14ac:dyDescent="0.25">
      <c r="A219" t="s">
        <v>17</v>
      </c>
      <c r="B219" s="4">
        <v>46052</v>
      </c>
      <c r="C219" s="6">
        <v>0.38377314814814817</v>
      </c>
      <c r="D219" s="2" t="s">
        <v>289</v>
      </c>
      <c r="E219" t="s">
        <v>70</v>
      </c>
      <c r="F219" t="s">
        <v>11007</v>
      </c>
      <c r="H219" t="s">
        <v>2936</v>
      </c>
      <c r="I219" t="s">
        <v>10968</v>
      </c>
      <c r="J219" t="s">
        <v>2985</v>
      </c>
      <c r="K219" t="s">
        <v>10969</v>
      </c>
      <c r="L219" t="s">
        <v>10970</v>
      </c>
      <c r="M219" s="3" t="str">
        <f>HYPERLINK(Таблица3[[#This Row],[RelativePath]])</f>
        <v>10 Сушилка навес\E33149364_3_20260130T091238Z.jpg</v>
      </c>
    </row>
    <row r="220" spans="1:13" x14ac:dyDescent="0.25">
      <c r="A220" t="s">
        <v>18</v>
      </c>
      <c r="B220" s="4">
        <v>46053</v>
      </c>
      <c r="C220" s="6">
        <v>0.49326388888888889</v>
      </c>
      <c r="D220" s="2" t="s">
        <v>289</v>
      </c>
      <c r="E220" t="s">
        <v>11124</v>
      </c>
      <c r="F220" t="s">
        <v>7167</v>
      </c>
      <c r="G220">
        <v>1</v>
      </c>
      <c r="I220" t="s">
        <v>11076</v>
      </c>
      <c r="J220" t="s">
        <v>2985</v>
      </c>
      <c r="K220" t="s">
        <v>11077</v>
      </c>
      <c r="L220" t="s">
        <v>11078</v>
      </c>
      <c r="M220" s="3" t="str">
        <f>HYPERLINK(Таблица3[[#This Row],[RelativePath]])</f>
        <v>10 Сушилка навес\E33149364_3_20260131T115018Z.jpg</v>
      </c>
    </row>
    <row r="221" spans="1:13" x14ac:dyDescent="0.25">
      <c r="A221" t="s">
        <v>18</v>
      </c>
      <c r="B221" s="4">
        <v>46053</v>
      </c>
      <c r="C221" s="6">
        <v>0.49449074074074073</v>
      </c>
      <c r="D221" s="2" t="s">
        <v>289</v>
      </c>
      <c r="E221" t="s">
        <v>11124</v>
      </c>
      <c r="F221" t="s">
        <v>7167</v>
      </c>
      <c r="G221">
        <v>1</v>
      </c>
      <c r="I221" t="s">
        <v>11079</v>
      </c>
      <c r="J221" t="s">
        <v>2985</v>
      </c>
      <c r="K221" t="s">
        <v>11080</v>
      </c>
      <c r="L221" t="s">
        <v>11081</v>
      </c>
      <c r="M221" s="3" t="str">
        <f>HYPERLINK(Таблица3[[#This Row],[RelativePath]])</f>
        <v>10 Сушилка навес\E33149364_3_20260131T115204Z.jpg</v>
      </c>
    </row>
    <row r="222" spans="1:13" x14ac:dyDescent="0.25">
      <c r="A222" t="s">
        <v>18</v>
      </c>
      <c r="B222" s="4">
        <v>46053</v>
      </c>
      <c r="C222" s="6">
        <v>0.49556712962962962</v>
      </c>
      <c r="D222" s="2" t="s">
        <v>289</v>
      </c>
      <c r="E222" t="s">
        <v>11124</v>
      </c>
      <c r="F222" t="s">
        <v>7167</v>
      </c>
      <c r="G222">
        <v>1</v>
      </c>
      <c r="I222" t="s">
        <v>11082</v>
      </c>
      <c r="J222" t="s">
        <v>2985</v>
      </c>
      <c r="K222" t="s">
        <v>11083</v>
      </c>
      <c r="L222" t="s">
        <v>11084</v>
      </c>
      <c r="M222" s="3" t="str">
        <f>HYPERLINK(Таблица3[[#This Row],[RelativePath]])</f>
        <v>10 Сушилка навес\E33149364_3_20260131T115337Z.jpg</v>
      </c>
    </row>
    <row r="223" spans="1:13" x14ac:dyDescent="0.25">
      <c r="A223" t="s">
        <v>18</v>
      </c>
      <c r="B223" s="4">
        <v>46053</v>
      </c>
      <c r="C223" s="6">
        <v>0.49659722222222225</v>
      </c>
      <c r="D223" s="2" t="s">
        <v>289</v>
      </c>
      <c r="E223" t="s">
        <v>11124</v>
      </c>
      <c r="F223" t="s">
        <v>7167</v>
      </c>
      <c r="G223">
        <v>1</v>
      </c>
      <c r="I223" t="s">
        <v>11085</v>
      </c>
      <c r="J223" t="s">
        <v>2985</v>
      </c>
      <c r="K223" t="s">
        <v>11086</v>
      </c>
      <c r="L223" t="s">
        <v>11087</v>
      </c>
      <c r="M223" s="3" t="str">
        <f>HYPERLINK(Таблица3[[#This Row],[RelativePath]])</f>
        <v>10 Сушилка навес\E33149364_3_20260131T115506Z.jpg</v>
      </c>
    </row>
    <row r="224" spans="1:13" x14ac:dyDescent="0.25">
      <c r="A224" t="s">
        <v>18</v>
      </c>
      <c r="B224" s="4">
        <v>46053</v>
      </c>
      <c r="C224" s="6">
        <v>0.49760416666666668</v>
      </c>
      <c r="D224" s="2" t="s">
        <v>289</v>
      </c>
      <c r="E224" t="s">
        <v>11124</v>
      </c>
      <c r="F224" t="s">
        <v>7167</v>
      </c>
      <c r="G224">
        <v>1</v>
      </c>
      <c r="I224" t="s">
        <v>11088</v>
      </c>
      <c r="J224" t="s">
        <v>2985</v>
      </c>
      <c r="K224" t="s">
        <v>11089</v>
      </c>
      <c r="L224" t="s">
        <v>11090</v>
      </c>
      <c r="M224" s="3" t="str">
        <f>HYPERLINK(Таблица3[[#This Row],[RelativePath]])</f>
        <v>10 Сушилка навес\E33149364_3_20260131T115633Z.jpg</v>
      </c>
    </row>
    <row r="225" spans="1:13" x14ac:dyDescent="0.25">
      <c r="A225" t="s">
        <v>18</v>
      </c>
      <c r="B225" s="4">
        <v>46053</v>
      </c>
      <c r="C225" s="6">
        <v>0.49864583333333334</v>
      </c>
      <c r="D225" s="2" t="s">
        <v>289</v>
      </c>
      <c r="E225" t="s">
        <v>11124</v>
      </c>
      <c r="F225" t="s">
        <v>7167</v>
      </c>
      <c r="G225">
        <v>1</v>
      </c>
      <c r="I225" t="s">
        <v>11091</v>
      </c>
      <c r="J225" t="s">
        <v>2985</v>
      </c>
      <c r="K225" t="s">
        <v>11092</v>
      </c>
      <c r="L225" t="s">
        <v>11093</v>
      </c>
      <c r="M225" s="3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4">
        <v>46053</v>
      </c>
      <c r="C226" s="6">
        <v>0.49983796296296296</v>
      </c>
      <c r="D226" s="2" t="s">
        <v>289</v>
      </c>
      <c r="E226" t="s">
        <v>11124</v>
      </c>
      <c r="F226" t="s">
        <v>7167</v>
      </c>
      <c r="G226">
        <v>1</v>
      </c>
      <c r="I226" t="s">
        <v>11094</v>
      </c>
      <c r="J226" t="s">
        <v>2985</v>
      </c>
      <c r="K226" t="s">
        <v>11095</v>
      </c>
      <c r="L226" t="s">
        <v>11096</v>
      </c>
      <c r="M226" s="3" t="str">
        <f>HYPERLINK(Таблица3[[#This Row],[RelativePath]])</f>
        <v>10 Сушилка навес\E33149364_3_20260131T115946Z.jpg</v>
      </c>
    </row>
    <row r="227" spans="1:13" x14ac:dyDescent="0.25">
      <c r="A227" t="s">
        <v>18</v>
      </c>
      <c r="B227" s="4">
        <v>46053</v>
      </c>
      <c r="C227" s="6">
        <v>0.50087962962962962</v>
      </c>
      <c r="D227" s="2" t="s">
        <v>289</v>
      </c>
      <c r="E227" t="s">
        <v>11124</v>
      </c>
      <c r="F227" t="s">
        <v>7167</v>
      </c>
      <c r="G227">
        <v>1</v>
      </c>
      <c r="I227" t="s">
        <v>11097</v>
      </c>
      <c r="J227" t="s">
        <v>2985</v>
      </c>
      <c r="K227" t="s">
        <v>11098</v>
      </c>
      <c r="L227" t="s">
        <v>11099</v>
      </c>
      <c r="M227" s="3" t="str">
        <f>HYPERLINK(Таблица3[[#This Row],[RelativePath]])</f>
        <v>10 Сушилка навес\E33149364_3_20260131T120116Z.jpg</v>
      </c>
    </row>
    <row r="228" spans="1:13" x14ac:dyDescent="0.25">
      <c r="A228" t="s">
        <v>18</v>
      </c>
      <c r="B228" s="4">
        <v>46053</v>
      </c>
      <c r="C228" s="6">
        <v>0.50236111111111115</v>
      </c>
      <c r="D228" s="2" t="s">
        <v>289</v>
      </c>
      <c r="E228" t="s">
        <v>11124</v>
      </c>
      <c r="F228" t="s">
        <v>7167</v>
      </c>
      <c r="G228">
        <v>1</v>
      </c>
      <c r="I228" t="s">
        <v>11100</v>
      </c>
      <c r="J228" t="s">
        <v>2985</v>
      </c>
      <c r="K228" t="s">
        <v>11101</v>
      </c>
      <c r="L228" t="s">
        <v>11102</v>
      </c>
      <c r="M228" s="3" t="str">
        <f>HYPERLINK(Таблица3[[#This Row],[RelativePath]])</f>
        <v>10 Сушилка навес\E33149364_3_20260131T120324Z.jpg</v>
      </c>
    </row>
    <row r="229" spans="1:13" x14ac:dyDescent="0.25">
      <c r="A229" t="s">
        <v>18</v>
      </c>
      <c r="B229" s="4">
        <v>46053</v>
      </c>
      <c r="C229" s="6">
        <v>0.50332175925925926</v>
      </c>
      <c r="D229" s="2" t="s">
        <v>289</v>
      </c>
      <c r="E229" t="s">
        <v>11124</v>
      </c>
      <c r="F229" t="s">
        <v>7167</v>
      </c>
      <c r="G229">
        <v>1</v>
      </c>
      <c r="I229" t="s">
        <v>11103</v>
      </c>
      <c r="J229" t="s">
        <v>2985</v>
      </c>
      <c r="K229" t="s">
        <v>11104</v>
      </c>
      <c r="L229" t="s">
        <v>11105</v>
      </c>
      <c r="M229" s="3" t="str">
        <f>HYPERLINK(Таблица3[[#This Row],[RelativePath]])</f>
        <v>10 Сушилка навес\E33149364_3_20260131T120447Z.jpg</v>
      </c>
    </row>
    <row r="230" spans="1:13" x14ac:dyDescent="0.25">
      <c r="A230" t="s">
        <v>18</v>
      </c>
      <c r="B230" s="4">
        <v>46053</v>
      </c>
      <c r="C230" s="6">
        <v>0.50494212962962959</v>
      </c>
      <c r="D230" s="2" t="s">
        <v>289</v>
      </c>
      <c r="E230" t="s">
        <v>11124</v>
      </c>
      <c r="F230" t="s">
        <v>7167</v>
      </c>
      <c r="G230">
        <v>1</v>
      </c>
      <c r="I230" t="s">
        <v>11106</v>
      </c>
      <c r="J230" t="s">
        <v>2985</v>
      </c>
      <c r="K230" t="s">
        <v>11107</v>
      </c>
      <c r="L230" t="s">
        <v>11108</v>
      </c>
      <c r="M230" s="3" t="str">
        <f>HYPERLINK(Таблица3[[#This Row],[RelativePath]])</f>
        <v>10 Сушилка навес\E33149364_3_20260131T120707Z.jpg</v>
      </c>
    </row>
    <row r="231" spans="1:13" x14ac:dyDescent="0.25">
      <c r="A231" t="s">
        <v>14</v>
      </c>
      <c r="B231" s="4">
        <v>46056</v>
      </c>
      <c r="C231" s="6">
        <v>0.79167824074074078</v>
      </c>
      <c r="D231" s="2" t="s">
        <v>289</v>
      </c>
      <c r="E231" t="s">
        <v>6190</v>
      </c>
      <c r="F231" t="s">
        <v>11413</v>
      </c>
      <c r="I231" t="s">
        <v>11190</v>
      </c>
      <c r="J231" t="s">
        <v>2991</v>
      </c>
      <c r="K231" t="s">
        <v>11191</v>
      </c>
      <c r="L231" t="s">
        <v>11192</v>
      </c>
      <c r="M231" s="3" t="str">
        <f>HYPERLINK(Таблица3[[#This Row],[RelativePath]])</f>
        <v>4 Крыльцо офиса\K07156189_21_20260203T190001Z.jpg</v>
      </c>
    </row>
    <row r="232" spans="1:13" x14ac:dyDescent="0.25">
      <c r="A232" t="s">
        <v>14</v>
      </c>
      <c r="B232" s="4">
        <v>46056</v>
      </c>
      <c r="C232" s="6">
        <v>0.79401620370370374</v>
      </c>
      <c r="D232" s="2" t="s">
        <v>289</v>
      </c>
      <c r="E232" t="s">
        <v>6190</v>
      </c>
      <c r="F232" t="s">
        <v>11413</v>
      </c>
      <c r="I232" t="s">
        <v>11193</v>
      </c>
      <c r="J232" t="s">
        <v>2991</v>
      </c>
      <c r="K232" t="s">
        <v>11194</v>
      </c>
      <c r="L232" t="s">
        <v>11195</v>
      </c>
      <c r="M232" s="3" t="str">
        <f>HYPERLINK(Таблица3[[#This Row],[RelativePath]])</f>
        <v>4 Крыльцо офиса\K07156189_21_20260203T190323Z.jpg</v>
      </c>
    </row>
    <row r="233" spans="1:13" x14ac:dyDescent="0.25">
      <c r="A233" t="s">
        <v>16</v>
      </c>
      <c r="B233" s="4">
        <v>46058</v>
      </c>
      <c r="C233" s="6">
        <v>0.54972222222222222</v>
      </c>
      <c r="D233" s="2" t="s">
        <v>289</v>
      </c>
      <c r="E233" t="s">
        <v>70</v>
      </c>
      <c r="F233" t="s">
        <v>11637</v>
      </c>
      <c r="G233">
        <v>2</v>
      </c>
      <c r="I233" t="s">
        <v>11577</v>
      </c>
      <c r="J233" t="s">
        <v>2990</v>
      </c>
      <c r="K233" t="s">
        <v>11578</v>
      </c>
      <c r="L233" t="s">
        <v>11579</v>
      </c>
      <c r="M233" s="3" t="str">
        <f>HYPERLINK(Таблица3[[#This Row],[RelativePath]])</f>
        <v>3 Въезд на базу\E33149364_8_20260205T131136Z.jpg</v>
      </c>
    </row>
  </sheetData>
  <phoneticPr fontId="2" type="noConversion"/>
  <conditionalFormatting sqref="E234:E255 D2:E233">
    <cfRule type="containsText" dxfId="81" priority="7" operator="containsText" text="Выезд с территории">
      <formula>NOT(ISERROR(SEARCH("Выезд с территории",D2)))</formula>
    </cfRule>
  </conditionalFormatting>
  <conditionalFormatting sqref="D2:D233">
    <cfRule type="containsText" dxfId="80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3">
    <cfRule type="containsText" dxfId="79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55">
    <cfRule type="containsText" dxfId="78" priority="2" operator="containsText" text="Газель базы">
      <formula>NOT(ISERROR(SEARCH("Газель базы",E2)))</formula>
    </cfRule>
    <cfRule type="containsText" dxfId="77" priority="3" operator="containsText" text="Погрузчик базы">
      <formula>NOT(ISERROR(SEARCH("Погрузчик базы",E2)))</formula>
    </cfRule>
  </conditionalFormatting>
  <conditionalFormatting sqref="E2:E255">
    <cfRule type="containsText" dxfId="7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42"/>
  <sheetViews>
    <sheetView topLeftCell="A115" zoomScale="80" zoomScaleNormal="80" workbookViewId="0">
      <selection activeCell="E131" sqref="E131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43.14062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8.4257812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0.51984953703703707</v>
      </c>
      <c r="D2" s="7" t="s">
        <v>62</v>
      </c>
      <c r="E2" t="s">
        <v>56</v>
      </c>
      <c r="F2" t="s">
        <v>53</v>
      </c>
      <c r="G2">
        <v>3</v>
      </c>
      <c r="I2" s="8" t="s">
        <v>29</v>
      </c>
      <c r="J2" s="8" t="s">
        <v>2981</v>
      </c>
      <c r="K2" t="s">
        <v>3109</v>
      </c>
      <c r="L2" t="s">
        <v>3110</v>
      </c>
      <c r="M2" s="3" t="str">
        <f>HYPERLINK(СторонТрансп[[#This Row],[RelativePath]])</f>
        <v>1 Ангар Склад 2 въезд\E33149364_6_20251110T122835Z.jpg</v>
      </c>
    </row>
    <row r="3" spans="1:13" x14ac:dyDescent="0.25">
      <c r="A3" t="s">
        <v>13</v>
      </c>
      <c r="B3" s="4">
        <v>45971</v>
      </c>
      <c r="C3" s="6">
        <v>0.5006018518518518</v>
      </c>
      <c r="D3" s="7" t="s">
        <v>91</v>
      </c>
      <c r="E3" t="s">
        <v>56</v>
      </c>
      <c r="F3" t="s">
        <v>51</v>
      </c>
      <c r="I3" s="8" t="s">
        <v>28</v>
      </c>
      <c r="J3" s="8" t="s">
        <v>2981</v>
      </c>
      <c r="K3" t="s">
        <v>3107</v>
      </c>
      <c r="L3" t="s">
        <v>3108</v>
      </c>
      <c r="M3" s="3" t="str">
        <f>HYPERLINK(СторонТрансп[[#This Row],[RelativePath]])</f>
        <v>1 Ангар Склад 2 въезд\E33149364_6_20251110T120052Z.jpg</v>
      </c>
    </row>
    <row r="4" spans="1:13" x14ac:dyDescent="0.25">
      <c r="A4" t="s">
        <v>13</v>
      </c>
      <c r="B4" s="4">
        <v>45971</v>
      </c>
      <c r="C4" s="6">
        <v>0.50054398148148149</v>
      </c>
      <c r="D4" s="7" t="s">
        <v>91</v>
      </c>
      <c r="E4" t="s">
        <v>56</v>
      </c>
      <c r="F4" t="s">
        <v>51</v>
      </c>
      <c r="I4" s="8" t="s">
        <v>27</v>
      </c>
      <c r="J4" s="8" t="s">
        <v>2981</v>
      </c>
      <c r="K4" t="s">
        <v>3105</v>
      </c>
      <c r="L4" t="s">
        <v>3106</v>
      </c>
      <c r="M4" s="3" t="str">
        <f>HYPERLINK(СторонТрансп[[#This Row],[RelativePath]])</f>
        <v>1 Ангар Склад 2 въезд\E33149364_6_20251110T120047Z.jpg</v>
      </c>
    </row>
    <row r="5" spans="1:13" x14ac:dyDescent="0.25">
      <c r="A5" t="s">
        <v>14</v>
      </c>
      <c r="B5" s="4">
        <v>45972</v>
      </c>
      <c r="C5" s="6">
        <v>0.44353009259259257</v>
      </c>
      <c r="D5" s="7" t="s">
        <v>472</v>
      </c>
      <c r="E5" t="s">
        <v>67</v>
      </c>
      <c r="F5" t="s">
        <v>468</v>
      </c>
      <c r="I5" s="8" t="s">
        <v>415</v>
      </c>
      <c r="J5" s="8" t="s">
        <v>2982</v>
      </c>
      <c r="K5" t="s">
        <v>416</v>
      </c>
      <c r="L5" t="s">
        <v>417</v>
      </c>
      <c r="M5" s="3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4">
        <v>45972</v>
      </c>
      <c r="C6" s="6">
        <v>0.45118055555555553</v>
      </c>
      <c r="D6" s="7" t="s">
        <v>89</v>
      </c>
      <c r="E6" t="s">
        <v>63</v>
      </c>
      <c r="F6" t="s">
        <v>51</v>
      </c>
      <c r="I6" s="8" t="s">
        <v>36</v>
      </c>
      <c r="J6" s="8" t="s">
        <v>2981</v>
      </c>
      <c r="K6" t="s">
        <v>3123</v>
      </c>
      <c r="L6" t="s">
        <v>3124</v>
      </c>
      <c r="M6" s="3" t="str">
        <f>HYPERLINK(СторонТрансп[[#This Row],[RelativePath]])</f>
        <v>1 Ангар Склад 2 въезд\E33149364_6_20251111T104942Z.jpg</v>
      </c>
    </row>
    <row r="7" spans="1:13" x14ac:dyDescent="0.25">
      <c r="A7" t="s">
        <v>14</v>
      </c>
      <c r="B7" s="4">
        <v>45972</v>
      </c>
      <c r="C7" s="6">
        <v>0.45136574074074076</v>
      </c>
      <c r="D7" s="7" t="s">
        <v>64</v>
      </c>
      <c r="E7" t="s">
        <v>63</v>
      </c>
      <c r="F7" t="s">
        <v>51</v>
      </c>
      <c r="I7" s="8" t="s">
        <v>37</v>
      </c>
      <c r="J7" s="8" t="s">
        <v>2981</v>
      </c>
      <c r="K7" t="s">
        <v>3125</v>
      </c>
      <c r="L7" t="s">
        <v>3126</v>
      </c>
      <c r="M7" s="3" t="str">
        <f>HYPERLINK(СторонТрансп[[#This Row],[RelativePath]])</f>
        <v>1 Ангар Склад 2 въезд\E33149364_6_20251111T104958Z.jpg</v>
      </c>
    </row>
    <row r="8" spans="1:13" x14ac:dyDescent="0.25">
      <c r="A8" t="s">
        <v>14</v>
      </c>
      <c r="B8" s="4">
        <v>45972</v>
      </c>
      <c r="C8" s="6">
        <v>0.48476851851851854</v>
      </c>
      <c r="D8" s="7" t="s">
        <v>62</v>
      </c>
      <c r="E8" t="s">
        <v>63</v>
      </c>
      <c r="F8" t="s">
        <v>58</v>
      </c>
      <c r="I8" s="8" t="s">
        <v>38</v>
      </c>
      <c r="J8" s="8" t="s">
        <v>2981</v>
      </c>
      <c r="K8" t="s">
        <v>3127</v>
      </c>
      <c r="L8" t="s">
        <v>3128</v>
      </c>
      <c r="M8" s="3" t="str">
        <f>HYPERLINK(СторонТрансп[[#This Row],[RelativePath]])</f>
        <v>1 Ангар Склад 2 въезд\E33149364_6_20251111T113804Z.jpg</v>
      </c>
    </row>
    <row r="9" spans="1:13" x14ac:dyDescent="0.25">
      <c r="A9" t="s">
        <v>14</v>
      </c>
      <c r="B9" s="4">
        <v>45972</v>
      </c>
      <c r="C9" s="6">
        <v>0.39128472222222221</v>
      </c>
      <c r="D9" s="7" t="s">
        <v>91</v>
      </c>
      <c r="E9" t="s">
        <v>67</v>
      </c>
      <c r="F9" t="s">
        <v>51</v>
      </c>
      <c r="I9" s="8" t="s">
        <v>33</v>
      </c>
      <c r="J9" s="8" t="s">
        <v>2981</v>
      </c>
      <c r="K9" t="s">
        <v>3117</v>
      </c>
      <c r="L9" t="s">
        <v>3118</v>
      </c>
      <c r="M9" s="3" t="str">
        <f>HYPERLINK(СторонТрансп[[#This Row],[RelativePath]])</f>
        <v>1 Ангар Склад 2 въезд\E33149364_6_20251111T092327Z.jpg</v>
      </c>
    </row>
    <row r="10" spans="1:13" x14ac:dyDescent="0.25">
      <c r="A10" t="s">
        <v>14</v>
      </c>
      <c r="B10" s="4">
        <v>45972</v>
      </c>
      <c r="C10" s="6">
        <v>0.44765046296296296</v>
      </c>
      <c r="D10" s="7" t="s">
        <v>62</v>
      </c>
      <c r="E10" t="s">
        <v>67</v>
      </c>
      <c r="F10" t="s">
        <v>468</v>
      </c>
      <c r="I10" s="8" t="s">
        <v>34</v>
      </c>
      <c r="J10" s="8" t="s">
        <v>2981</v>
      </c>
      <c r="K10" t="s">
        <v>3119</v>
      </c>
      <c r="L10" t="s">
        <v>3120</v>
      </c>
      <c r="M10" s="3" t="str">
        <f>HYPERLINK(СторонТрансп[[#This Row],[RelativePath]])</f>
        <v>1 Ангар Склад 2 въезд\E33149364_6_20251111T104437Z.jpg</v>
      </c>
    </row>
    <row r="11" spans="1:13" x14ac:dyDescent="0.25">
      <c r="A11" t="s">
        <v>14</v>
      </c>
      <c r="B11" s="4">
        <v>45972</v>
      </c>
      <c r="C11" s="6">
        <v>0.44944444444444442</v>
      </c>
      <c r="D11" s="7" t="s">
        <v>91</v>
      </c>
      <c r="E11" t="s">
        <v>63</v>
      </c>
      <c r="F11" t="s">
        <v>51</v>
      </c>
      <c r="I11" s="8" t="s">
        <v>35</v>
      </c>
      <c r="J11" s="8" t="s">
        <v>2981</v>
      </c>
      <c r="K11" t="s">
        <v>3121</v>
      </c>
      <c r="L11" t="s">
        <v>3122</v>
      </c>
      <c r="M11" s="3" t="str">
        <f>HYPERLINK(СторонТрансп[[#This Row],[RelativePath]])</f>
        <v>1 Ангар Склад 2 въезд\E33149364_6_20251111T104712Z.jpg</v>
      </c>
    </row>
    <row r="12" spans="1:13" x14ac:dyDescent="0.25">
      <c r="A12" t="s">
        <v>15</v>
      </c>
      <c r="B12" s="4">
        <v>45973</v>
      </c>
      <c r="C12" s="6">
        <v>0.71020833333333333</v>
      </c>
      <c r="D12" s="7" t="s">
        <v>62</v>
      </c>
      <c r="E12" t="s">
        <v>66</v>
      </c>
      <c r="F12" t="s">
        <v>69</v>
      </c>
      <c r="I12" s="8" t="s">
        <v>42</v>
      </c>
      <c r="J12" s="8" t="s">
        <v>2981</v>
      </c>
      <c r="K12" t="s">
        <v>3135</v>
      </c>
      <c r="L12" t="s">
        <v>3136</v>
      </c>
      <c r="M12" s="3" t="str">
        <f>HYPERLINK(СторонТрансп[[#This Row],[RelativePath]])</f>
        <v>1 Ангар Склад 2 въезд\E33149364_6_20251112T170242Z.jpg</v>
      </c>
    </row>
    <row r="13" spans="1:13" x14ac:dyDescent="0.25">
      <c r="A13" t="s">
        <v>15</v>
      </c>
      <c r="B13" s="4">
        <v>45973</v>
      </c>
      <c r="C13" s="6">
        <v>0.67682870370370374</v>
      </c>
      <c r="D13" s="7" t="s">
        <v>91</v>
      </c>
      <c r="E13" t="s">
        <v>66</v>
      </c>
      <c r="F13" t="s">
        <v>68</v>
      </c>
      <c r="I13" s="8" t="s">
        <v>41</v>
      </c>
      <c r="J13" s="8" t="s">
        <v>2981</v>
      </c>
      <c r="K13" t="s">
        <v>3133</v>
      </c>
      <c r="L13" t="s">
        <v>3134</v>
      </c>
      <c r="M13" s="3" t="str">
        <f>HYPERLINK(СторонТрансп[[#This Row],[RelativePath]])</f>
        <v>1 Ангар Склад 2 въезд\E33149364_6_20251112T161438Z.jpg</v>
      </c>
    </row>
    <row r="14" spans="1:13" x14ac:dyDescent="0.25">
      <c r="A14" t="s">
        <v>17</v>
      </c>
      <c r="B14" s="4">
        <v>45975</v>
      </c>
      <c r="C14" s="6">
        <v>0.56293981481481481</v>
      </c>
      <c r="D14" s="7" t="s">
        <v>62</v>
      </c>
      <c r="E14" t="s">
        <v>66</v>
      </c>
      <c r="F14" t="s">
        <v>51</v>
      </c>
      <c r="I14" s="8" t="s">
        <v>81</v>
      </c>
      <c r="J14" s="8" t="s">
        <v>2981</v>
      </c>
      <c r="K14" t="s">
        <v>3171</v>
      </c>
      <c r="L14" t="s">
        <v>3172</v>
      </c>
      <c r="M14" s="3" t="str">
        <f>HYPERLINK(СторонТрансп[[#This Row],[RelativePath]])</f>
        <v>1 Ангар Склад 2 въезд\E33149364_6_20251114T133038Z.jpg</v>
      </c>
    </row>
    <row r="15" spans="1:13" x14ac:dyDescent="0.25">
      <c r="A15" t="s">
        <v>17</v>
      </c>
      <c r="B15" s="4">
        <v>45975</v>
      </c>
      <c r="C15" s="6">
        <v>0.56123842592592588</v>
      </c>
      <c r="D15" s="7" t="s">
        <v>89</v>
      </c>
      <c r="E15" t="s">
        <v>66</v>
      </c>
      <c r="F15" t="s">
        <v>88</v>
      </c>
      <c r="G15">
        <v>1</v>
      </c>
      <c r="I15" s="8" t="s">
        <v>80</v>
      </c>
      <c r="J15" s="8" t="s">
        <v>2981</v>
      </c>
      <c r="K15" t="s">
        <v>3169</v>
      </c>
      <c r="L15" t="s">
        <v>3170</v>
      </c>
      <c r="M15" s="3" t="str">
        <f>HYPERLINK(СторонТрансп[[#This Row],[RelativePath]])</f>
        <v>1 Ангар Склад 2 въезд\E33149364_6_20251114T132811Z.jpg</v>
      </c>
    </row>
    <row r="16" spans="1:13" x14ac:dyDescent="0.25">
      <c r="A16" t="s">
        <v>17</v>
      </c>
      <c r="B16" s="4">
        <v>45975</v>
      </c>
      <c r="C16" s="6">
        <v>0.57406250000000003</v>
      </c>
      <c r="D16" s="7" t="s">
        <v>62</v>
      </c>
      <c r="E16" t="s">
        <v>66</v>
      </c>
      <c r="F16" t="s">
        <v>51</v>
      </c>
      <c r="I16" s="8" t="s">
        <v>83</v>
      </c>
      <c r="J16" s="8" t="s">
        <v>2981</v>
      </c>
      <c r="K16" t="s">
        <v>3175</v>
      </c>
      <c r="L16" t="s">
        <v>3176</v>
      </c>
      <c r="M16" s="3" t="str">
        <f>HYPERLINK(СторонТрансп[[#This Row],[RelativePath]])</f>
        <v>1 Ангар Склад 2 въезд\E33149364_6_20251114T134639Z.jpg</v>
      </c>
    </row>
    <row r="17" spans="1:13" x14ac:dyDescent="0.25">
      <c r="A17" t="s">
        <v>17</v>
      </c>
      <c r="B17" s="4">
        <v>45975</v>
      </c>
      <c r="C17" s="6">
        <v>0.57114583333333335</v>
      </c>
      <c r="D17" s="7" t="s">
        <v>89</v>
      </c>
      <c r="E17" t="s">
        <v>66</v>
      </c>
      <c r="F17" t="s">
        <v>88</v>
      </c>
      <c r="G17">
        <v>1</v>
      </c>
      <c r="I17" s="8" t="s">
        <v>82</v>
      </c>
      <c r="J17" s="8" t="s">
        <v>2981</v>
      </c>
      <c r="K17" t="s">
        <v>3173</v>
      </c>
      <c r="L17" t="s">
        <v>3174</v>
      </c>
      <c r="M17" s="3" t="str">
        <f>HYPERLINK(СторонТрансп[[#This Row],[RelativePath]])</f>
        <v>1 Ангар Склад 2 въезд\E33149364_6_20251114T134227Z.jpg</v>
      </c>
    </row>
    <row r="18" spans="1:13" x14ac:dyDescent="0.25">
      <c r="A18" t="s">
        <v>17</v>
      </c>
      <c r="B18" s="4">
        <v>45975</v>
      </c>
      <c r="C18" s="6">
        <v>0.54204861111111113</v>
      </c>
      <c r="D18" s="7" t="s">
        <v>62</v>
      </c>
      <c r="E18" t="s">
        <v>66</v>
      </c>
      <c r="F18" t="s">
        <v>51</v>
      </c>
      <c r="I18" s="8" t="s">
        <v>77</v>
      </c>
      <c r="J18" s="8" t="s">
        <v>2981</v>
      </c>
      <c r="K18" t="s">
        <v>3163</v>
      </c>
      <c r="L18" t="s">
        <v>3164</v>
      </c>
      <c r="M18" s="3" t="str">
        <f>HYPERLINK(СторонТрансп[[#This Row],[RelativePath]])</f>
        <v>1 Ангар Склад 2 въезд\E33149364_6_20251114T130033Z.jpg</v>
      </c>
    </row>
    <row r="19" spans="1:13" x14ac:dyDescent="0.25">
      <c r="A19" t="s">
        <v>17</v>
      </c>
      <c r="B19" s="4">
        <v>45975</v>
      </c>
      <c r="C19" s="6">
        <v>0.53960648148148149</v>
      </c>
      <c r="D19" s="7" t="s">
        <v>89</v>
      </c>
      <c r="E19" t="s">
        <v>66</v>
      </c>
      <c r="F19" t="s">
        <v>88</v>
      </c>
      <c r="G19">
        <v>1</v>
      </c>
      <c r="I19" s="8" t="s">
        <v>75</v>
      </c>
      <c r="J19" s="8" t="s">
        <v>2981</v>
      </c>
      <c r="K19" t="s">
        <v>3159</v>
      </c>
      <c r="L19" t="s">
        <v>3160</v>
      </c>
      <c r="M19" s="3" t="str">
        <f>HYPERLINK(СторонТрансп[[#This Row],[RelativePath]])</f>
        <v>1 Ангар Склад 2 въезд\E33149364_6_20251114T125702Z.jpg</v>
      </c>
    </row>
    <row r="20" spans="1:13" x14ac:dyDescent="0.25">
      <c r="A20" t="s">
        <v>17</v>
      </c>
      <c r="B20" s="4">
        <v>45975</v>
      </c>
      <c r="C20" s="6">
        <v>0.55299768518518522</v>
      </c>
      <c r="D20" s="7" t="s">
        <v>62</v>
      </c>
      <c r="E20" t="s">
        <v>66</v>
      </c>
      <c r="F20" t="s">
        <v>51</v>
      </c>
      <c r="I20" s="8" t="s">
        <v>79</v>
      </c>
      <c r="J20" s="8" t="s">
        <v>2981</v>
      </c>
      <c r="K20" t="s">
        <v>3167</v>
      </c>
      <c r="L20" t="s">
        <v>3168</v>
      </c>
      <c r="M20" s="3" t="str">
        <f>HYPERLINK(СторонТрансп[[#This Row],[RelativePath]])</f>
        <v>1 Ангар Склад 2 въезд\E33149364_6_20251114T131619Z.jpg</v>
      </c>
    </row>
    <row r="21" spans="1:13" x14ac:dyDescent="0.25">
      <c r="A21" t="s">
        <v>17</v>
      </c>
      <c r="B21" s="4">
        <v>45975</v>
      </c>
      <c r="C21" s="6">
        <v>0.55090277777777774</v>
      </c>
      <c r="D21" s="7" t="s">
        <v>89</v>
      </c>
      <c r="E21" t="s">
        <v>66</v>
      </c>
      <c r="F21" t="s">
        <v>88</v>
      </c>
      <c r="G21">
        <v>1</v>
      </c>
      <c r="I21" s="8" t="s">
        <v>78</v>
      </c>
      <c r="J21" s="8" t="s">
        <v>2981</v>
      </c>
      <c r="K21" t="s">
        <v>3165</v>
      </c>
      <c r="L21" t="s">
        <v>3166</v>
      </c>
      <c r="M21" s="3" t="str">
        <f>HYPERLINK(СторонТрансп[[#This Row],[RelativePath]])</f>
        <v>1 Ангар Склад 2 въезд\E33149364_6_20251114T131318Z.jpg</v>
      </c>
    </row>
    <row r="22" spans="1:13" x14ac:dyDescent="0.25">
      <c r="A22" t="s">
        <v>18</v>
      </c>
      <c r="B22" s="4">
        <v>45976</v>
      </c>
      <c r="C22" s="6">
        <v>0.62281249999999999</v>
      </c>
      <c r="D22" s="7" t="s">
        <v>91</v>
      </c>
      <c r="E22" t="s">
        <v>2002</v>
      </c>
      <c r="I22" s="8" t="s">
        <v>1112</v>
      </c>
      <c r="J22" s="8" t="s">
        <v>2981</v>
      </c>
      <c r="K22" t="s">
        <v>3187</v>
      </c>
      <c r="L22" t="s">
        <v>3188</v>
      </c>
      <c r="M22" s="3" t="str">
        <f>HYPERLINK(СторонТрансп[[#This Row],[RelativePath]])</f>
        <v>1 Ангар Склад 2 въезд\E33149364_6_20251115T145651Z.jpg</v>
      </c>
    </row>
    <row r="23" spans="1:13" x14ac:dyDescent="0.25">
      <c r="A23" t="s">
        <v>18</v>
      </c>
      <c r="B23" s="4">
        <v>45976</v>
      </c>
      <c r="C23" s="6">
        <v>0.64368055555555559</v>
      </c>
      <c r="D23" s="7" t="s">
        <v>62</v>
      </c>
      <c r="E23" t="s">
        <v>2002</v>
      </c>
      <c r="I23" s="8" t="s">
        <v>1114</v>
      </c>
      <c r="J23" s="8" t="s">
        <v>2981</v>
      </c>
      <c r="K23" t="s">
        <v>3191</v>
      </c>
      <c r="L23" t="s">
        <v>3192</v>
      </c>
      <c r="M23" s="3" t="str">
        <f>HYPERLINK(СторонТрансп[[#This Row],[RelativePath]])</f>
        <v>1 Ангар Склад 2 въезд\E33149364_6_20251115T152654Z.jpg</v>
      </c>
    </row>
    <row r="24" spans="1:13" x14ac:dyDescent="0.25">
      <c r="A24" t="s">
        <v>18</v>
      </c>
      <c r="B24" s="4">
        <v>45976</v>
      </c>
      <c r="C24" s="6">
        <v>0.63765046296296302</v>
      </c>
      <c r="D24" s="7" t="s">
        <v>62</v>
      </c>
      <c r="E24" t="s">
        <v>56</v>
      </c>
      <c r="F24" t="s">
        <v>200</v>
      </c>
      <c r="I24" s="8" t="s">
        <v>2003</v>
      </c>
      <c r="J24" s="8" t="s">
        <v>2981</v>
      </c>
      <c r="K24" t="s">
        <v>3193</v>
      </c>
      <c r="L24" t="s">
        <v>3194</v>
      </c>
      <c r="M24" s="3" t="str">
        <f>HYPERLINK(СторонТрансп[[#This Row],[RelativePath]])</f>
        <v>1 Ангар Склад 2 въезд\E33149364_6_20251115T151813Z.jpg</v>
      </c>
    </row>
    <row r="25" spans="1:13" x14ac:dyDescent="0.25">
      <c r="A25" t="s">
        <v>18</v>
      </c>
      <c r="B25" s="4">
        <v>45976</v>
      </c>
      <c r="C25" s="6">
        <v>0.43630787037037039</v>
      </c>
      <c r="D25" s="7" t="s">
        <v>91</v>
      </c>
      <c r="E25" t="s">
        <v>56</v>
      </c>
      <c r="F25" t="s">
        <v>2000</v>
      </c>
      <c r="I25" s="8" t="s">
        <v>1108</v>
      </c>
      <c r="J25" s="8" t="s">
        <v>2981</v>
      </c>
      <c r="K25" t="s">
        <v>3179</v>
      </c>
      <c r="L25" t="s">
        <v>3180</v>
      </c>
      <c r="M25" s="3" t="str">
        <f>HYPERLINK(СторонТрансп[[#This Row],[RelativePath]])</f>
        <v>1 Ангар Склад 2 въезд\E33149364_6_20251115T102817Z.jpg</v>
      </c>
    </row>
    <row r="26" spans="1:13" x14ac:dyDescent="0.25">
      <c r="A26" t="s">
        <v>18</v>
      </c>
      <c r="B26" s="4">
        <v>45976</v>
      </c>
      <c r="C26" s="6">
        <v>0.46813657407407405</v>
      </c>
      <c r="D26" s="7" t="s">
        <v>91</v>
      </c>
      <c r="E26" t="s">
        <v>2001</v>
      </c>
      <c r="I26" s="8" t="s">
        <v>1110</v>
      </c>
      <c r="J26" s="8" t="s">
        <v>2981</v>
      </c>
      <c r="K26" t="s">
        <v>3183</v>
      </c>
      <c r="L26" t="s">
        <v>3184</v>
      </c>
      <c r="M26" s="3" t="str">
        <f>HYPERLINK(СторонТрансп[[#This Row],[RelativePath]])</f>
        <v>1 Ангар Склад 2 въезд\E33149364_6_20251115T111407Z.jpg</v>
      </c>
    </row>
    <row r="27" spans="1:13" x14ac:dyDescent="0.25">
      <c r="A27" t="s">
        <v>18</v>
      </c>
      <c r="B27" s="4">
        <v>45976</v>
      </c>
      <c r="C27" s="6">
        <v>0.49760416666666668</v>
      </c>
      <c r="D27" s="7" t="s">
        <v>62</v>
      </c>
      <c r="E27" t="s">
        <v>2001</v>
      </c>
      <c r="I27" s="8" t="s">
        <v>1111</v>
      </c>
      <c r="J27" s="8" t="s">
        <v>2981</v>
      </c>
      <c r="K27" t="s">
        <v>3185</v>
      </c>
      <c r="L27" t="s">
        <v>3186</v>
      </c>
      <c r="M27" s="3" t="str">
        <f>HYPERLINK(СторонТрансп[[#This Row],[RelativePath]])</f>
        <v>1 Ангар Склад 2 въезд\E33149364_6_20251115T115633Z.jpg</v>
      </c>
    </row>
    <row r="28" spans="1:13" x14ac:dyDescent="0.25">
      <c r="A28" t="s">
        <v>14</v>
      </c>
      <c r="B28" s="4">
        <v>45979</v>
      </c>
      <c r="C28" s="6">
        <v>0.60865740740740737</v>
      </c>
      <c r="D28" s="7" t="s">
        <v>62</v>
      </c>
      <c r="E28" t="s">
        <v>2923</v>
      </c>
      <c r="F28" t="s">
        <v>58</v>
      </c>
      <c r="I28" s="8" t="s">
        <v>2054</v>
      </c>
      <c r="J28" s="8" t="s">
        <v>2981</v>
      </c>
      <c r="K28" t="s">
        <v>3205</v>
      </c>
      <c r="L28" t="s">
        <v>3206</v>
      </c>
      <c r="M28" s="3" t="str">
        <f>HYPERLINK(СторонТрансп[[#This Row],[RelativePath]])</f>
        <v>1 Ангар Склад 2 въезд\E33149364_6_20251118T143628Z.jpg</v>
      </c>
    </row>
    <row r="29" spans="1:13" x14ac:dyDescent="0.25">
      <c r="A29" t="s">
        <v>14</v>
      </c>
      <c r="B29" s="4">
        <v>45979</v>
      </c>
      <c r="C29" s="6">
        <v>0.43486111111111109</v>
      </c>
      <c r="D29" s="7" t="s">
        <v>62</v>
      </c>
      <c r="E29" t="s">
        <v>2920</v>
      </c>
      <c r="F29" t="s">
        <v>2922</v>
      </c>
      <c r="I29" s="8" t="s">
        <v>2053</v>
      </c>
      <c r="J29" s="8" t="s">
        <v>2981</v>
      </c>
      <c r="K29" t="s">
        <v>3203</v>
      </c>
      <c r="L29" t="s">
        <v>3204</v>
      </c>
      <c r="M29" s="3" t="str">
        <f>HYPERLINK(СторонТрансп[[#This Row],[RelativePath]])</f>
        <v>1 Ангар Склад 2 въезд\E33149364_6_20251118T102612Z.jpg</v>
      </c>
    </row>
    <row r="30" spans="1:13" x14ac:dyDescent="0.25">
      <c r="A30" t="s">
        <v>14</v>
      </c>
      <c r="B30" s="4">
        <v>45979</v>
      </c>
      <c r="C30" s="6">
        <v>0.43164351851851851</v>
      </c>
      <c r="D30" s="7" t="s">
        <v>64</v>
      </c>
      <c r="E30" t="s">
        <v>2920</v>
      </c>
      <c r="F30" t="s">
        <v>2921</v>
      </c>
      <c r="I30" s="8" t="s">
        <v>2052</v>
      </c>
      <c r="J30" s="8" t="s">
        <v>2981</v>
      </c>
      <c r="K30" t="s">
        <v>3201</v>
      </c>
      <c r="L30" t="s">
        <v>3202</v>
      </c>
      <c r="M30" s="3" t="str">
        <f>HYPERLINK(СторонТрансп[[#This Row],[RelativePath]])</f>
        <v>1 Ангар Склад 2 въезд\E33149364_6_20251118T102134Z.jpg</v>
      </c>
    </row>
    <row r="31" spans="1:13" x14ac:dyDescent="0.25">
      <c r="A31" t="s">
        <v>15</v>
      </c>
      <c r="B31" s="4">
        <v>45980</v>
      </c>
      <c r="C31" s="6">
        <v>0.49490740740740741</v>
      </c>
      <c r="D31" s="7" t="s">
        <v>62</v>
      </c>
      <c r="E31" t="s">
        <v>2002</v>
      </c>
      <c r="I31" s="8" t="s">
        <v>2058</v>
      </c>
      <c r="J31" s="8" t="s">
        <v>2981</v>
      </c>
      <c r="K31" t="s">
        <v>3213</v>
      </c>
      <c r="L31" t="s">
        <v>3214</v>
      </c>
      <c r="M31" s="3" t="str">
        <f>HYPERLINK(СторонТрансп[[#This Row],[RelativePath]])</f>
        <v>1 Ангар Склад 2 въезд\E33149364_6_20251119T115240Z.jpg</v>
      </c>
    </row>
    <row r="32" spans="1:13" x14ac:dyDescent="0.25">
      <c r="A32" t="s">
        <v>15</v>
      </c>
      <c r="B32" s="4">
        <v>45980</v>
      </c>
      <c r="C32" s="6">
        <v>0.49100694444444443</v>
      </c>
      <c r="D32" s="7" t="s">
        <v>91</v>
      </c>
      <c r="E32" t="s">
        <v>2002</v>
      </c>
      <c r="I32" s="8" t="s">
        <v>2057</v>
      </c>
      <c r="J32" s="8" t="s">
        <v>2981</v>
      </c>
      <c r="K32" t="s">
        <v>3211</v>
      </c>
      <c r="L32" t="s">
        <v>3212</v>
      </c>
      <c r="M32" s="3" t="str">
        <f>HYPERLINK(СторонТрансп[[#This Row],[RelativePath]])</f>
        <v>1 Ангар Склад 2 въезд\E33149364_6_20251119T114703Z.jpg</v>
      </c>
    </row>
    <row r="33" spans="1:13" x14ac:dyDescent="0.25">
      <c r="A33" t="s">
        <v>15</v>
      </c>
      <c r="B33" s="4">
        <v>45987</v>
      </c>
      <c r="C33" s="6">
        <v>0.45245370370370369</v>
      </c>
      <c r="D33" s="7" t="s">
        <v>91</v>
      </c>
      <c r="E33" t="s">
        <v>4192</v>
      </c>
      <c r="F33" t="s">
        <v>58</v>
      </c>
      <c r="I33" s="8" t="s">
        <v>3231</v>
      </c>
      <c r="J33" s="8" t="s">
        <v>2981</v>
      </c>
      <c r="K33" t="s">
        <v>3232</v>
      </c>
      <c r="L33" t="s">
        <v>3233</v>
      </c>
      <c r="M33" s="3" t="str">
        <f>HYPERLINK(СторонТрансп[[#This Row],[RelativePath]])</f>
        <v>1 Ангар Склад 2 въезд\E33149364_6_20251126T105132Z.jpg</v>
      </c>
    </row>
    <row r="34" spans="1:13" x14ac:dyDescent="0.25">
      <c r="A34" t="s">
        <v>15</v>
      </c>
      <c r="B34" s="4">
        <v>45987</v>
      </c>
      <c r="C34" s="6">
        <v>0.45469907407407406</v>
      </c>
      <c r="D34" s="7" t="s">
        <v>62</v>
      </c>
      <c r="E34" t="s">
        <v>4192</v>
      </c>
      <c r="F34" t="s">
        <v>58</v>
      </c>
      <c r="I34" s="8" t="s">
        <v>3234</v>
      </c>
      <c r="J34" s="8" t="s">
        <v>2981</v>
      </c>
      <c r="K34" t="s">
        <v>3235</v>
      </c>
      <c r="L34" t="s">
        <v>3236</v>
      </c>
      <c r="M34" s="3" t="str">
        <f>HYPERLINK(СторонТрансп[[#This Row],[RelativePath]])</f>
        <v>1 Ангар Склад 2 въезд\E33149364_6_20251126T105446Z.jpg</v>
      </c>
    </row>
    <row r="35" spans="1:13" x14ac:dyDescent="0.25">
      <c r="A35" t="s">
        <v>15</v>
      </c>
      <c r="B35" s="4">
        <v>45987</v>
      </c>
      <c r="C35" s="6">
        <v>0.43335648148148148</v>
      </c>
      <c r="D35" s="7" t="s">
        <v>4190</v>
      </c>
      <c r="E35" t="s">
        <v>4192</v>
      </c>
      <c r="F35" t="s">
        <v>51</v>
      </c>
      <c r="I35" s="8" t="s">
        <v>3225</v>
      </c>
      <c r="J35" s="8" t="s">
        <v>2981</v>
      </c>
      <c r="K35" t="s">
        <v>3226</v>
      </c>
      <c r="L35" t="s">
        <v>3227</v>
      </c>
      <c r="M35" s="3" t="str">
        <f>HYPERLINK(СторонТрансп[[#This Row],[RelativePath]])</f>
        <v>1 Ангар Склад 2 въезд\E33149364_6_20251126T102402Z.jpg</v>
      </c>
    </row>
    <row r="36" spans="1:13" x14ac:dyDescent="0.25">
      <c r="A36" t="s">
        <v>15</v>
      </c>
      <c r="B36" s="4">
        <v>45987</v>
      </c>
      <c r="C36" s="6">
        <v>0.45240740740740742</v>
      </c>
      <c r="D36" s="7" t="s">
        <v>85</v>
      </c>
      <c r="E36" t="s">
        <v>4192</v>
      </c>
      <c r="F36" t="s">
        <v>58</v>
      </c>
      <c r="I36" s="8" t="s">
        <v>3228</v>
      </c>
      <c r="J36" s="8" t="s">
        <v>2981</v>
      </c>
      <c r="K36" t="s">
        <v>3229</v>
      </c>
      <c r="L36" t="s">
        <v>3230</v>
      </c>
      <c r="M36" s="3" t="str">
        <f>HYPERLINK(СторонТрансп[[#This Row],[RelativePath]])</f>
        <v>1 Ангар Склад 2 въезд\E33149364_6_20251126T105128Z.jpg</v>
      </c>
    </row>
    <row r="37" spans="1:13" x14ac:dyDescent="0.25">
      <c r="A37" t="s">
        <v>16</v>
      </c>
      <c r="B37" s="4">
        <v>45988</v>
      </c>
      <c r="C37" s="6">
        <v>0.54246527777777775</v>
      </c>
      <c r="D37" s="7" t="s">
        <v>85</v>
      </c>
      <c r="E37" t="s">
        <v>4191</v>
      </c>
      <c r="I37" s="8" t="s">
        <v>3240</v>
      </c>
      <c r="J37" s="8" t="s">
        <v>2981</v>
      </c>
      <c r="K37" t="s">
        <v>3241</v>
      </c>
      <c r="L37" t="s">
        <v>3242</v>
      </c>
      <c r="M37" s="3" t="str">
        <f>HYPERLINK(СторонТрансп[[#This Row],[RelativePath]])</f>
        <v>1 Ангар Склад 2 въезд\E33149364_6_20251127T130109Z.jpg</v>
      </c>
    </row>
    <row r="38" spans="1:13" x14ac:dyDescent="0.25">
      <c r="A38" t="s">
        <v>16</v>
      </c>
      <c r="B38" s="4">
        <v>45988</v>
      </c>
      <c r="C38" s="6">
        <v>0.50150462962962961</v>
      </c>
      <c r="D38" s="7" t="s">
        <v>4190</v>
      </c>
      <c r="E38" t="s">
        <v>4191</v>
      </c>
      <c r="I38" s="8" t="s">
        <v>3237</v>
      </c>
      <c r="J38" s="8" t="s">
        <v>2981</v>
      </c>
      <c r="K38" t="s">
        <v>3238</v>
      </c>
      <c r="L38" t="s">
        <v>3239</v>
      </c>
      <c r="M38" s="3" t="str">
        <f>HYPERLINK(СторонТрансп[[#This Row],[RelativePath]])</f>
        <v>1 Ангар Склад 2 въезд\E33149364_6_20251127T120210Z.jpg</v>
      </c>
    </row>
    <row r="39" spans="1:13" x14ac:dyDescent="0.25">
      <c r="A39" t="s">
        <v>17</v>
      </c>
      <c r="B39" s="4">
        <v>45989</v>
      </c>
      <c r="C39" s="6">
        <v>0.50700231481481484</v>
      </c>
      <c r="D39" s="7" t="s">
        <v>85</v>
      </c>
      <c r="E39" t="s">
        <v>4193</v>
      </c>
      <c r="I39" s="8" t="s">
        <v>3246</v>
      </c>
      <c r="J39" s="8" t="s">
        <v>2981</v>
      </c>
      <c r="K39" t="s">
        <v>3247</v>
      </c>
      <c r="L39" t="s">
        <v>3248</v>
      </c>
      <c r="M39" s="3" t="str">
        <f>HYPERLINK(СторонТрансп[[#This Row],[RelativePath]])</f>
        <v>1 Ангар Склад 2 въезд\E33149364_6_20251128T121005Z.jpg</v>
      </c>
    </row>
    <row r="40" spans="1:13" x14ac:dyDescent="0.25">
      <c r="A40" t="s">
        <v>17</v>
      </c>
      <c r="B40" s="4">
        <v>45989</v>
      </c>
      <c r="C40" s="6">
        <v>0.45510416666666664</v>
      </c>
      <c r="D40" s="7" t="s">
        <v>64</v>
      </c>
      <c r="E40" t="s">
        <v>4193</v>
      </c>
      <c r="I40" s="8" t="s">
        <v>3243</v>
      </c>
      <c r="J40" s="8" t="s">
        <v>2981</v>
      </c>
      <c r="K40" t="s">
        <v>3244</v>
      </c>
      <c r="L40" t="s">
        <v>3245</v>
      </c>
      <c r="M40" s="3" t="str">
        <f>HYPERLINK(СторонТрансп[[#This Row],[RelativePath]])</f>
        <v>1 Ангар Склад 2 въезд\E33149364_6_20251128T105521Z.jpg</v>
      </c>
    </row>
    <row r="41" spans="1:13" x14ac:dyDescent="0.25">
      <c r="A41" t="s">
        <v>18</v>
      </c>
      <c r="B41" s="4">
        <v>45990</v>
      </c>
      <c r="C41" s="6">
        <v>0.70343750000000005</v>
      </c>
      <c r="D41" s="7" t="s">
        <v>91</v>
      </c>
      <c r="E41" t="s">
        <v>4194</v>
      </c>
      <c r="F41" t="s">
        <v>4196</v>
      </c>
      <c r="H41" t="s">
        <v>4197</v>
      </c>
      <c r="I41" s="8" t="s">
        <v>3255</v>
      </c>
      <c r="J41" s="8" t="s">
        <v>2981</v>
      </c>
      <c r="K41" t="s">
        <v>3256</v>
      </c>
      <c r="L41" t="s">
        <v>3257</v>
      </c>
      <c r="M41" s="3" t="str">
        <f>HYPERLINK(СторонТрансп[[#This Row],[RelativePath]])</f>
        <v>1 Ангар Склад 2 въезд\E33149364_6_20251129T165257Z.jpg</v>
      </c>
    </row>
    <row r="42" spans="1:13" x14ac:dyDescent="0.25">
      <c r="A42" t="s">
        <v>18</v>
      </c>
      <c r="B42" s="4">
        <v>45990</v>
      </c>
      <c r="C42" s="6">
        <v>0.73475694444444439</v>
      </c>
      <c r="D42" s="7" t="s">
        <v>62</v>
      </c>
      <c r="E42" t="s">
        <v>4194</v>
      </c>
      <c r="F42" t="s">
        <v>4196</v>
      </c>
      <c r="I42" s="8" t="s">
        <v>3258</v>
      </c>
      <c r="J42" s="8" t="s">
        <v>2981</v>
      </c>
      <c r="K42" t="s">
        <v>3259</v>
      </c>
      <c r="L42" t="s">
        <v>3260</v>
      </c>
      <c r="M42" s="3" t="str">
        <f>HYPERLINK(СторонТрансп[[#This Row],[RelativePath]])</f>
        <v>1 Ангар Склад 2 въезд\E33149364_6_20251129T173803Z.jpg</v>
      </c>
    </row>
    <row r="43" spans="1:13" x14ac:dyDescent="0.25">
      <c r="A43" t="s">
        <v>18</v>
      </c>
      <c r="B43" s="4">
        <v>45990</v>
      </c>
      <c r="C43" s="6">
        <v>0.53762731481481485</v>
      </c>
      <c r="D43" s="7" t="s">
        <v>91</v>
      </c>
      <c r="E43" t="s">
        <v>4194</v>
      </c>
      <c r="F43" t="s">
        <v>51</v>
      </c>
      <c r="I43" s="8" t="s">
        <v>3249</v>
      </c>
      <c r="J43" s="8" t="s">
        <v>2981</v>
      </c>
      <c r="K43" t="s">
        <v>3250</v>
      </c>
      <c r="L43" t="s">
        <v>3251</v>
      </c>
      <c r="M43" s="3" t="str">
        <f>HYPERLINK(СторонТрансп[[#This Row],[RelativePath]])</f>
        <v>1 Ангар Склад 2 въезд\E33149364_6_20251129T125411Z.jpg</v>
      </c>
    </row>
    <row r="44" spans="1:13" x14ac:dyDescent="0.25">
      <c r="A44" t="s">
        <v>18</v>
      </c>
      <c r="B44" s="4">
        <v>45990</v>
      </c>
      <c r="C44" s="6">
        <v>0.64861111111111114</v>
      </c>
      <c r="D44" s="7" t="s">
        <v>91</v>
      </c>
      <c r="E44" t="s">
        <v>4195</v>
      </c>
      <c r="F44" t="s">
        <v>51</v>
      </c>
      <c r="I44" s="8" t="s">
        <v>3252</v>
      </c>
      <c r="J44" s="8" t="s">
        <v>2981</v>
      </c>
      <c r="K44" t="s">
        <v>3253</v>
      </c>
      <c r="L44" t="s">
        <v>3254</v>
      </c>
      <c r="M44" s="3" t="str">
        <f>HYPERLINK(СторонТрансп[[#This Row],[RelativePath]])</f>
        <v>1 Ангар Склад 2 въезд\E33149364_6_20251129T153400Z.jpg</v>
      </c>
    </row>
    <row r="45" spans="1:13" x14ac:dyDescent="0.25">
      <c r="A45" t="s">
        <v>13</v>
      </c>
      <c r="B45" s="4">
        <v>45992</v>
      </c>
      <c r="C45" s="6">
        <v>0.87302083333333336</v>
      </c>
      <c r="D45" s="7" t="s">
        <v>62</v>
      </c>
      <c r="E45" t="s">
        <v>4194</v>
      </c>
      <c r="F45" t="s">
        <v>51</v>
      </c>
      <c r="H45" t="s">
        <v>5075</v>
      </c>
      <c r="I45" s="8" t="s">
        <v>4405</v>
      </c>
      <c r="J45" s="8" t="s">
        <v>2981</v>
      </c>
      <c r="K45" t="s">
        <v>4406</v>
      </c>
      <c r="L45" t="s">
        <v>4407</v>
      </c>
      <c r="M45" s="3" t="str">
        <f>HYPERLINK(СторонТрансп[[#This Row],[RelativePath]])</f>
        <v>1 Ангар Склад 2 въезд\E33149364_6_20251201T205709Z.jpg</v>
      </c>
    </row>
    <row r="46" spans="1:13" x14ac:dyDescent="0.25">
      <c r="A46" t="s">
        <v>13</v>
      </c>
      <c r="B46" s="4">
        <v>45992</v>
      </c>
      <c r="C46" s="6">
        <v>0.86784722222222221</v>
      </c>
      <c r="D46" s="7" t="s">
        <v>91</v>
      </c>
      <c r="E46" t="s">
        <v>4194</v>
      </c>
      <c r="F46" t="s">
        <v>1609</v>
      </c>
      <c r="H46" t="s">
        <v>5074</v>
      </c>
      <c r="I46" s="8" t="s">
        <v>4402</v>
      </c>
      <c r="J46" s="8" t="s">
        <v>2981</v>
      </c>
      <c r="K46" t="s">
        <v>4403</v>
      </c>
      <c r="L46" t="s">
        <v>4404</v>
      </c>
      <c r="M46" s="3" t="str">
        <f>HYPERLINK(СторонТрансп[[#This Row],[RelativePath]])</f>
        <v>1 Ангар Склад 2 въезд\E33149364_6_20251201T204942Z.jpg</v>
      </c>
    </row>
    <row r="47" spans="1:13" x14ac:dyDescent="0.25">
      <c r="A47" t="s">
        <v>22</v>
      </c>
      <c r="B47" s="4">
        <v>45998</v>
      </c>
      <c r="C47" s="6">
        <v>0.67327546296296292</v>
      </c>
      <c r="D47" s="7" t="s">
        <v>62</v>
      </c>
      <c r="E47" t="s">
        <v>5259</v>
      </c>
      <c r="F47" t="s">
        <v>5260</v>
      </c>
      <c r="H47" t="s">
        <v>5261</v>
      </c>
      <c r="I47" s="8" t="s">
        <v>5146</v>
      </c>
      <c r="J47" s="8" t="s">
        <v>2981</v>
      </c>
      <c r="K47" t="s">
        <v>5301</v>
      </c>
      <c r="L47" t="s">
        <v>5147</v>
      </c>
      <c r="M47" s="3" t="str">
        <f>HYPERLINK(СторонТрансп[[#This Row],[RelativePath]])</f>
        <v>1 Ангар Склад 2 въезд\E33149364_6_20251207T160931Z.jpg</v>
      </c>
    </row>
    <row r="48" spans="1:13" x14ac:dyDescent="0.25">
      <c r="A48" t="s">
        <v>22</v>
      </c>
      <c r="B48" s="4">
        <v>45998</v>
      </c>
      <c r="C48" s="6">
        <v>0.57973379629629629</v>
      </c>
      <c r="D48" s="7" t="s">
        <v>91</v>
      </c>
      <c r="E48" t="s">
        <v>5259</v>
      </c>
      <c r="F48" t="s">
        <v>51</v>
      </c>
      <c r="I48" s="8" t="s">
        <v>5144</v>
      </c>
      <c r="J48" s="8" t="s">
        <v>2981</v>
      </c>
      <c r="K48" t="s">
        <v>5300</v>
      </c>
      <c r="L48" t="s">
        <v>5145</v>
      </c>
      <c r="M48" s="3" t="str">
        <f>HYPERLINK(СторонТрансп[[#This Row],[RelativePath]])</f>
        <v>1 Ангар Склад 2 въезд\E33149364_6_20251207T135449Z.jpg</v>
      </c>
    </row>
    <row r="49" spans="1:13" x14ac:dyDescent="0.25">
      <c r="A49" t="s">
        <v>13</v>
      </c>
      <c r="B49" s="4">
        <v>45999</v>
      </c>
      <c r="C49" s="6">
        <v>0.66584490740740743</v>
      </c>
      <c r="D49" s="7" t="s">
        <v>85</v>
      </c>
      <c r="E49" t="s">
        <v>4193</v>
      </c>
      <c r="F49" t="s">
        <v>5076</v>
      </c>
      <c r="I49" s="8" t="s">
        <v>5274</v>
      </c>
      <c r="J49" s="8" t="s">
        <v>2981</v>
      </c>
      <c r="K49" t="s">
        <v>5303</v>
      </c>
      <c r="L49" t="s">
        <v>5275</v>
      </c>
      <c r="M49" s="3" t="str">
        <f>HYPERLINK(СторонТрансп[[#This Row],[RelativePath]])</f>
        <v>1 Ангар Склад 2 въезд\E33149364_6_20251208T155849Z.jpg</v>
      </c>
    </row>
    <row r="50" spans="1:13" x14ac:dyDescent="0.25">
      <c r="A50" t="s">
        <v>13</v>
      </c>
      <c r="B50" s="4">
        <v>45999</v>
      </c>
      <c r="C50" s="6">
        <v>0.59879629629629627</v>
      </c>
      <c r="D50" s="7" t="s">
        <v>64</v>
      </c>
      <c r="E50" t="s">
        <v>4193</v>
      </c>
      <c r="F50" t="s">
        <v>5076</v>
      </c>
      <c r="I50" s="8" t="s">
        <v>5272</v>
      </c>
      <c r="J50" s="8" t="s">
        <v>2981</v>
      </c>
      <c r="K50" t="s">
        <v>5302</v>
      </c>
      <c r="L50" t="s">
        <v>5273</v>
      </c>
      <c r="M50" s="3" t="str">
        <f>HYPERLINK(СторонТрансп[[#This Row],[RelativePath]])</f>
        <v>1 Ангар Склад 2 въезд\E33149364_6_20251208T142216Z.jpg</v>
      </c>
    </row>
    <row r="51" spans="1:13" x14ac:dyDescent="0.25">
      <c r="A51" t="s">
        <v>14</v>
      </c>
      <c r="B51" s="4">
        <v>46000</v>
      </c>
      <c r="C51" s="6">
        <v>0.51658564814814811</v>
      </c>
      <c r="D51" s="7" t="s">
        <v>3019</v>
      </c>
      <c r="E51" t="s">
        <v>5505</v>
      </c>
      <c r="F51" t="s">
        <v>51</v>
      </c>
      <c r="I51" s="8" t="s">
        <v>5490</v>
      </c>
      <c r="J51" s="8" t="s">
        <v>2981</v>
      </c>
      <c r="K51" t="s">
        <v>5491</v>
      </c>
      <c r="L51" t="s">
        <v>5492</v>
      </c>
      <c r="M51" s="3" t="str">
        <f>HYPERLINK(СторонТрансп[[#This Row],[RelativePath]])</f>
        <v>1 Ангар Склад 2 въезд\E33149364_6_20251209T122353Z.jpg</v>
      </c>
    </row>
    <row r="52" spans="1:13" x14ac:dyDescent="0.25">
      <c r="A52" t="s">
        <v>14</v>
      </c>
      <c r="B52" s="4">
        <v>46000</v>
      </c>
      <c r="C52" s="6">
        <v>0.6348611111111111</v>
      </c>
      <c r="D52" s="7" t="s">
        <v>64</v>
      </c>
      <c r="E52" t="s">
        <v>4193</v>
      </c>
      <c r="F52" t="s">
        <v>5076</v>
      </c>
      <c r="I52" s="8" t="s">
        <v>5493</v>
      </c>
      <c r="J52" s="8" t="s">
        <v>2981</v>
      </c>
      <c r="K52" t="s">
        <v>5494</v>
      </c>
      <c r="L52" t="s">
        <v>5495</v>
      </c>
      <c r="M52" s="3" t="str">
        <f>HYPERLINK(СторонТрансп[[#This Row],[RelativePath]])</f>
        <v>1 Ангар Склад 2 въезд\E33149364_6_20251209T151412Z.jpg</v>
      </c>
    </row>
    <row r="53" spans="1:13" x14ac:dyDescent="0.25">
      <c r="A53" t="s">
        <v>14</v>
      </c>
      <c r="B53" s="4">
        <v>46000</v>
      </c>
      <c r="C53" s="6">
        <v>0.69473379629629628</v>
      </c>
      <c r="D53" s="7" t="s">
        <v>85</v>
      </c>
      <c r="E53" t="s">
        <v>4193</v>
      </c>
      <c r="F53" t="s">
        <v>5076</v>
      </c>
      <c r="I53" s="8" t="s">
        <v>5496</v>
      </c>
      <c r="J53" s="8" t="s">
        <v>2981</v>
      </c>
      <c r="K53" t="s">
        <v>5497</v>
      </c>
      <c r="L53" t="s">
        <v>5498</v>
      </c>
      <c r="M53" s="3" t="str">
        <f>HYPERLINK(СторонТрансп[[#This Row],[RelativePath]])</f>
        <v>1 Ангар Склад 2 въезд\E33149364_6_20251209T164025Z.jpg</v>
      </c>
    </row>
    <row r="54" spans="1:13" x14ac:dyDescent="0.25">
      <c r="A54" t="s">
        <v>14</v>
      </c>
      <c r="B54" s="4">
        <v>46000</v>
      </c>
      <c r="C54" s="6">
        <v>0.42645833333333333</v>
      </c>
      <c r="D54" s="7" t="s">
        <v>64</v>
      </c>
      <c r="E54" t="s">
        <v>4193</v>
      </c>
      <c r="F54" t="s">
        <v>5076</v>
      </c>
      <c r="I54" s="8" t="s">
        <v>5481</v>
      </c>
      <c r="J54" s="8" t="s">
        <v>2981</v>
      </c>
      <c r="K54" t="s">
        <v>5482</v>
      </c>
      <c r="L54" t="s">
        <v>5483</v>
      </c>
      <c r="M54" s="3" t="str">
        <f>HYPERLINK(СторонТрансп[[#This Row],[RelativePath]])</f>
        <v>1 Ангар Склад 2 въезд\E33149364_6_20251209T101406Z.jpg</v>
      </c>
    </row>
    <row r="55" spans="1:13" x14ac:dyDescent="0.25">
      <c r="A55" t="s">
        <v>14</v>
      </c>
      <c r="B55" s="4">
        <v>46000</v>
      </c>
      <c r="C55" s="6">
        <v>0.47930555555555554</v>
      </c>
      <c r="D55" s="7" t="s">
        <v>85</v>
      </c>
      <c r="E55" t="s">
        <v>4193</v>
      </c>
      <c r="F55" t="s">
        <v>5076</v>
      </c>
      <c r="I55" s="8" t="s">
        <v>5484</v>
      </c>
      <c r="J55" s="8" t="s">
        <v>2981</v>
      </c>
      <c r="K55" t="s">
        <v>5485</v>
      </c>
      <c r="L55" t="s">
        <v>5486</v>
      </c>
      <c r="M55" s="3" t="str">
        <f>HYPERLINK(СторонТрансп[[#This Row],[RelativePath]])</f>
        <v>1 Ангар Склад 2 въезд\E33149364_6_20251209T113012Z.jpg</v>
      </c>
    </row>
    <row r="56" spans="1:13" x14ac:dyDescent="0.25">
      <c r="A56" t="s">
        <v>14</v>
      </c>
      <c r="B56" s="4">
        <v>46000</v>
      </c>
      <c r="C56" s="6">
        <v>0.510625</v>
      </c>
      <c r="D56" s="7" t="s">
        <v>91</v>
      </c>
      <c r="E56" t="s">
        <v>5505</v>
      </c>
      <c r="F56" t="s">
        <v>51</v>
      </c>
      <c r="I56" s="8" t="s">
        <v>5487</v>
      </c>
      <c r="J56" s="8" t="s">
        <v>2981</v>
      </c>
      <c r="K56" t="s">
        <v>5488</v>
      </c>
      <c r="L56" t="s">
        <v>5489</v>
      </c>
      <c r="M56" s="3" t="str">
        <f>HYPERLINK(СторонТрансп[[#This Row],[RelativePath]])</f>
        <v>1 Ангар Склад 2 въезд\E33149364_6_20251209T121518Z.jpg</v>
      </c>
    </row>
    <row r="57" spans="1:13" x14ac:dyDescent="0.25">
      <c r="A57" t="s">
        <v>15</v>
      </c>
      <c r="B57" s="4">
        <v>46001</v>
      </c>
      <c r="C57" s="6">
        <v>0.63895833333333329</v>
      </c>
      <c r="D57" s="7" t="s">
        <v>85</v>
      </c>
      <c r="E57" t="s">
        <v>4193</v>
      </c>
      <c r="F57" t="s">
        <v>5076</v>
      </c>
      <c r="I57" s="8" t="s">
        <v>5502</v>
      </c>
      <c r="J57" s="8" t="s">
        <v>2981</v>
      </c>
      <c r="K57" t="s">
        <v>5503</v>
      </c>
      <c r="L57" t="s">
        <v>5504</v>
      </c>
      <c r="M57" s="3" t="str">
        <f>HYPERLINK(СторонТрансп[[#This Row],[RelativePath]])</f>
        <v>1 Ангар Склад 2 въезд\E33149364_6_20251210T152006Z.jpg</v>
      </c>
    </row>
    <row r="58" spans="1:13" x14ac:dyDescent="0.25">
      <c r="A58" t="s">
        <v>15</v>
      </c>
      <c r="B58" s="4">
        <v>46001</v>
      </c>
      <c r="C58" s="6">
        <v>0.53234953703703702</v>
      </c>
      <c r="D58" s="7" t="s">
        <v>64</v>
      </c>
      <c r="E58" t="s">
        <v>4193</v>
      </c>
      <c r="F58" t="s">
        <v>5076</v>
      </c>
      <c r="I58" s="8" t="s">
        <v>5499</v>
      </c>
      <c r="J58" s="8" t="s">
        <v>2981</v>
      </c>
      <c r="K58" t="s">
        <v>5500</v>
      </c>
      <c r="L58" t="s">
        <v>5501</v>
      </c>
      <c r="M58" s="3" t="str">
        <f>HYPERLINK(СторонТрансп[[#This Row],[RelativePath]])</f>
        <v>1 Ангар Склад 2 въезд\E33149364_6_20251210T124635Z.jpg</v>
      </c>
    </row>
    <row r="59" spans="1:13" x14ac:dyDescent="0.25">
      <c r="A59" t="s">
        <v>18</v>
      </c>
      <c r="B59" s="4">
        <v>46004</v>
      </c>
      <c r="C59" s="6">
        <v>0.53726851851851853</v>
      </c>
      <c r="D59" s="7" t="s">
        <v>3019</v>
      </c>
      <c r="E59" t="s">
        <v>6165</v>
      </c>
      <c r="F59" t="s">
        <v>51</v>
      </c>
      <c r="I59" s="8" t="s">
        <v>6035</v>
      </c>
      <c r="J59" s="8" t="s">
        <v>2981</v>
      </c>
      <c r="K59" t="s">
        <v>6036</v>
      </c>
      <c r="L59" t="s">
        <v>6037</v>
      </c>
      <c r="M59" s="3" t="str">
        <f>HYPERLINK(СторонТрансп[[#This Row],[RelativePath]])</f>
        <v>1 Ангар Склад 2 въезд\E33149364_6_20251213T125340Z.jpg</v>
      </c>
    </row>
    <row r="60" spans="1:13" x14ac:dyDescent="0.25">
      <c r="A60" t="s">
        <v>18</v>
      </c>
      <c r="B60" s="4">
        <v>46004</v>
      </c>
      <c r="C60" s="6">
        <v>0.53954861111111108</v>
      </c>
      <c r="D60" s="7" t="s">
        <v>91</v>
      </c>
      <c r="E60" t="s">
        <v>6167</v>
      </c>
      <c r="F60" t="s">
        <v>58</v>
      </c>
      <c r="I60" s="8" t="s">
        <v>6038</v>
      </c>
      <c r="J60" s="8" t="s">
        <v>2981</v>
      </c>
      <c r="K60" t="s">
        <v>6039</v>
      </c>
      <c r="L60" t="s">
        <v>6040</v>
      </c>
      <c r="M60" s="3" t="str">
        <f>HYPERLINK(СторонТрансп[[#This Row],[RelativePath]])</f>
        <v>1 Ангар Склад 2 въезд\E33149364_6_20251213T125657Z.jpg</v>
      </c>
    </row>
    <row r="61" spans="1:13" x14ac:dyDescent="0.25">
      <c r="A61" t="s">
        <v>18</v>
      </c>
      <c r="B61" s="4">
        <v>46004</v>
      </c>
      <c r="C61" s="6">
        <v>0.56135416666666671</v>
      </c>
      <c r="D61" s="7" t="s">
        <v>62</v>
      </c>
      <c r="E61" t="s">
        <v>6167</v>
      </c>
      <c r="F61" t="s">
        <v>6168</v>
      </c>
      <c r="H61" t="s">
        <v>6169</v>
      </c>
      <c r="I61" s="8" t="s">
        <v>6041</v>
      </c>
      <c r="J61" s="8" t="s">
        <v>2981</v>
      </c>
      <c r="K61" t="s">
        <v>6042</v>
      </c>
      <c r="L61" t="s">
        <v>6043</v>
      </c>
      <c r="M61" s="3" t="str">
        <f>HYPERLINK(СторонТрансп[[#This Row],[RelativePath]])</f>
        <v>1 Ангар Склад 2 въезд\E33149364_6_20251213T132821Z.jpg</v>
      </c>
    </row>
    <row r="62" spans="1:13" x14ac:dyDescent="0.25">
      <c r="A62" t="s">
        <v>18</v>
      </c>
      <c r="B62" s="4">
        <v>46004</v>
      </c>
      <c r="C62" s="6">
        <v>0.53692129629629626</v>
      </c>
      <c r="D62" s="7" t="s">
        <v>62</v>
      </c>
      <c r="E62" t="s">
        <v>6166</v>
      </c>
      <c r="F62" t="s">
        <v>51</v>
      </c>
      <c r="I62" s="8" t="s">
        <v>6032</v>
      </c>
      <c r="J62" s="8" t="s">
        <v>2981</v>
      </c>
      <c r="K62" t="s">
        <v>6033</v>
      </c>
      <c r="L62" t="s">
        <v>6034</v>
      </c>
      <c r="M62" s="3" t="str">
        <f>HYPERLINK(СторонТрансп[[#This Row],[RelativePath]])</f>
        <v>1 Ангар Склад 2 въезд\E33149364_6_20251213T125310Z.jpg</v>
      </c>
    </row>
    <row r="63" spans="1:13" x14ac:dyDescent="0.25">
      <c r="A63" t="s">
        <v>18</v>
      </c>
      <c r="B63" s="4">
        <v>46004</v>
      </c>
      <c r="C63" s="6">
        <v>0.41039351851851852</v>
      </c>
      <c r="D63" s="7" t="s">
        <v>62</v>
      </c>
      <c r="E63" t="s">
        <v>6167</v>
      </c>
      <c r="F63" t="s">
        <v>58</v>
      </c>
      <c r="H63" t="s">
        <v>6164</v>
      </c>
      <c r="I63" s="8" t="s">
        <v>6023</v>
      </c>
      <c r="J63" s="8" t="s">
        <v>2981</v>
      </c>
      <c r="K63" t="s">
        <v>6024</v>
      </c>
      <c r="L63" t="s">
        <v>6025</v>
      </c>
      <c r="M63" s="3" t="str">
        <f>HYPERLINK(СторонТрансп[[#This Row],[RelativePath]])</f>
        <v>1 Ангар Склад 2 въезд\E33149364_6_20251213T095058Z.jpg</v>
      </c>
    </row>
    <row r="64" spans="1:13" x14ac:dyDescent="0.25">
      <c r="A64" t="s">
        <v>18</v>
      </c>
      <c r="B64" s="4">
        <v>46004</v>
      </c>
      <c r="C64" s="6">
        <v>0.52951388888888884</v>
      </c>
      <c r="D64" s="7" t="s">
        <v>91</v>
      </c>
      <c r="E64" t="s">
        <v>6166</v>
      </c>
      <c r="F64" t="s">
        <v>51</v>
      </c>
      <c r="I64" s="8" t="s">
        <v>6026</v>
      </c>
      <c r="J64" s="8" t="s">
        <v>2981</v>
      </c>
      <c r="K64" t="s">
        <v>6027</v>
      </c>
      <c r="L64" t="s">
        <v>6028</v>
      </c>
      <c r="M64" s="3" t="str">
        <f>HYPERLINK(СторонТрансп[[#This Row],[RelativePath]])</f>
        <v>1 Ангар Склад 2 въезд\E33149364_6_20251213T124230Z.jpg</v>
      </c>
    </row>
    <row r="65" spans="1:13" x14ac:dyDescent="0.25">
      <c r="A65" t="s">
        <v>18</v>
      </c>
      <c r="B65" s="4">
        <v>46004</v>
      </c>
      <c r="C65" s="6">
        <v>0.52979166666666666</v>
      </c>
      <c r="D65" s="7" t="s">
        <v>91</v>
      </c>
      <c r="E65" t="s">
        <v>6165</v>
      </c>
      <c r="F65" t="s">
        <v>51</v>
      </c>
      <c r="I65" s="8" t="s">
        <v>6029</v>
      </c>
      <c r="J65" s="8" t="s">
        <v>2981</v>
      </c>
      <c r="K65" t="s">
        <v>6030</v>
      </c>
      <c r="L65" t="s">
        <v>6031</v>
      </c>
      <c r="M65" s="3" t="str">
        <f>HYPERLINK(СторонТрансп[[#This Row],[RelativePath]])</f>
        <v>1 Ангар Склад 2 въезд\E33149364_6_20251213T124254Z.jpg</v>
      </c>
    </row>
    <row r="66" spans="1:13" x14ac:dyDescent="0.25">
      <c r="A66" t="s">
        <v>13</v>
      </c>
      <c r="B66" s="4">
        <v>46006</v>
      </c>
      <c r="C66" s="6">
        <v>0.48192129629629632</v>
      </c>
      <c r="D66" s="7" t="s">
        <v>85</v>
      </c>
      <c r="E66" t="s">
        <v>6329</v>
      </c>
      <c r="F66" t="s">
        <v>58</v>
      </c>
      <c r="H66" t="s">
        <v>2936</v>
      </c>
      <c r="I66" s="8" t="s">
        <v>6269</v>
      </c>
      <c r="J66" s="8" t="s">
        <v>2981</v>
      </c>
      <c r="K66" t="s">
        <v>6270</v>
      </c>
      <c r="L66" t="s">
        <v>6271</v>
      </c>
      <c r="M66" s="3" t="str">
        <f>HYPERLINK(СторонТрансп[[#This Row],[RelativePath]])</f>
        <v>1 Ангар Склад 2 въезд\E33149364_6_20251215T113358Z.jpg</v>
      </c>
    </row>
    <row r="67" spans="1:13" x14ac:dyDescent="0.25">
      <c r="A67" t="s">
        <v>13</v>
      </c>
      <c r="B67" s="4">
        <v>46006</v>
      </c>
      <c r="C67" s="6">
        <v>0.54327546296296292</v>
      </c>
      <c r="D67" s="7" t="s">
        <v>85</v>
      </c>
      <c r="E67" t="s">
        <v>4193</v>
      </c>
      <c r="F67" t="s">
        <v>5076</v>
      </c>
      <c r="I67" s="8" t="s">
        <v>6278</v>
      </c>
      <c r="J67" s="8" t="s">
        <v>2981</v>
      </c>
      <c r="K67" t="s">
        <v>6279</v>
      </c>
      <c r="L67" t="s">
        <v>6280</v>
      </c>
      <c r="M67" s="3" t="str">
        <f>HYPERLINK(СторонТрансп[[#This Row],[RelativePath]])</f>
        <v>1 Ангар Склад 2 въезд\E33149364_6_20251215T130219Z.jpg</v>
      </c>
    </row>
    <row r="68" spans="1:13" x14ac:dyDescent="0.25">
      <c r="A68" t="s">
        <v>13</v>
      </c>
      <c r="B68" s="4">
        <v>46006</v>
      </c>
      <c r="C68" s="6">
        <v>0.48171296296296295</v>
      </c>
      <c r="D68" s="7" t="s">
        <v>85</v>
      </c>
      <c r="E68" t="s">
        <v>6329</v>
      </c>
      <c r="F68" t="s">
        <v>58</v>
      </c>
      <c r="H68" t="s">
        <v>1620</v>
      </c>
      <c r="I68" s="8" t="s">
        <v>6266</v>
      </c>
      <c r="J68" s="8" t="s">
        <v>2981</v>
      </c>
      <c r="K68" t="s">
        <v>6267</v>
      </c>
      <c r="L68" t="s">
        <v>6268</v>
      </c>
      <c r="M68" s="3" t="str">
        <f>HYPERLINK(СторонТрансп[[#This Row],[RelativePath]])</f>
        <v>1 Ангар Склад 2 въезд\E33149364_6_20251215T113340Z.jpg</v>
      </c>
    </row>
    <row r="69" spans="1:13" x14ac:dyDescent="0.25">
      <c r="A69" t="s">
        <v>13</v>
      </c>
      <c r="B69" s="4">
        <v>46006</v>
      </c>
      <c r="C69" s="6">
        <v>0.43730324074074073</v>
      </c>
      <c r="D69" s="7" t="s">
        <v>64</v>
      </c>
      <c r="E69" t="s">
        <v>4193</v>
      </c>
      <c r="F69" t="s">
        <v>5076</v>
      </c>
      <c r="I69" s="8" t="s">
        <v>6263</v>
      </c>
      <c r="J69" s="8" t="s">
        <v>2981</v>
      </c>
      <c r="K69" t="s">
        <v>6264</v>
      </c>
      <c r="L69" t="s">
        <v>6265</v>
      </c>
      <c r="M69" s="3" t="str">
        <f>HYPERLINK(СторонТрансп[[#This Row],[RelativePath]])</f>
        <v>1 Ангар Склад 2 въезд\E33149364_6_20251215T102943Z.jpg</v>
      </c>
    </row>
    <row r="70" spans="1:13" x14ac:dyDescent="0.25">
      <c r="A70" t="s">
        <v>13</v>
      </c>
      <c r="B70" s="4">
        <v>46006</v>
      </c>
      <c r="C70" s="6">
        <v>0.46148148148148149</v>
      </c>
      <c r="D70" s="7" t="s">
        <v>91</v>
      </c>
      <c r="E70" t="s">
        <v>6329</v>
      </c>
      <c r="F70" t="s">
        <v>51</v>
      </c>
      <c r="I70" s="8" t="s">
        <v>6343</v>
      </c>
      <c r="J70" s="8" t="s">
        <v>2981</v>
      </c>
      <c r="K70" t="s">
        <v>6344</v>
      </c>
      <c r="L70" t="s">
        <v>6345</v>
      </c>
      <c r="M70" s="3" t="str">
        <f>HYPERLINK(СторонТрансп[[#This Row],[RelativePath]])</f>
        <v>1 Ангар Склад 2 въезд\E33149364_6_20251215T110432Z.jpg</v>
      </c>
    </row>
    <row r="71" spans="1:13" x14ac:dyDescent="0.25">
      <c r="A71" t="s">
        <v>14</v>
      </c>
      <c r="B71" s="4">
        <v>46007</v>
      </c>
      <c r="C71" s="6">
        <v>0.49627314814814816</v>
      </c>
      <c r="D71" s="7" t="s">
        <v>64</v>
      </c>
      <c r="E71" t="s">
        <v>4193</v>
      </c>
      <c r="F71" t="s">
        <v>5076</v>
      </c>
      <c r="I71" s="8" t="s">
        <v>6539</v>
      </c>
      <c r="J71" s="8" t="s">
        <v>2981</v>
      </c>
      <c r="K71" t="s">
        <v>6540</v>
      </c>
      <c r="L71" t="s">
        <v>6541</v>
      </c>
      <c r="M71" s="3" t="str">
        <f>HYPERLINK(СторонТрансп[[#This Row],[RelativePath]])</f>
        <v>1 Ангар Склад 2 въезд\E33149364_6_20251216T115438Z.jpg</v>
      </c>
    </row>
    <row r="72" spans="1:13" x14ac:dyDescent="0.25">
      <c r="A72" t="s">
        <v>14</v>
      </c>
      <c r="B72" s="4">
        <v>46007</v>
      </c>
      <c r="C72" s="6">
        <v>0.58416666666666661</v>
      </c>
      <c r="D72" s="7" t="s">
        <v>85</v>
      </c>
      <c r="E72" t="s">
        <v>4193</v>
      </c>
      <c r="F72" t="s">
        <v>5076</v>
      </c>
      <c r="I72" s="8" t="s">
        <v>6542</v>
      </c>
      <c r="J72" s="8" t="s">
        <v>2981</v>
      </c>
      <c r="K72" t="s">
        <v>6543</v>
      </c>
      <c r="L72" t="s">
        <v>6544</v>
      </c>
      <c r="M72" s="3" t="str">
        <f>HYPERLINK(СторонТрансп[[#This Row],[RelativePath]])</f>
        <v>1 Ангар Склад 2 въезд\E33149364_6_20251216T140112Z.jpg</v>
      </c>
    </row>
    <row r="73" spans="1:13" x14ac:dyDescent="0.25">
      <c r="A73" t="s">
        <v>14</v>
      </c>
      <c r="B73" s="4">
        <v>46007</v>
      </c>
      <c r="C73" s="6">
        <v>0.4475810185185185</v>
      </c>
      <c r="D73" s="7" t="s">
        <v>91</v>
      </c>
      <c r="E73" t="s">
        <v>6656</v>
      </c>
      <c r="F73" t="s">
        <v>51</v>
      </c>
      <c r="I73" s="8" t="s">
        <v>6533</v>
      </c>
      <c r="J73" s="8" t="s">
        <v>2981</v>
      </c>
      <c r="K73" t="s">
        <v>6534</v>
      </c>
      <c r="L73" t="s">
        <v>6535</v>
      </c>
      <c r="M73" s="3" t="str">
        <f>HYPERLINK(СторонТрансп[[#This Row],[RelativePath]])</f>
        <v>1 Ангар Склад 2 въезд\E33149364_6_20251216T104431Z.jpg</v>
      </c>
    </row>
    <row r="74" spans="1:13" x14ac:dyDescent="0.25">
      <c r="A74" t="s">
        <v>14</v>
      </c>
      <c r="B74" s="4">
        <v>46007</v>
      </c>
      <c r="C74" s="6">
        <v>0.46203703703703702</v>
      </c>
      <c r="D74" s="7" t="s">
        <v>62</v>
      </c>
      <c r="E74" t="s">
        <v>6656</v>
      </c>
      <c r="F74" t="s">
        <v>6657</v>
      </c>
      <c r="I74" s="8" t="s">
        <v>6536</v>
      </c>
      <c r="J74" s="8" t="s">
        <v>2981</v>
      </c>
      <c r="K74" t="s">
        <v>6537</v>
      </c>
      <c r="L74" t="s">
        <v>6538</v>
      </c>
      <c r="M74" s="3" t="str">
        <f>HYPERLINK(СторонТрансп[[#This Row],[RelativePath]])</f>
        <v>1 Ангар Склад 2 въезд\E33149364_6_20251216T110520Z.jpg</v>
      </c>
    </row>
    <row r="75" spans="1:13" x14ac:dyDescent="0.25">
      <c r="A75" t="s">
        <v>16</v>
      </c>
      <c r="B75" s="4">
        <v>46009</v>
      </c>
      <c r="C75" s="6">
        <v>0.61517361111111113</v>
      </c>
      <c r="D75" s="7" t="s">
        <v>85</v>
      </c>
      <c r="E75" t="s">
        <v>4193</v>
      </c>
      <c r="F75" t="s">
        <v>5076</v>
      </c>
      <c r="I75" s="8" t="s">
        <v>6679</v>
      </c>
      <c r="J75" s="8" t="s">
        <v>2981</v>
      </c>
      <c r="K75" t="s">
        <v>6680</v>
      </c>
      <c r="L75" t="s">
        <v>6681</v>
      </c>
      <c r="M75" s="3" t="str">
        <f>HYPERLINK(СторонТрансп[[#This Row],[RelativePath]])</f>
        <v>1 Ангар Склад 2 въезд\E33149364_6_20251218T144551Z.jpg</v>
      </c>
    </row>
    <row r="76" spans="1:13" x14ac:dyDescent="0.25">
      <c r="A76" t="s">
        <v>16</v>
      </c>
      <c r="B76" s="4">
        <v>46009</v>
      </c>
      <c r="C76" s="6">
        <v>0.51199074074074069</v>
      </c>
      <c r="D76" s="7" t="s">
        <v>64</v>
      </c>
      <c r="E76" t="s">
        <v>4193</v>
      </c>
      <c r="F76" t="s">
        <v>5076</v>
      </c>
      <c r="I76" s="8" t="s">
        <v>6667</v>
      </c>
      <c r="J76" s="8" t="s">
        <v>2981</v>
      </c>
      <c r="K76" t="s">
        <v>6668</v>
      </c>
      <c r="L76" t="s">
        <v>6669</v>
      </c>
      <c r="M76" s="3" t="str">
        <f>HYPERLINK(СторонТрансп[[#This Row],[RelativePath]])</f>
        <v>1 Ангар Склад 2 въезд\E33149364_6_20251218T121716Z.jpg</v>
      </c>
    </row>
    <row r="77" spans="1:13" x14ac:dyDescent="0.25">
      <c r="A77" t="s">
        <v>13</v>
      </c>
      <c r="B77" s="4">
        <v>46013</v>
      </c>
      <c r="C77" s="6">
        <v>0.55439814814814814</v>
      </c>
      <c r="D77" s="7" t="s">
        <v>85</v>
      </c>
      <c r="E77" t="s">
        <v>4193</v>
      </c>
      <c r="F77" t="s">
        <v>5076</v>
      </c>
      <c r="I77" s="8" t="s">
        <v>7245</v>
      </c>
      <c r="J77" s="8" t="s">
        <v>2981</v>
      </c>
      <c r="K77" t="s">
        <v>7246</v>
      </c>
      <c r="L77" t="s">
        <v>7247</v>
      </c>
      <c r="M77" s="3" t="str">
        <f>HYPERLINK(СторонТрансп[[#This Row],[RelativePath]])</f>
        <v>1 Ангар Склад 2 въезд\E33149364_6_20251222T131820Z.jpg</v>
      </c>
    </row>
    <row r="78" spans="1:13" x14ac:dyDescent="0.25">
      <c r="A78" t="s">
        <v>13</v>
      </c>
      <c r="B78" s="4">
        <v>46013</v>
      </c>
      <c r="C78" s="6">
        <v>0.46493055555555557</v>
      </c>
      <c r="D78" s="7" t="s">
        <v>64</v>
      </c>
      <c r="E78" t="s">
        <v>4193</v>
      </c>
      <c r="F78" t="s">
        <v>5076</v>
      </c>
      <c r="I78" s="8" t="s">
        <v>7242</v>
      </c>
      <c r="J78" s="8" t="s">
        <v>2981</v>
      </c>
      <c r="K78" t="s">
        <v>7243</v>
      </c>
      <c r="L78" t="s">
        <v>7244</v>
      </c>
      <c r="M78" s="3" t="str">
        <f>HYPERLINK(СторонТрансп[[#This Row],[RelativePath]])</f>
        <v>1 Ангар Склад 2 въезд\E33149364_6_20251222T110930Z.jpg</v>
      </c>
    </row>
    <row r="79" spans="1:13" x14ac:dyDescent="0.25">
      <c r="A79" t="s">
        <v>14</v>
      </c>
      <c r="B79" s="4">
        <v>46014</v>
      </c>
      <c r="C79" s="6">
        <v>0.81598379629629625</v>
      </c>
      <c r="D79" s="7" t="s">
        <v>62</v>
      </c>
      <c r="E79" t="s">
        <v>7410</v>
      </c>
      <c r="F79" t="s">
        <v>51</v>
      </c>
      <c r="I79" s="8" t="s">
        <v>7251</v>
      </c>
      <c r="J79" s="8" t="s">
        <v>2981</v>
      </c>
      <c r="K79" t="s">
        <v>7252</v>
      </c>
      <c r="L79" t="s">
        <v>7253</v>
      </c>
      <c r="M79" s="3" t="str">
        <f>HYPERLINK(СторонТрансп[[#This Row],[RelativePath]])</f>
        <v>1 Ангар Склад 2 въезд\E33149364_6_20251223T193501Z.jpg</v>
      </c>
    </row>
    <row r="80" spans="1:13" x14ac:dyDescent="0.25">
      <c r="A80" t="s">
        <v>14</v>
      </c>
      <c r="B80" s="4">
        <v>46014</v>
      </c>
      <c r="C80" s="6">
        <v>0.75899305555555552</v>
      </c>
      <c r="D80" s="7" t="s">
        <v>91</v>
      </c>
      <c r="E80" t="s">
        <v>7410</v>
      </c>
      <c r="F80" t="s">
        <v>60</v>
      </c>
      <c r="I80" s="8" t="s">
        <v>7248</v>
      </c>
      <c r="J80" s="8" t="s">
        <v>2981</v>
      </c>
      <c r="K80" t="s">
        <v>7249</v>
      </c>
      <c r="L80" t="s">
        <v>7250</v>
      </c>
      <c r="M80" s="3" t="str">
        <f>HYPERLINK(СторонТрансп[[#This Row],[RelativePath]])</f>
        <v>1 Ангар Склад 2 въезд\E33149364_6_20251223T181257Z.jpg</v>
      </c>
    </row>
    <row r="81" spans="1:13" x14ac:dyDescent="0.25">
      <c r="A81" t="s">
        <v>15</v>
      </c>
      <c r="B81" s="4">
        <v>46015</v>
      </c>
      <c r="C81" s="6">
        <v>0.88572916666666668</v>
      </c>
      <c r="D81" s="7" t="s">
        <v>91</v>
      </c>
      <c r="E81" t="s">
        <v>7706</v>
      </c>
      <c r="F81" t="s">
        <v>60</v>
      </c>
      <c r="I81" s="8" t="s">
        <v>7421</v>
      </c>
      <c r="J81" s="8" t="s">
        <v>2981</v>
      </c>
      <c r="K81" t="s">
        <v>7422</v>
      </c>
      <c r="L81" t="s">
        <v>7423</v>
      </c>
      <c r="M81" s="3" t="str">
        <f>HYPERLINK(СторонТрансп[[#This Row],[RelativePath]])</f>
        <v>1 Ангар Склад 2 въезд\E33149364_6_20251224T211527Z.jpg</v>
      </c>
    </row>
    <row r="82" spans="1:13" x14ac:dyDescent="0.25">
      <c r="A82" t="s">
        <v>16</v>
      </c>
      <c r="B82" s="4">
        <v>46016</v>
      </c>
      <c r="C82" s="6">
        <v>0.62315972222222227</v>
      </c>
      <c r="D82" s="7" t="s">
        <v>62</v>
      </c>
      <c r="E82" t="s">
        <v>4193</v>
      </c>
      <c r="F82" t="s">
        <v>4240</v>
      </c>
      <c r="I82" s="8" t="s">
        <v>7436</v>
      </c>
      <c r="J82" s="8" t="s">
        <v>2981</v>
      </c>
      <c r="K82" t="s">
        <v>7437</v>
      </c>
      <c r="L82" t="s">
        <v>7438</v>
      </c>
      <c r="M82" s="3" t="str">
        <f>HYPERLINK(СторонТрансп[[#This Row],[RelativePath]])</f>
        <v>1 Ангар Склад 2 въезд\E33149364_6_20251225T145721Z.jpg</v>
      </c>
    </row>
    <row r="83" spans="1:13" x14ac:dyDescent="0.25">
      <c r="A83" t="s">
        <v>16</v>
      </c>
      <c r="B83" s="4">
        <v>46016</v>
      </c>
      <c r="C83" s="6">
        <v>0.51089120370370367</v>
      </c>
      <c r="D83" s="7" t="s">
        <v>91</v>
      </c>
      <c r="E83" t="s">
        <v>4193</v>
      </c>
      <c r="F83" t="s">
        <v>51</v>
      </c>
      <c r="I83" s="8" t="s">
        <v>7430</v>
      </c>
      <c r="J83" s="8" t="s">
        <v>2981</v>
      </c>
      <c r="K83" t="s">
        <v>7431</v>
      </c>
      <c r="L83" t="s">
        <v>7432</v>
      </c>
      <c r="M83" s="3" t="str">
        <f>HYPERLINK(СторонТрансп[[#This Row],[RelativePath]])</f>
        <v>1 Ангар Склад 2 въезд\E33149364_6_20251225T121541Z.jpg</v>
      </c>
    </row>
    <row r="84" spans="1:13" x14ac:dyDescent="0.25">
      <c r="A84" t="s">
        <v>16</v>
      </c>
      <c r="B84" s="4">
        <v>46016</v>
      </c>
      <c r="C84" s="6">
        <v>0.49247685185185186</v>
      </c>
      <c r="D84" s="7" t="s">
        <v>62</v>
      </c>
      <c r="E84" t="s">
        <v>7706</v>
      </c>
      <c r="F84" t="s">
        <v>51</v>
      </c>
      <c r="I84" s="8" t="s">
        <v>7424</v>
      </c>
      <c r="J84" s="8" t="s">
        <v>2981</v>
      </c>
      <c r="K84" t="s">
        <v>7425</v>
      </c>
      <c r="L84" t="s">
        <v>7426</v>
      </c>
      <c r="M84" s="3" t="str">
        <f>HYPERLINK(СторонТрансп[[#This Row],[RelativePath]])</f>
        <v>1 Ангар Склад 2 въезд\E33149364_6_20251225T114910Z.jpg</v>
      </c>
    </row>
    <row r="85" spans="1:13" x14ac:dyDescent="0.25">
      <c r="A85" t="s">
        <v>17</v>
      </c>
      <c r="B85" s="4">
        <v>46017</v>
      </c>
      <c r="C85" s="6">
        <v>0.49219907407407409</v>
      </c>
      <c r="D85" s="7" t="s">
        <v>62</v>
      </c>
      <c r="E85" t="s">
        <v>4193</v>
      </c>
      <c r="F85" t="s">
        <v>5076</v>
      </c>
      <c r="I85" s="8" t="s">
        <v>7726</v>
      </c>
      <c r="J85" s="8" t="s">
        <v>2981</v>
      </c>
      <c r="K85" t="s">
        <v>7727</v>
      </c>
      <c r="L85" t="s">
        <v>7728</v>
      </c>
      <c r="M85" s="3" t="str">
        <f>HYPERLINK(СторонТрансп[[#This Row],[RelativePath]])</f>
        <v>1 Ангар Склад 2 въезд\E33149364_6_20251226T114846Z.jpg</v>
      </c>
    </row>
    <row r="86" spans="1:13" x14ac:dyDescent="0.25">
      <c r="A86" t="s">
        <v>17</v>
      </c>
      <c r="B86" s="4">
        <v>46017</v>
      </c>
      <c r="C86" s="6">
        <v>0.41902777777777778</v>
      </c>
      <c r="D86" s="7" t="s">
        <v>91</v>
      </c>
      <c r="E86" t="s">
        <v>4193</v>
      </c>
      <c r="F86" t="s">
        <v>5076</v>
      </c>
      <c r="I86" s="8" t="s">
        <v>7723</v>
      </c>
      <c r="J86" s="8" t="s">
        <v>2981</v>
      </c>
      <c r="K86" t="s">
        <v>7724</v>
      </c>
      <c r="L86" t="s">
        <v>7725</v>
      </c>
      <c r="M86" s="3" t="str">
        <f>HYPERLINK(СторонТрансп[[#This Row],[RelativePath]])</f>
        <v>1 Ангар Склад 2 въезд\E33149364_6_20251226T100324Z.jpg</v>
      </c>
    </row>
    <row r="87" spans="1:13" x14ac:dyDescent="0.25">
      <c r="A87" t="s">
        <v>18</v>
      </c>
      <c r="B87" s="4">
        <v>46018</v>
      </c>
      <c r="C87" s="6">
        <v>0.59091435185185182</v>
      </c>
      <c r="D87" s="7" t="s">
        <v>91</v>
      </c>
      <c r="E87" t="s">
        <v>6329</v>
      </c>
      <c r="F87" t="s">
        <v>5076</v>
      </c>
      <c r="I87" s="8" t="s">
        <v>7896</v>
      </c>
      <c r="J87" s="8" t="s">
        <v>2981</v>
      </c>
      <c r="K87" t="s">
        <v>7897</v>
      </c>
      <c r="L87" t="s">
        <v>7898</v>
      </c>
      <c r="M87" s="3" t="str">
        <f>HYPERLINK(СторонТрансп[[#This Row],[RelativePath]])</f>
        <v>1 Ангар Склад 2 въезд\E33149364_6_20251227T141055Z.jpg</v>
      </c>
    </row>
    <row r="88" spans="1:13" x14ac:dyDescent="0.25">
      <c r="A88" t="s">
        <v>18</v>
      </c>
      <c r="B88" s="4">
        <v>46018</v>
      </c>
      <c r="C88" s="6">
        <v>0.61064814814814816</v>
      </c>
      <c r="D88" s="7" t="s">
        <v>62</v>
      </c>
      <c r="E88" t="s">
        <v>6329</v>
      </c>
      <c r="F88" t="s">
        <v>5076</v>
      </c>
      <c r="I88" s="8" t="s">
        <v>7899</v>
      </c>
      <c r="J88" s="8" t="s">
        <v>2981</v>
      </c>
      <c r="K88" t="s">
        <v>7900</v>
      </c>
      <c r="L88" t="s">
        <v>7901</v>
      </c>
      <c r="M88" s="3" t="str">
        <f>HYPERLINK(СторонТрансп[[#This Row],[RelativePath]])</f>
        <v>1 Ангар Склад 2 въезд\E33149364_6_20251227T143920Z.jpg</v>
      </c>
    </row>
    <row r="89" spans="1:13" x14ac:dyDescent="0.25">
      <c r="A89" t="s">
        <v>18</v>
      </c>
      <c r="B89" s="4">
        <v>46018</v>
      </c>
      <c r="C89" s="6">
        <v>0.43266203703703704</v>
      </c>
      <c r="D89" s="7" t="s">
        <v>64</v>
      </c>
      <c r="E89" t="s">
        <v>4193</v>
      </c>
      <c r="F89" t="s">
        <v>5076</v>
      </c>
      <c r="I89" s="8" t="s">
        <v>7890</v>
      </c>
      <c r="J89" s="8" t="s">
        <v>2981</v>
      </c>
      <c r="K89" t="s">
        <v>7891</v>
      </c>
      <c r="L89" t="s">
        <v>7892</v>
      </c>
      <c r="M89" s="3" t="str">
        <f>HYPERLINK(СторонТрансп[[#This Row],[RelativePath]])</f>
        <v>1 Ангар Склад 2 въезд\E33149364_6_20251227T102302Z.jpg</v>
      </c>
    </row>
    <row r="90" spans="1:13" x14ac:dyDescent="0.25">
      <c r="A90" t="s">
        <v>18</v>
      </c>
      <c r="B90" s="4">
        <v>46018</v>
      </c>
      <c r="C90" s="6">
        <v>0.58099537037037041</v>
      </c>
      <c r="D90" s="7" t="s">
        <v>85</v>
      </c>
      <c r="E90" t="s">
        <v>4193</v>
      </c>
      <c r="F90" t="s">
        <v>5076</v>
      </c>
      <c r="I90" s="8" t="s">
        <v>7893</v>
      </c>
      <c r="J90" s="8" t="s">
        <v>2981</v>
      </c>
      <c r="K90" t="s">
        <v>7894</v>
      </c>
      <c r="L90" t="s">
        <v>7895</v>
      </c>
      <c r="M90" s="3" t="str">
        <f>HYPERLINK(СторонТрансп[[#This Row],[RelativePath]])</f>
        <v>1 Ангар Склад 2 въезд\E33149364_6_20251227T135638Z.jpg</v>
      </c>
    </row>
    <row r="91" spans="1:13" x14ac:dyDescent="0.25">
      <c r="A91" t="s">
        <v>22</v>
      </c>
      <c r="B91" s="4">
        <v>46019</v>
      </c>
      <c r="C91" s="6">
        <v>0.64039351851851856</v>
      </c>
      <c r="D91" s="7" t="s">
        <v>85</v>
      </c>
      <c r="E91" t="s">
        <v>4193</v>
      </c>
      <c r="F91" t="s">
        <v>5076</v>
      </c>
      <c r="I91" s="8" t="s">
        <v>7917</v>
      </c>
      <c r="J91" s="8" t="s">
        <v>2981</v>
      </c>
      <c r="K91" t="s">
        <v>7918</v>
      </c>
      <c r="L91" t="s">
        <v>7919</v>
      </c>
      <c r="M91" s="3" t="str">
        <f>HYPERLINK(СторонТрансп[[#This Row],[RelativePath]])</f>
        <v>1 Ангар Склад 2 въезд\E33149364_6_20251228T152210Z.jpg</v>
      </c>
    </row>
    <row r="92" spans="1:13" x14ac:dyDescent="0.25">
      <c r="A92" t="s">
        <v>22</v>
      </c>
      <c r="B92" s="4">
        <v>46019</v>
      </c>
      <c r="C92" s="6">
        <v>0.66840277777777779</v>
      </c>
      <c r="D92" s="7" t="s">
        <v>91</v>
      </c>
      <c r="E92" t="s">
        <v>8041</v>
      </c>
      <c r="I92" s="8" t="s">
        <v>7920</v>
      </c>
      <c r="J92" s="8" t="s">
        <v>2981</v>
      </c>
      <c r="K92" t="s">
        <v>7921</v>
      </c>
      <c r="L92" t="s">
        <v>7922</v>
      </c>
      <c r="M92" s="3" t="str">
        <f>HYPERLINK(СторонТрансп[[#This Row],[RelativePath]])</f>
        <v>1 Ангар Склад 2 въезд\E33149364_6_20251228T160230Z.jpg</v>
      </c>
    </row>
    <row r="93" spans="1:13" x14ac:dyDescent="0.25">
      <c r="A93" t="s">
        <v>22</v>
      </c>
      <c r="B93" s="4">
        <v>46019</v>
      </c>
      <c r="C93" s="6">
        <v>0.66979166666666667</v>
      </c>
      <c r="D93" s="7" t="s">
        <v>62</v>
      </c>
      <c r="E93" t="s">
        <v>8041</v>
      </c>
      <c r="I93" s="8" t="s">
        <v>7923</v>
      </c>
      <c r="J93" s="8" t="s">
        <v>2981</v>
      </c>
      <c r="K93" t="s">
        <v>7924</v>
      </c>
      <c r="L93" t="s">
        <v>7925</v>
      </c>
      <c r="M93" s="3" t="str">
        <f>HYPERLINK(СторонТрансп[[#This Row],[RelativePath]])</f>
        <v>1 Ангар Склад 2 въезд\E33149364_6_20251228T160430Z.jpg</v>
      </c>
    </row>
    <row r="94" spans="1:13" x14ac:dyDescent="0.25">
      <c r="A94" t="s">
        <v>22</v>
      </c>
      <c r="B94" s="4">
        <v>46019</v>
      </c>
      <c r="C94" s="6">
        <v>0.50267361111111108</v>
      </c>
      <c r="D94" s="7" t="s">
        <v>91</v>
      </c>
      <c r="E94" t="s">
        <v>4193</v>
      </c>
      <c r="F94" t="s">
        <v>5076</v>
      </c>
      <c r="I94" s="8" t="s">
        <v>7902</v>
      </c>
      <c r="J94" s="8" t="s">
        <v>2981</v>
      </c>
      <c r="K94" t="s">
        <v>7903</v>
      </c>
      <c r="L94" t="s">
        <v>7904</v>
      </c>
      <c r="M94" s="3" t="str">
        <f>HYPERLINK(СторонТрансп[[#This Row],[RelativePath]])</f>
        <v>1 Ангар Склад 2 въезд\E33149364_6_20251228T120351Z.jpg</v>
      </c>
    </row>
    <row r="95" spans="1:13" x14ac:dyDescent="0.25">
      <c r="A95" t="s">
        <v>22</v>
      </c>
      <c r="B95" s="4">
        <v>46019</v>
      </c>
      <c r="C95" s="6">
        <v>0.50665509259259256</v>
      </c>
      <c r="D95" s="7" t="s">
        <v>62</v>
      </c>
      <c r="E95" t="s">
        <v>4193</v>
      </c>
      <c r="F95" t="s">
        <v>5076</v>
      </c>
      <c r="I95" s="8" t="s">
        <v>7905</v>
      </c>
      <c r="J95" s="8" t="s">
        <v>2981</v>
      </c>
      <c r="K95" t="s">
        <v>7906</v>
      </c>
      <c r="L95" t="s">
        <v>7907</v>
      </c>
      <c r="M95" s="3" t="str">
        <f>HYPERLINK(СторонТрансп[[#This Row],[RelativePath]])</f>
        <v>1 Ангар Склад 2 въезд\E33149364_6_20251228T120935Z.jpg</v>
      </c>
    </row>
    <row r="96" spans="1:13" x14ac:dyDescent="0.25">
      <c r="A96" t="s">
        <v>22</v>
      </c>
      <c r="B96" s="4">
        <v>46019</v>
      </c>
      <c r="C96" s="6">
        <v>0.50702546296296291</v>
      </c>
      <c r="D96" s="7" t="s">
        <v>64</v>
      </c>
      <c r="E96" t="s">
        <v>4193</v>
      </c>
      <c r="F96" t="s">
        <v>5076</v>
      </c>
      <c r="I96" s="8" t="s">
        <v>7911</v>
      </c>
      <c r="J96" s="8" t="s">
        <v>2981</v>
      </c>
      <c r="K96" t="s">
        <v>7912</v>
      </c>
      <c r="L96" t="s">
        <v>7913</v>
      </c>
      <c r="M96" s="3" t="str">
        <f>HYPERLINK(СторонТрансп[[#This Row],[RelativePath]])</f>
        <v>1 Ангар Склад 2 въезд\E33149364_6_20251228T121007Z.jpg</v>
      </c>
    </row>
    <row r="97" spans="1:13" x14ac:dyDescent="0.25">
      <c r="A97" t="s">
        <v>18</v>
      </c>
      <c r="B97" s="4">
        <v>46025</v>
      </c>
      <c r="C97" s="6">
        <v>0.68744212962962958</v>
      </c>
      <c r="D97" s="7" t="s">
        <v>62</v>
      </c>
      <c r="E97" t="s">
        <v>8483</v>
      </c>
      <c r="I97" s="8" t="s">
        <v>8378</v>
      </c>
      <c r="J97" s="8" t="s">
        <v>2981</v>
      </c>
      <c r="K97" t="s">
        <v>8379</v>
      </c>
      <c r="L97" t="s">
        <v>8380</v>
      </c>
      <c r="M97" s="3" t="str">
        <f>HYPERLINK(СторонТрансп[[#This Row],[RelativePath]])</f>
        <v>1 Ангар Склад 2 въезд\E33149364_6_20260103T162955Z.jpg</v>
      </c>
    </row>
    <row r="98" spans="1:13" x14ac:dyDescent="0.25">
      <c r="A98" t="s">
        <v>18</v>
      </c>
      <c r="B98" s="4">
        <v>46025</v>
      </c>
      <c r="C98" s="6">
        <v>0.6738425925925926</v>
      </c>
      <c r="D98" s="7" t="s">
        <v>91</v>
      </c>
      <c r="E98" t="s">
        <v>8483</v>
      </c>
      <c r="I98" s="8" t="s">
        <v>8375</v>
      </c>
      <c r="J98" s="8" t="s">
        <v>2981</v>
      </c>
      <c r="K98" t="s">
        <v>8376</v>
      </c>
      <c r="L98" t="s">
        <v>8377</v>
      </c>
      <c r="M98" s="3" t="str">
        <f>HYPERLINK(СторонТрансп[[#This Row],[RelativePath]])</f>
        <v>1 Ангар Склад 2 въезд\E33149364_6_20260103T161020Z.jpg</v>
      </c>
    </row>
    <row r="99" spans="1:13" x14ac:dyDescent="0.25">
      <c r="A99" t="s">
        <v>14</v>
      </c>
      <c r="B99" s="4">
        <v>46028</v>
      </c>
      <c r="C99" s="6">
        <v>0.5905555555555555</v>
      </c>
      <c r="D99" s="7" t="s">
        <v>62</v>
      </c>
      <c r="E99" t="s">
        <v>8799</v>
      </c>
      <c r="I99" s="8" t="s">
        <v>8511</v>
      </c>
      <c r="J99" s="8" t="s">
        <v>2981</v>
      </c>
      <c r="K99" t="s">
        <v>8512</v>
      </c>
      <c r="L99" t="s">
        <v>8513</v>
      </c>
      <c r="M99" s="3" t="str">
        <f>HYPERLINK(СторонТрансп[[#This Row],[RelativePath]])</f>
        <v>1 Ангар Склад 2 въезд\E33149364_6_20260106T141024Z.jpg</v>
      </c>
    </row>
    <row r="100" spans="1:13" x14ac:dyDescent="0.25">
      <c r="A100" t="s">
        <v>14</v>
      </c>
      <c r="B100" s="4">
        <v>46028</v>
      </c>
      <c r="C100" s="6">
        <v>0.58434027777777775</v>
      </c>
      <c r="D100" s="7" t="s">
        <v>91</v>
      </c>
      <c r="E100" t="s">
        <v>8799</v>
      </c>
      <c r="I100" s="8" t="s">
        <v>8508</v>
      </c>
      <c r="J100" s="8" t="s">
        <v>2981</v>
      </c>
      <c r="K100" t="s">
        <v>8509</v>
      </c>
      <c r="L100" t="s">
        <v>8510</v>
      </c>
      <c r="M100" s="3" t="str">
        <f>HYPERLINK(СторонТрансп[[#This Row],[RelativePath]])</f>
        <v>1 Ангар Склад 2 въезд\E33149364_6_20260106T140127Z.jpg</v>
      </c>
    </row>
    <row r="101" spans="1:13" x14ac:dyDescent="0.25">
      <c r="A101" t="s">
        <v>16</v>
      </c>
      <c r="B101" s="4">
        <v>46030</v>
      </c>
      <c r="C101" s="6">
        <v>0.74912037037037038</v>
      </c>
      <c r="D101" s="7" t="s">
        <v>62</v>
      </c>
      <c r="E101" t="s">
        <v>8352</v>
      </c>
      <c r="I101" s="8" t="s">
        <v>8520</v>
      </c>
      <c r="J101" s="8" t="s">
        <v>2981</v>
      </c>
      <c r="K101" t="s">
        <v>8521</v>
      </c>
      <c r="L101" t="s">
        <v>8522</v>
      </c>
      <c r="M101" s="3" t="str">
        <f>HYPERLINK(СторонТрансп[[#This Row],[RelativePath]])</f>
        <v>1 Ангар Склад 2 въезд\E33149364_6_20260108T175844Z.jpg</v>
      </c>
    </row>
    <row r="102" spans="1:13" x14ac:dyDescent="0.25">
      <c r="A102" t="s">
        <v>16</v>
      </c>
      <c r="B102" s="4">
        <v>46030</v>
      </c>
      <c r="C102" s="6">
        <v>0.74810185185185185</v>
      </c>
      <c r="D102" s="7" t="s">
        <v>91</v>
      </c>
      <c r="E102" t="s">
        <v>8352</v>
      </c>
      <c r="I102" s="8" t="s">
        <v>8517</v>
      </c>
      <c r="J102" s="8" t="s">
        <v>2981</v>
      </c>
      <c r="K102" t="s">
        <v>8518</v>
      </c>
      <c r="L102" t="s">
        <v>8519</v>
      </c>
      <c r="M102" s="3" t="str">
        <f>HYPERLINK(СторонТрансп[[#This Row],[RelativePath]])</f>
        <v>1 Ангар Склад 2 въезд\E33149364_6_20260108T175716Z.jpg</v>
      </c>
    </row>
    <row r="103" spans="1:13" x14ac:dyDescent="0.25">
      <c r="A103" t="s">
        <v>17</v>
      </c>
      <c r="B103" s="4">
        <v>46031</v>
      </c>
      <c r="C103" s="6">
        <v>0.67459490740740746</v>
      </c>
      <c r="D103" s="7" t="s">
        <v>62</v>
      </c>
      <c r="E103" t="s">
        <v>8800</v>
      </c>
      <c r="I103" s="8" t="s">
        <v>8526</v>
      </c>
      <c r="J103" s="8" t="s">
        <v>2981</v>
      </c>
      <c r="K103" t="s">
        <v>8527</v>
      </c>
      <c r="L103" t="s">
        <v>8528</v>
      </c>
      <c r="M103" s="3" t="str">
        <f>HYPERLINK(СторонТрансп[[#This Row],[RelativePath]])</f>
        <v>1 Ангар Склад 2 въезд\E33149364_6_20260109T161125Z.jpg</v>
      </c>
    </row>
    <row r="104" spans="1:13" x14ac:dyDescent="0.25">
      <c r="A104" t="s">
        <v>17</v>
      </c>
      <c r="B104" s="4">
        <v>46031</v>
      </c>
      <c r="C104" s="6">
        <v>0.66922453703703699</v>
      </c>
      <c r="D104" s="7" t="s">
        <v>91</v>
      </c>
      <c r="E104" t="s">
        <v>8800</v>
      </c>
      <c r="I104" s="8" t="s">
        <v>8523</v>
      </c>
      <c r="J104" s="8" t="s">
        <v>2981</v>
      </c>
      <c r="K104" t="s">
        <v>8524</v>
      </c>
      <c r="L104" t="s">
        <v>8525</v>
      </c>
      <c r="M104" s="3" t="str">
        <f>HYPERLINK(СторонТрансп[[#This Row],[RelativePath]])</f>
        <v>1 Ангар Склад 2 въезд\E33149364_6_20260109T160341Z.jpg</v>
      </c>
    </row>
    <row r="105" spans="1:13" x14ac:dyDescent="0.25">
      <c r="A105" t="s">
        <v>18</v>
      </c>
      <c r="B105" s="4">
        <v>46032</v>
      </c>
      <c r="C105" s="6">
        <v>0.54745370370370372</v>
      </c>
      <c r="D105" s="7" t="s">
        <v>91</v>
      </c>
      <c r="E105" t="s">
        <v>8802</v>
      </c>
      <c r="I105" s="8" t="s">
        <v>8538</v>
      </c>
      <c r="J105" s="8" t="s">
        <v>2981</v>
      </c>
      <c r="K105" t="s">
        <v>8539</v>
      </c>
      <c r="L105" t="s">
        <v>8540</v>
      </c>
      <c r="M105" s="3" t="str">
        <f>HYPERLINK(СторонТрансп[[#This Row],[RelativePath]])</f>
        <v>1 Ангар Склад 2 въезд\E33149364_6_20260110T130820Z.jpg</v>
      </c>
    </row>
    <row r="106" spans="1:13" x14ac:dyDescent="0.25">
      <c r="A106" t="s">
        <v>18</v>
      </c>
      <c r="B106" s="4">
        <v>46032</v>
      </c>
      <c r="C106" s="6">
        <v>0.69012731481481482</v>
      </c>
      <c r="D106" s="7" t="s">
        <v>62</v>
      </c>
      <c r="E106" t="s">
        <v>8802</v>
      </c>
      <c r="I106" s="8" t="s">
        <v>8541</v>
      </c>
      <c r="J106" s="8" t="s">
        <v>2981</v>
      </c>
      <c r="K106" t="s">
        <v>8542</v>
      </c>
      <c r="L106" t="s">
        <v>8543</v>
      </c>
      <c r="M106" s="3" t="str">
        <f>HYPERLINK(СторонТрансп[[#This Row],[RelativePath]])</f>
        <v>1 Ангар Склад 2 въезд\E33149364_6_20260110T163347Z.jpg</v>
      </c>
    </row>
    <row r="107" spans="1:13" x14ac:dyDescent="0.25">
      <c r="A107" t="s">
        <v>18</v>
      </c>
      <c r="B107" s="4">
        <v>46032</v>
      </c>
      <c r="C107" s="6">
        <v>0.71297453703703706</v>
      </c>
      <c r="D107" s="7" t="s">
        <v>62</v>
      </c>
      <c r="E107" t="s">
        <v>8801</v>
      </c>
      <c r="I107" s="8" t="s">
        <v>8544</v>
      </c>
      <c r="J107" s="8" t="s">
        <v>2981</v>
      </c>
      <c r="K107" t="s">
        <v>8545</v>
      </c>
      <c r="L107" t="s">
        <v>8546</v>
      </c>
      <c r="M107" s="3" t="str">
        <f>HYPERLINK(СторонТрансп[[#This Row],[RelativePath]])</f>
        <v>1 Ангар Склад 2 въезд\E33149364_6_20260110T170641Z.jpg</v>
      </c>
    </row>
    <row r="108" spans="1:13" x14ac:dyDescent="0.25">
      <c r="A108" t="s">
        <v>18</v>
      </c>
      <c r="B108" s="4">
        <v>46032</v>
      </c>
      <c r="C108" s="6">
        <v>0.52962962962962967</v>
      </c>
      <c r="D108" s="7" t="s">
        <v>91</v>
      </c>
      <c r="E108" t="s">
        <v>8801</v>
      </c>
      <c r="I108" s="8" t="s">
        <v>8529</v>
      </c>
      <c r="J108" s="8" t="s">
        <v>2981</v>
      </c>
      <c r="K108" t="s">
        <v>8530</v>
      </c>
      <c r="L108" t="s">
        <v>8531</v>
      </c>
      <c r="M108" s="3" t="str">
        <f>HYPERLINK(СторонТрансп[[#This Row],[RelativePath]])</f>
        <v>1 Ангар Склад 2 въезд\E33149364_6_20260110T124240Z.jpg</v>
      </c>
    </row>
    <row r="109" spans="1:13" x14ac:dyDescent="0.25">
      <c r="A109" t="s">
        <v>18</v>
      </c>
      <c r="B109" s="4">
        <v>46032</v>
      </c>
      <c r="C109" s="6">
        <v>0.54556712962962961</v>
      </c>
      <c r="D109" s="7" t="s">
        <v>62</v>
      </c>
      <c r="E109" t="s">
        <v>8801</v>
      </c>
      <c r="I109" s="8" t="s">
        <v>8532</v>
      </c>
      <c r="J109" s="8" t="s">
        <v>2981</v>
      </c>
      <c r="K109" t="s">
        <v>8533</v>
      </c>
      <c r="L109" t="s">
        <v>8534</v>
      </c>
      <c r="M109" s="3" t="str">
        <f>HYPERLINK(СторонТрансп[[#This Row],[RelativePath]])</f>
        <v>1 Ангар Склад 2 въезд\E33149364_6_20260110T130537Z.jpg</v>
      </c>
    </row>
    <row r="110" spans="1:13" x14ac:dyDescent="0.25">
      <c r="A110" t="s">
        <v>18</v>
      </c>
      <c r="B110" s="4">
        <v>46032</v>
      </c>
      <c r="C110" s="6">
        <v>0.54728009259259258</v>
      </c>
      <c r="D110" s="7" t="s">
        <v>91</v>
      </c>
      <c r="E110" t="s">
        <v>8801</v>
      </c>
      <c r="I110" s="8" t="s">
        <v>8535</v>
      </c>
      <c r="J110" s="8" t="s">
        <v>2981</v>
      </c>
      <c r="K110" t="s">
        <v>8536</v>
      </c>
      <c r="L110" t="s">
        <v>8537</v>
      </c>
      <c r="M110" s="3" t="str">
        <f>HYPERLINK(СторонТрансп[[#This Row],[RelativePath]])</f>
        <v>1 Ангар Склад 2 въезд\E33149364_6_20260110T130805Z.jpg</v>
      </c>
    </row>
    <row r="111" spans="1:13" x14ac:dyDescent="0.25">
      <c r="A111" t="s">
        <v>22</v>
      </c>
      <c r="B111" s="4">
        <v>46033</v>
      </c>
      <c r="C111" s="6">
        <v>0.78712962962962962</v>
      </c>
      <c r="D111" s="7" t="s">
        <v>62</v>
      </c>
      <c r="E111" t="s">
        <v>8800</v>
      </c>
      <c r="I111" s="8" t="s">
        <v>8553</v>
      </c>
      <c r="J111" s="8" t="s">
        <v>2981</v>
      </c>
      <c r="K111" t="s">
        <v>8554</v>
      </c>
      <c r="L111" t="s">
        <v>8555</v>
      </c>
      <c r="M111" s="3" t="str">
        <f>HYPERLINK(СторонТрансп[[#This Row],[RelativePath]])</f>
        <v>1 Ангар Склад 2 въезд\E33149364_6_20260111T185328Z.jpg</v>
      </c>
    </row>
    <row r="112" spans="1:13" x14ac:dyDescent="0.25">
      <c r="A112" t="s">
        <v>22</v>
      </c>
      <c r="B112" s="4">
        <v>46033</v>
      </c>
      <c r="C112" s="6">
        <v>0.78604166666666664</v>
      </c>
      <c r="D112" s="7" t="s">
        <v>91</v>
      </c>
      <c r="E112" t="s">
        <v>8800</v>
      </c>
      <c r="I112" s="8" t="s">
        <v>8550</v>
      </c>
      <c r="J112" s="8" t="s">
        <v>2981</v>
      </c>
      <c r="K112" t="s">
        <v>8551</v>
      </c>
      <c r="L112" t="s">
        <v>8552</v>
      </c>
      <c r="M112" s="3" t="str">
        <f>HYPERLINK(СторонТрансп[[#This Row],[RelativePath]])</f>
        <v>1 Ангар Склад 2 въезд\E33149364_6_20260111T185154Z.jpg</v>
      </c>
    </row>
    <row r="113" spans="1:13" x14ac:dyDescent="0.25">
      <c r="A113" t="s">
        <v>14</v>
      </c>
      <c r="B113" s="4">
        <v>46035</v>
      </c>
      <c r="C113" s="6">
        <v>0.41261574074074076</v>
      </c>
      <c r="D113" s="7" t="s">
        <v>62</v>
      </c>
      <c r="E113" t="s">
        <v>9187</v>
      </c>
      <c r="F113" t="s">
        <v>9188</v>
      </c>
      <c r="I113" s="8" t="s">
        <v>8858</v>
      </c>
      <c r="J113" s="8" t="s">
        <v>2981</v>
      </c>
      <c r="K113" t="s">
        <v>8859</v>
      </c>
      <c r="L113" t="s">
        <v>8860</v>
      </c>
      <c r="M113" s="3" t="str">
        <f>HYPERLINK(СторонТрансп[[#This Row],[RelativePath]])</f>
        <v>1 Ангар Склад 2 въезд\E33149364_6_20260113T095410Z.jpg</v>
      </c>
    </row>
    <row r="114" spans="1:13" x14ac:dyDescent="0.25">
      <c r="A114" t="s">
        <v>14</v>
      </c>
      <c r="B114" s="4">
        <v>46035</v>
      </c>
      <c r="C114" s="6">
        <v>0.41101851851851851</v>
      </c>
      <c r="D114" s="7" t="s">
        <v>91</v>
      </c>
      <c r="E114" t="s">
        <v>9187</v>
      </c>
      <c r="F114" t="s">
        <v>51</v>
      </c>
      <c r="I114" s="8" t="s">
        <v>8855</v>
      </c>
      <c r="J114" s="8" t="s">
        <v>2981</v>
      </c>
      <c r="K114" t="s">
        <v>8856</v>
      </c>
      <c r="L114" t="s">
        <v>8857</v>
      </c>
      <c r="M114" s="3" t="str">
        <f>HYPERLINK(СторонТрансп[[#This Row],[RelativePath]])</f>
        <v>1 Ангар Склад 2 въезд\E33149364_6_20260113T095152Z.jpg</v>
      </c>
    </row>
    <row r="115" spans="1:13" x14ac:dyDescent="0.25">
      <c r="A115" t="s">
        <v>15</v>
      </c>
      <c r="B115" s="4">
        <v>46036</v>
      </c>
      <c r="C115" s="6">
        <v>0.70822916666666669</v>
      </c>
      <c r="D115" s="7" t="s">
        <v>62</v>
      </c>
      <c r="E115" t="s">
        <v>4193</v>
      </c>
      <c r="F115" t="s">
        <v>5076</v>
      </c>
      <c r="I115" s="8" t="s">
        <v>9246</v>
      </c>
      <c r="J115" s="8" t="s">
        <v>2981</v>
      </c>
      <c r="K115" t="s">
        <v>9247</v>
      </c>
      <c r="L115" t="s">
        <v>9248</v>
      </c>
      <c r="M115" s="3" t="str">
        <f>HYPERLINK(СторонТрансп[[#This Row],[RelativePath]])</f>
        <v>1 Ангар Склад 2 въезд\E33149364_6_20260114T165951Z.jpg</v>
      </c>
    </row>
    <row r="116" spans="1:13" x14ac:dyDescent="0.25">
      <c r="A116" t="s">
        <v>15</v>
      </c>
      <c r="B116" s="4">
        <v>46036</v>
      </c>
      <c r="C116" s="6">
        <v>0.4987152777777778</v>
      </c>
      <c r="D116" s="7" t="s">
        <v>91</v>
      </c>
      <c r="E116" t="s">
        <v>4193</v>
      </c>
      <c r="F116" t="s">
        <v>5076</v>
      </c>
      <c r="I116" s="8" t="s">
        <v>9243</v>
      </c>
      <c r="J116" s="8" t="s">
        <v>2981</v>
      </c>
      <c r="K116" t="s">
        <v>9244</v>
      </c>
      <c r="L116" t="s">
        <v>9245</v>
      </c>
      <c r="M116" s="3" t="str">
        <f>HYPERLINK(СторонТрансп[[#This Row],[RelativePath]])</f>
        <v>1 Ангар Склад 2 въезд\E33149364_6_20260114T115809Z.jpg</v>
      </c>
    </row>
    <row r="117" spans="1:13" x14ac:dyDescent="0.25">
      <c r="A117" t="s">
        <v>17</v>
      </c>
      <c r="B117" s="4">
        <v>46038</v>
      </c>
      <c r="C117" s="6">
        <v>0.41836805555555556</v>
      </c>
      <c r="D117" s="7" t="s">
        <v>62</v>
      </c>
      <c r="E117" t="s">
        <v>8352</v>
      </c>
      <c r="F117" t="s">
        <v>2944</v>
      </c>
      <c r="H117" t="s">
        <v>9336</v>
      </c>
      <c r="I117" s="8" t="s">
        <v>9252</v>
      </c>
      <c r="J117" s="8" t="s">
        <v>2981</v>
      </c>
      <c r="K117" t="s">
        <v>9253</v>
      </c>
      <c r="L117" t="s">
        <v>9254</v>
      </c>
      <c r="M117" s="3" t="str">
        <f>HYPERLINK(СторонТрансп[[#This Row],[RelativePath]])</f>
        <v>1 Ангар Склад 2 въезд\E33149364_6_20260116T100227Z.jpg</v>
      </c>
    </row>
    <row r="118" spans="1:13" x14ac:dyDescent="0.25">
      <c r="A118" t="s">
        <v>18</v>
      </c>
      <c r="B118" s="4">
        <v>46039</v>
      </c>
      <c r="C118" s="6">
        <v>0.63754629629629633</v>
      </c>
      <c r="D118" s="7" t="s">
        <v>91</v>
      </c>
      <c r="E118" t="s">
        <v>6656</v>
      </c>
      <c r="F118" t="s">
        <v>51</v>
      </c>
      <c r="I118" s="8" t="s">
        <v>9600</v>
      </c>
      <c r="J118" s="8" t="s">
        <v>2981</v>
      </c>
      <c r="K118" t="s">
        <v>9601</v>
      </c>
      <c r="L118" t="s">
        <v>9602</v>
      </c>
      <c r="M118" s="3" t="str">
        <f>HYPERLINK(СторонТрансп[[#This Row],[RelativePath]])</f>
        <v>1 Ангар Склад 2 въезд\E33149364_6_20260117T151804Z.jpg</v>
      </c>
    </row>
    <row r="119" spans="1:13" x14ac:dyDescent="0.25">
      <c r="A119" t="s">
        <v>18</v>
      </c>
      <c r="B119" s="4">
        <v>46039</v>
      </c>
      <c r="C119" s="6">
        <v>0.6466319444444445</v>
      </c>
      <c r="D119" s="7" t="s">
        <v>62</v>
      </c>
      <c r="E119" t="s">
        <v>9683</v>
      </c>
      <c r="I119" s="8" t="s">
        <v>9603</v>
      </c>
      <c r="J119" s="8" t="s">
        <v>2981</v>
      </c>
      <c r="K119" t="s">
        <v>9604</v>
      </c>
      <c r="L119" t="s">
        <v>9605</v>
      </c>
      <c r="M119" s="3" t="str">
        <f>HYPERLINK(СторонТрансп[[#This Row],[RelativePath]])</f>
        <v>1 Ангар Склад 2 въезд\E33149364_6_20260117T153109Z.jpg</v>
      </c>
    </row>
    <row r="120" spans="1:13" x14ac:dyDescent="0.25">
      <c r="A120" t="s">
        <v>18</v>
      </c>
      <c r="B120" s="4">
        <v>46039</v>
      </c>
      <c r="C120" s="6">
        <v>0.65831018518518514</v>
      </c>
      <c r="D120" s="7" t="s">
        <v>62</v>
      </c>
      <c r="E120" t="s">
        <v>6656</v>
      </c>
      <c r="F120" t="s">
        <v>9684</v>
      </c>
      <c r="I120" s="8" t="s">
        <v>9606</v>
      </c>
      <c r="J120" s="8" t="s">
        <v>2981</v>
      </c>
      <c r="K120" t="s">
        <v>9607</v>
      </c>
      <c r="L120" t="s">
        <v>9608</v>
      </c>
      <c r="M120" s="3" t="str">
        <f>HYPERLINK(СторонТрансп[[#This Row],[RelativePath]])</f>
        <v>1 Ангар Склад 2 въезд\E33149364_6_20260117T154758Z.jpg</v>
      </c>
    </row>
    <row r="121" spans="1:13" x14ac:dyDescent="0.25">
      <c r="A121" t="s">
        <v>18</v>
      </c>
      <c r="B121" s="4">
        <v>46039</v>
      </c>
      <c r="C121" s="6">
        <v>0.59502314814814816</v>
      </c>
      <c r="D121" s="7" t="s">
        <v>91</v>
      </c>
      <c r="E121" t="s">
        <v>6656</v>
      </c>
      <c r="F121" t="s">
        <v>51</v>
      </c>
      <c r="I121" s="8" t="s">
        <v>9591</v>
      </c>
      <c r="J121" s="8" t="s">
        <v>2981</v>
      </c>
      <c r="K121" t="s">
        <v>9592</v>
      </c>
      <c r="L121" t="s">
        <v>9593</v>
      </c>
      <c r="M121" s="3" t="str">
        <f>HYPERLINK(СторонТрансп[[#This Row],[RelativePath]])</f>
        <v>1 Ангар Склад 2 въезд\E33149364_6_20260117T141650Z.jpg</v>
      </c>
    </row>
    <row r="122" spans="1:13" x14ac:dyDescent="0.25">
      <c r="A122" t="s">
        <v>18</v>
      </c>
      <c r="B122" s="4">
        <v>46039</v>
      </c>
      <c r="C122" s="6">
        <v>0.61209490740740746</v>
      </c>
      <c r="D122" s="7" t="s">
        <v>62</v>
      </c>
      <c r="E122" t="s">
        <v>6656</v>
      </c>
      <c r="F122" t="s">
        <v>4240</v>
      </c>
      <c r="I122" s="8" t="s">
        <v>9594</v>
      </c>
      <c r="J122" s="8" t="s">
        <v>2981</v>
      </c>
      <c r="K122" t="s">
        <v>9595</v>
      </c>
      <c r="L122" t="s">
        <v>9596</v>
      </c>
      <c r="M122" s="3" t="str">
        <f>HYPERLINK(СторонТрансп[[#This Row],[RelativePath]])</f>
        <v>1 Ангар Склад 2 въезд\E33149364_6_20260117T144125Z.jpg</v>
      </c>
    </row>
    <row r="123" spans="1:13" x14ac:dyDescent="0.25">
      <c r="A123" t="s">
        <v>18</v>
      </c>
      <c r="B123" s="4">
        <v>46039</v>
      </c>
      <c r="C123" s="6">
        <v>0.61331018518518521</v>
      </c>
      <c r="D123" s="7" t="s">
        <v>91</v>
      </c>
      <c r="E123" t="s">
        <v>9683</v>
      </c>
      <c r="I123" s="8" t="s">
        <v>9597</v>
      </c>
      <c r="J123" s="8" t="s">
        <v>2981</v>
      </c>
      <c r="K123" t="s">
        <v>9598</v>
      </c>
      <c r="L123" t="s">
        <v>9599</v>
      </c>
      <c r="M123" s="3" t="str">
        <f>HYPERLINK(СторонТрансп[[#This Row],[RelativePath]])</f>
        <v>1 Ангар Склад 2 въезд\E33149364_6_20260117T144310Z.jpg</v>
      </c>
    </row>
    <row r="124" spans="1:13" x14ac:dyDescent="0.25">
      <c r="A124" t="s">
        <v>16</v>
      </c>
      <c r="B124" s="4">
        <v>46044</v>
      </c>
      <c r="C124" s="6">
        <v>0.93010416666666662</v>
      </c>
      <c r="D124" s="7" t="s">
        <v>91</v>
      </c>
      <c r="E124" t="s">
        <v>10164</v>
      </c>
      <c r="F124" t="s">
        <v>60</v>
      </c>
      <c r="I124" s="8" t="s">
        <v>10158</v>
      </c>
      <c r="J124" s="8" t="s">
        <v>2981</v>
      </c>
      <c r="K124" t="s">
        <v>10159</v>
      </c>
      <c r="L124" t="s">
        <v>10160</v>
      </c>
      <c r="M124" s="3" t="str">
        <f>HYPERLINK(СторонТрансп[[#This Row],[RelativePath]])</f>
        <v>1 Ангар Склад 2 въезд\E33149364_6_20260122T221921Z.jpg</v>
      </c>
    </row>
    <row r="125" spans="1:13" x14ac:dyDescent="0.25">
      <c r="A125" t="s">
        <v>16</v>
      </c>
      <c r="B125" s="4">
        <v>46044</v>
      </c>
      <c r="C125" s="6">
        <v>0.6736805555555555</v>
      </c>
      <c r="D125" s="7" t="s">
        <v>62</v>
      </c>
      <c r="E125" t="s">
        <v>4193</v>
      </c>
      <c r="F125" t="s">
        <v>5076</v>
      </c>
      <c r="I125" s="8" t="s">
        <v>9933</v>
      </c>
      <c r="J125" s="8" t="s">
        <v>2981</v>
      </c>
      <c r="K125" t="s">
        <v>9934</v>
      </c>
      <c r="L125" t="s">
        <v>9935</v>
      </c>
      <c r="M125" s="3" t="str">
        <f>HYPERLINK(СторонТрансп[[#This Row],[RelativePath]])</f>
        <v>1 Ангар Склад 2 въезд\E33149364_6_20260122T161006Z.jpg</v>
      </c>
    </row>
    <row r="126" spans="1:13" x14ac:dyDescent="0.25">
      <c r="A126" t="s">
        <v>16</v>
      </c>
      <c r="B126" s="4">
        <v>46044</v>
      </c>
      <c r="C126" s="6">
        <v>0.50423611111111111</v>
      </c>
      <c r="D126" s="7" t="s">
        <v>91</v>
      </c>
      <c r="E126" t="s">
        <v>4193</v>
      </c>
      <c r="F126" t="s">
        <v>5076</v>
      </c>
      <c r="I126" s="8" t="s">
        <v>9930</v>
      </c>
      <c r="J126" s="8" t="s">
        <v>2981</v>
      </c>
      <c r="K126" t="s">
        <v>9931</v>
      </c>
      <c r="L126" t="s">
        <v>9932</v>
      </c>
      <c r="M126" s="3" t="str">
        <f>HYPERLINK(СторонТрансп[[#This Row],[RelativePath]])</f>
        <v>1 Ангар Склад 2 въезд\E33149364_6_20260122T120606Z.jpg</v>
      </c>
    </row>
    <row r="127" spans="1:13" x14ac:dyDescent="0.25">
      <c r="A127" t="s">
        <v>17</v>
      </c>
      <c r="B127" s="4">
        <v>46045</v>
      </c>
      <c r="C127" s="6">
        <v>0.45699074074074075</v>
      </c>
      <c r="D127" s="7" t="s">
        <v>62</v>
      </c>
      <c r="E127" t="s">
        <v>10165</v>
      </c>
      <c r="F127" t="s">
        <v>10167</v>
      </c>
      <c r="G127">
        <v>1</v>
      </c>
      <c r="I127" s="8" t="s">
        <v>10149</v>
      </c>
      <c r="J127" s="8" t="s">
        <v>2981</v>
      </c>
      <c r="K127" t="s">
        <v>10150</v>
      </c>
      <c r="L127" t="s">
        <v>10151</v>
      </c>
      <c r="M127" s="3" t="str">
        <f>HYPERLINK(СторонТрансп[[#This Row],[RelativePath]])</f>
        <v>1 Ангар Склад 2 въезд\E33149364_6_20260123T105804Z.jpg</v>
      </c>
    </row>
    <row r="128" spans="1:13" x14ac:dyDescent="0.25">
      <c r="A128" t="s">
        <v>17</v>
      </c>
      <c r="B128" s="4">
        <v>46045</v>
      </c>
      <c r="C128" s="6">
        <v>0.51879629629629631</v>
      </c>
      <c r="D128" s="7" t="s">
        <v>62</v>
      </c>
      <c r="E128" t="s">
        <v>10166</v>
      </c>
      <c r="I128" s="8" t="s">
        <v>10152</v>
      </c>
      <c r="J128" s="8" t="s">
        <v>2981</v>
      </c>
      <c r="K128" t="s">
        <v>10153</v>
      </c>
      <c r="L128" t="s">
        <v>10154</v>
      </c>
      <c r="M128" s="3" t="str">
        <f>HYPERLINK(СторонТрансп[[#This Row],[RelativePath]])</f>
        <v>1 Ангар Склад 2 въезд\E33149364_6_20260123T122704Z.jpg</v>
      </c>
    </row>
    <row r="129" spans="1:13" x14ac:dyDescent="0.25">
      <c r="A129" t="s">
        <v>17</v>
      </c>
      <c r="B129" s="4">
        <v>46045</v>
      </c>
      <c r="C129" s="6">
        <v>0.59809027777777779</v>
      </c>
      <c r="D129" s="7" t="s">
        <v>62</v>
      </c>
      <c r="E129" t="s">
        <v>9520</v>
      </c>
      <c r="F129" t="s">
        <v>58</v>
      </c>
      <c r="H129" t="s">
        <v>9336</v>
      </c>
      <c r="I129" s="8" t="s">
        <v>10155</v>
      </c>
      <c r="J129" s="8" t="s">
        <v>2981</v>
      </c>
      <c r="K129" t="s">
        <v>10156</v>
      </c>
      <c r="L129" t="s">
        <v>10157</v>
      </c>
      <c r="M129" s="3" t="str">
        <f>HYPERLINK(СторонТрансп[[#This Row],[RelativePath]])</f>
        <v>1 Ангар Склад 2 въезд\E33149364_6_20260123T142115Z.jpg</v>
      </c>
    </row>
    <row r="130" spans="1:13" x14ac:dyDescent="0.25">
      <c r="A130" t="s">
        <v>17</v>
      </c>
      <c r="B130" s="4">
        <v>46045</v>
      </c>
      <c r="C130" s="6">
        <v>1.7141203703703704E-2</v>
      </c>
      <c r="D130" s="7" t="s">
        <v>62</v>
      </c>
      <c r="E130" t="s">
        <v>10164</v>
      </c>
      <c r="F130" t="s">
        <v>51</v>
      </c>
      <c r="I130" s="8" t="s">
        <v>10161</v>
      </c>
      <c r="J130" s="8" t="s">
        <v>2981</v>
      </c>
      <c r="K130" t="s">
        <v>10162</v>
      </c>
      <c r="L130" t="s">
        <v>10163</v>
      </c>
      <c r="M130" s="3" t="str">
        <f>HYPERLINK(СторонТрансп[[#This Row],[RelativePath]])</f>
        <v>1 Ангар Склад 2 въезд\E33149364_6_20260123T002441Z.jpg</v>
      </c>
    </row>
    <row r="131" spans="1:13" x14ac:dyDescent="0.25">
      <c r="A131" t="s">
        <v>17</v>
      </c>
      <c r="B131" s="4">
        <v>46045</v>
      </c>
      <c r="C131" s="6">
        <v>4.701388888888889E-2</v>
      </c>
      <c r="D131" s="7" t="s">
        <v>91</v>
      </c>
      <c r="E131" t="s">
        <v>10165</v>
      </c>
      <c r="F131" t="s">
        <v>60</v>
      </c>
      <c r="I131" s="8" t="s">
        <v>10143</v>
      </c>
      <c r="J131" s="8" t="s">
        <v>2981</v>
      </c>
      <c r="K131" t="s">
        <v>10144</v>
      </c>
      <c r="L131" t="s">
        <v>10145</v>
      </c>
      <c r="M131" s="3" t="str">
        <f>HYPERLINK(СторонТрансп[[#This Row],[RelativePath]])</f>
        <v>1 Ангар Склад 2 въезд\E33149364_6_20260123T010742Z.jpg</v>
      </c>
    </row>
    <row r="132" spans="1:13" x14ac:dyDescent="0.25">
      <c r="A132" t="s">
        <v>17</v>
      </c>
      <c r="B132" s="4">
        <v>46045</v>
      </c>
      <c r="C132" s="6">
        <v>0.44885416666666667</v>
      </c>
      <c r="D132" s="7" t="s">
        <v>91</v>
      </c>
      <c r="E132" t="s">
        <v>10166</v>
      </c>
      <c r="I132" s="8" t="s">
        <v>10146</v>
      </c>
      <c r="J132" s="8" t="s">
        <v>2981</v>
      </c>
      <c r="K132" t="s">
        <v>10147</v>
      </c>
      <c r="L132" t="s">
        <v>10148</v>
      </c>
      <c r="M132" s="3" t="str">
        <f>HYPERLINK(СторонТрансп[[#This Row],[RelativePath]])</f>
        <v>1 Ангар Склад 2 въезд\E33149364_6_20260123T104621Z.jpg</v>
      </c>
    </row>
    <row r="133" spans="1:13" x14ac:dyDescent="0.25">
      <c r="A133" t="s">
        <v>16</v>
      </c>
      <c r="B133" s="4">
        <v>46051</v>
      </c>
      <c r="C133" s="6">
        <v>0.4944560185185185</v>
      </c>
      <c r="D133" s="7" t="s">
        <v>62</v>
      </c>
      <c r="E133" t="s">
        <v>10884</v>
      </c>
      <c r="F133" t="s">
        <v>58</v>
      </c>
      <c r="G133">
        <v>4</v>
      </c>
      <c r="H133" t="s">
        <v>9336</v>
      </c>
      <c r="I133" s="8" t="s">
        <v>10719</v>
      </c>
      <c r="J133" s="8" t="s">
        <v>2981</v>
      </c>
      <c r="K133" t="s">
        <v>10720</v>
      </c>
      <c r="L133" t="s">
        <v>10721</v>
      </c>
      <c r="M133" s="3" t="str">
        <f>HYPERLINK(СторонТрансп[[#This Row],[RelativePath]])</f>
        <v>1 Ангар Склад 2 въезд\E33149364_6_20260129T115201Z.jpg</v>
      </c>
    </row>
    <row r="134" spans="1:13" x14ac:dyDescent="0.25">
      <c r="A134" t="s">
        <v>18</v>
      </c>
      <c r="B134" s="4">
        <v>46053</v>
      </c>
      <c r="C134" s="6">
        <v>0.7240509259259259</v>
      </c>
      <c r="D134" s="7" t="s">
        <v>91</v>
      </c>
      <c r="E134" t="s">
        <v>11125</v>
      </c>
      <c r="I134" s="8" t="s">
        <v>11016</v>
      </c>
      <c r="J134" s="8" t="s">
        <v>2981</v>
      </c>
      <c r="K134" t="s">
        <v>11017</v>
      </c>
      <c r="L134" t="s">
        <v>11018</v>
      </c>
      <c r="M134" s="3" t="str">
        <f>HYPERLINK(СторонТрансп[[#This Row],[RelativePath]])</f>
        <v>1 Ангар Склад 2 въезд\E33149364_6_20260131T172238Z.jpg</v>
      </c>
    </row>
    <row r="135" spans="1:13" x14ac:dyDescent="0.25">
      <c r="A135" t="s">
        <v>18</v>
      </c>
      <c r="B135" s="4">
        <v>46053</v>
      </c>
      <c r="C135" s="6">
        <v>0.5067476851851852</v>
      </c>
      <c r="D135" s="7" t="s">
        <v>62</v>
      </c>
      <c r="E135" t="s">
        <v>11124</v>
      </c>
      <c r="F135" t="s">
        <v>53</v>
      </c>
      <c r="G135">
        <v>11</v>
      </c>
      <c r="I135" s="8" t="s">
        <v>11013</v>
      </c>
      <c r="J135" s="8" t="s">
        <v>2981</v>
      </c>
      <c r="K135" t="s">
        <v>11014</v>
      </c>
      <c r="L135" t="s">
        <v>11015</v>
      </c>
      <c r="M135" s="3" t="str">
        <f>HYPERLINK(СторонТрансп[[#This Row],[RelativePath]])</f>
        <v>1 Ангар Склад 2 въезд\E33149364_6_20260131T120943Z.jpg</v>
      </c>
    </row>
    <row r="136" spans="1:13" x14ac:dyDescent="0.25">
      <c r="A136" t="s">
        <v>18</v>
      </c>
      <c r="B136" s="4">
        <v>46053</v>
      </c>
      <c r="C136" s="6">
        <v>0.48749999999999999</v>
      </c>
      <c r="D136" s="7" t="s">
        <v>91</v>
      </c>
      <c r="E136" t="s">
        <v>11124</v>
      </c>
      <c r="I136" s="8" t="s">
        <v>11010</v>
      </c>
      <c r="J136" s="8" t="s">
        <v>2981</v>
      </c>
      <c r="K136" t="s">
        <v>11011</v>
      </c>
      <c r="L136" t="s">
        <v>11012</v>
      </c>
      <c r="M136" s="3" t="str">
        <f>HYPERLINK(СторонТрансп[[#This Row],[RelativePath]])</f>
        <v>1 Ангар Склад 2 въезд\E33149364_6_20260131T114200Z.jpg</v>
      </c>
    </row>
    <row r="137" spans="1:13" x14ac:dyDescent="0.25">
      <c r="A137" t="s">
        <v>14</v>
      </c>
      <c r="B137" s="4">
        <v>46056</v>
      </c>
      <c r="C137" s="6">
        <v>0.56745370370370374</v>
      </c>
      <c r="D137" s="7" t="s">
        <v>62</v>
      </c>
      <c r="E137" t="s">
        <v>11412</v>
      </c>
      <c r="F137" t="s">
        <v>51</v>
      </c>
      <c r="I137" s="8" t="s">
        <v>11151</v>
      </c>
      <c r="J137" s="8" t="s">
        <v>2981</v>
      </c>
      <c r="K137" t="s">
        <v>11152</v>
      </c>
      <c r="L137" t="s">
        <v>11153</v>
      </c>
      <c r="M137" s="3" t="str">
        <f>HYPERLINK(СторонТрансп[[#This Row],[RelativePath]])</f>
        <v>1 Ангар Склад 2 въезд\E33149364_6_20260203T133708Z.jpg</v>
      </c>
    </row>
    <row r="138" spans="1:13" x14ac:dyDescent="0.25">
      <c r="A138" t="s">
        <v>14</v>
      </c>
      <c r="B138" s="4">
        <v>46056</v>
      </c>
      <c r="C138" s="6">
        <v>0.44545138888888891</v>
      </c>
      <c r="D138" s="7" t="s">
        <v>91</v>
      </c>
      <c r="E138" t="s">
        <v>11412</v>
      </c>
      <c r="F138" t="s">
        <v>60</v>
      </c>
      <c r="I138" s="8" t="s">
        <v>11148</v>
      </c>
      <c r="J138" s="8" t="s">
        <v>2981</v>
      </c>
      <c r="K138" t="s">
        <v>11149</v>
      </c>
      <c r="L138" t="s">
        <v>11150</v>
      </c>
      <c r="M138" s="3" t="str">
        <f>HYPERLINK(СторонТрансп[[#This Row],[RelativePath]])</f>
        <v>1 Ангар Склад 2 въезд\E33149364_6_20260203T104127Z.jpg</v>
      </c>
    </row>
    <row r="139" spans="1:13" x14ac:dyDescent="0.25">
      <c r="A139" t="s">
        <v>16</v>
      </c>
      <c r="B139" s="4">
        <v>46058</v>
      </c>
      <c r="C139" s="6">
        <v>0.69685185185185183</v>
      </c>
      <c r="D139" s="7" t="s">
        <v>62</v>
      </c>
      <c r="E139" t="s">
        <v>66</v>
      </c>
      <c r="F139" t="s">
        <v>51</v>
      </c>
      <c r="H139" t="s">
        <v>5140</v>
      </c>
      <c r="I139" s="8" t="s">
        <v>11466</v>
      </c>
      <c r="J139" s="8" t="s">
        <v>2981</v>
      </c>
      <c r="K139" t="s">
        <v>11467</v>
      </c>
      <c r="L139" t="s">
        <v>11468</v>
      </c>
      <c r="M139" s="3" t="str">
        <f>HYPERLINK(СторонТрансп[[#This Row],[RelativePath]])</f>
        <v>1 Ангар Склад 2 въезд\E33149364_6_20260205T164328Z.jpg</v>
      </c>
    </row>
    <row r="140" spans="1:13" x14ac:dyDescent="0.25">
      <c r="A140" t="s">
        <v>16</v>
      </c>
      <c r="B140" s="4">
        <v>46058</v>
      </c>
      <c r="C140" s="6">
        <v>0.69364583333333329</v>
      </c>
      <c r="D140" s="7" t="s">
        <v>91</v>
      </c>
      <c r="E140" t="s">
        <v>66</v>
      </c>
      <c r="F140" t="s">
        <v>51</v>
      </c>
      <c r="I140" s="8" t="s">
        <v>11463</v>
      </c>
      <c r="J140" s="8" t="s">
        <v>2981</v>
      </c>
      <c r="K140" t="s">
        <v>11464</v>
      </c>
      <c r="L140" t="s">
        <v>11465</v>
      </c>
      <c r="M140" s="3" t="str">
        <f>HYPERLINK(СторонТрансп[[#This Row],[RelativePath]])</f>
        <v>1 Ангар Склад 2 въезд\E33149364_6_20260205T163851Z.jpg</v>
      </c>
    </row>
    <row r="141" spans="1:13" x14ac:dyDescent="0.25">
      <c r="A141" t="s">
        <v>18</v>
      </c>
      <c r="B141" s="4">
        <v>46060</v>
      </c>
      <c r="C141" s="6">
        <v>0.69887731481481485</v>
      </c>
      <c r="D141" s="7" t="s">
        <v>62</v>
      </c>
      <c r="E141" t="s">
        <v>11772</v>
      </c>
      <c r="I141" s="8" t="s">
        <v>11685</v>
      </c>
      <c r="J141" s="8" t="s">
        <v>2981</v>
      </c>
      <c r="K141" t="s">
        <v>11686</v>
      </c>
      <c r="L141" t="s">
        <v>11687</v>
      </c>
      <c r="M141" s="3" t="str">
        <f>HYPERLINK(СторонТрансп[[#This Row],[RelativePath]])</f>
        <v>1 Ангар Склад 2 въезд\E33149364_6_20260207T164623Z.jpg</v>
      </c>
    </row>
    <row r="142" spans="1:13" x14ac:dyDescent="0.25">
      <c r="A142" t="s">
        <v>18</v>
      </c>
      <c r="B142" s="4">
        <v>46060</v>
      </c>
      <c r="C142" s="6">
        <v>0.66508101851851853</v>
      </c>
      <c r="D142" s="7" t="s">
        <v>91</v>
      </c>
      <c r="E142" t="s">
        <v>11772</v>
      </c>
      <c r="I142" s="8" t="s">
        <v>11682</v>
      </c>
      <c r="J142" s="8" t="s">
        <v>2981</v>
      </c>
      <c r="K142" t="s">
        <v>11683</v>
      </c>
      <c r="L142" t="s">
        <v>11684</v>
      </c>
      <c r="M142" s="3" t="str">
        <f>HYPERLINK(СторонТрансп[[#This Row],[RelativePath]])</f>
        <v>1 Ангар Склад 2 въезд\E33149364_6_20260207T155743Z.jpg</v>
      </c>
    </row>
  </sheetData>
  <conditionalFormatting sqref="E143:E164 D2:E142">
    <cfRule type="containsText" dxfId="75" priority="6" operator="containsText" text="Выезд с территории">
      <formula>NOT(ISERROR(SEARCH("Выезд с территории",D2)))</formula>
    </cfRule>
  </conditionalFormatting>
  <conditionalFormatting sqref="D2:D142">
    <cfRule type="containsText" dxfId="74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2">
    <cfRule type="containsText" dxfId="73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64">
    <cfRule type="containsText" dxfId="72" priority="2" operator="containsText" text="Газель базы">
      <formula>NOT(ISERROR(SEARCH("Газель базы",E2)))</formula>
    </cfRule>
    <cfRule type="containsText" dxfId="71" priority="3" operator="containsText" text="Погрузчик базы">
      <formula>NOT(ISERROR(SEARCH("Погрузчик базы",E2)))</formula>
    </cfRule>
  </conditionalFormatting>
  <conditionalFormatting sqref="E2:E164">
    <cfRule type="containsText" dxfId="7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2026-02-09T23:07:43Z</dcterms:modified>
</cp:coreProperties>
</file>